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6-01" sheetId="2" r:id="rId5"/>
    <sheet state="visible" name="2026-02" sheetId="3" r:id="rId6"/>
    <sheet state="visible" name="2026-03" sheetId="4" r:id="rId7"/>
    <sheet state="visible" name="2026-04" sheetId="5" r:id="rId8"/>
    <sheet state="visible" name="2026-05" sheetId="6" r:id="rId9"/>
    <sheet state="visible" name="2026-06" sheetId="7" r:id="rId10"/>
    <sheet state="visible" name="2026-07" sheetId="8" r:id="rId11"/>
    <sheet state="visible" name="2026-08" sheetId="9" r:id="rId12"/>
    <sheet state="visible" name="2026-09" sheetId="10" r:id="rId13"/>
    <sheet state="visible" name="2026-10" sheetId="11" r:id="rId14"/>
    <sheet state="visible" name="2026-11" sheetId="12" r:id="rId15"/>
    <sheet state="visible" name="2026-12" sheetId="13" r:id="rId16"/>
    <sheet state="visible" name="Marketing - 2026" sheetId="14" r:id="rId17"/>
    <sheet state="visible" name="Pricing" sheetId="15" r:id="rId18"/>
  </sheets>
  <definedNames/>
  <calcPr/>
</workbook>
</file>

<file path=xl/sharedStrings.xml><?xml version="1.0" encoding="utf-8"?>
<sst xmlns="http://schemas.openxmlformats.org/spreadsheetml/2006/main" count="10676" uniqueCount="457">
  <si>
    <t>Year</t>
  </si>
  <si>
    <t>2026</t>
  </si>
  <si>
    <t>Month</t>
  </si>
  <si>
    <t>1</t>
  </si>
  <si>
    <t>Revenue</t>
  </si>
  <si>
    <t>Activation</t>
  </si>
  <si>
    <t>Renewall</t>
  </si>
  <si>
    <t>Expansion</t>
  </si>
  <si>
    <t>Month/ Year</t>
  </si>
  <si>
    <t>1/2026</t>
  </si>
  <si>
    <t>2/2026</t>
  </si>
  <si>
    <t>3/2026</t>
  </si>
  <si>
    <t>4/2026</t>
  </si>
  <si>
    <t>5/2026</t>
  </si>
  <si>
    <t>6/2026</t>
  </si>
  <si>
    <t>7/2026</t>
  </si>
  <si>
    <t>8/2026</t>
  </si>
  <si>
    <t>9/2026</t>
  </si>
  <si>
    <t>10/2026</t>
  </si>
  <si>
    <t>11/2026</t>
  </si>
  <si>
    <t>12/2026</t>
  </si>
  <si>
    <t>Awareness</t>
  </si>
  <si>
    <t>$ Media Budget</t>
  </si>
  <si>
    <t>$ Cost per Lead (CPL)</t>
  </si>
  <si>
    <t>VM1</t>
  </si>
  <si>
    <t># Leads</t>
  </si>
  <si>
    <t># Non-ICP</t>
  </si>
  <si>
    <t>CR1</t>
  </si>
  <si>
    <t>% Lead → MQL</t>
  </si>
  <si>
    <t># MQLs</t>
  </si>
  <si>
    <t>% Enterprise</t>
  </si>
  <si>
    <t>% Large</t>
  </si>
  <si>
    <t>% Medium</t>
  </si>
  <si>
    <t>% Small</t>
  </si>
  <si>
    <t>% Tiny</t>
  </si>
  <si>
    <t># Enterprise</t>
  </si>
  <si>
    <t># Large</t>
  </si>
  <si>
    <t># Medium</t>
  </si>
  <si>
    <t># Small</t>
  </si>
  <si>
    <t># Tiny</t>
  </si>
  <si>
    <t>$ Cost per MQL (CPMQL)</t>
  </si>
  <si>
    <t>Education</t>
  </si>
  <si>
    <t>VM2</t>
  </si>
  <si>
    <t>CR2</t>
  </si>
  <si>
    <t>% MQL → SQL</t>
  </si>
  <si>
    <t># SQLs</t>
  </si>
  <si>
    <t>Enterprise</t>
  </si>
  <si>
    <t>Large</t>
  </si>
  <si>
    <t>Medium</t>
  </si>
  <si>
    <t>Small</t>
  </si>
  <si>
    <t>Tiny</t>
  </si>
  <si>
    <t>Selection</t>
  </si>
  <si>
    <t>VM3</t>
  </si>
  <si>
    <t>CR3</t>
  </si>
  <si>
    <t>% SQL → SAL (Opportunity)</t>
  </si>
  <si>
    <t># SALs</t>
  </si>
  <si>
    <t># Inbound SALs</t>
  </si>
  <si>
    <t># Outbound SALs</t>
  </si>
  <si>
    <t>Closing</t>
  </si>
  <si>
    <t>VM4</t>
  </si>
  <si>
    <t>CR4</t>
  </si>
  <si>
    <t>% SAL → WON</t>
  </si>
  <si>
    <t>% MQL → WON</t>
  </si>
  <si>
    <t># WONs</t>
  </si>
  <si>
    <t xml:space="preserve">$ Average Ticket </t>
  </si>
  <si>
    <t># Revenue Won</t>
  </si>
  <si>
    <t>% [Saber]</t>
  </si>
  <si>
    <t>% [Ter]</t>
  </si>
  <si>
    <t>% [Executar-no loyalty]</t>
  </si>
  <si>
    <t>% [Executar-loyalty]</t>
  </si>
  <si>
    <t>% [Potencializar]</t>
  </si>
  <si>
    <t xml:space="preserve">$ [Saber] Average Ticket </t>
  </si>
  <si>
    <t xml:space="preserve">$ [Ter]  Average Ticket </t>
  </si>
  <si>
    <t xml:space="preserve">$ [Executar-no loyalty] Average Ticket </t>
  </si>
  <si>
    <t xml:space="preserve">$ [Executar-loyalty] Average Ticket </t>
  </si>
  <si>
    <t xml:space="preserve">$ [Potencializar] Average Ticket </t>
  </si>
  <si>
    <t># Lowest Ticket Index</t>
  </si>
  <si>
    <t># [Saber]</t>
  </si>
  <si>
    <t># [Saber] Revenue Won</t>
  </si>
  <si>
    <t># [Ter]</t>
  </si>
  <si>
    <t># [Ter] Revenue Won</t>
  </si>
  <si>
    <t># [Executar-no loyalty]</t>
  </si>
  <si>
    <t># [Executar-no loyalty] Revenue Won</t>
  </si>
  <si>
    <t># [Executar-loyalty]</t>
  </si>
  <si>
    <t># [Executar-loyalty] Revenue Won</t>
  </si>
  <si>
    <t># [Potencializar]</t>
  </si>
  <si>
    <t># [Potencializar] Revenue Won</t>
  </si>
  <si>
    <t>VM5</t>
  </si>
  <si>
    <t>CR5</t>
  </si>
  <si>
    <t>% WONs → Activation</t>
  </si>
  <si>
    <t># Customers Activated</t>
  </si>
  <si>
    <t>% Revenue Won → Activation</t>
  </si>
  <si>
    <t>$ Revenue Activated</t>
  </si>
  <si>
    <t>% Activations</t>
  </si>
  <si>
    <t># Activations</t>
  </si>
  <si>
    <t># Revenue Activations</t>
  </si>
  <si>
    <t>%  [Saber]</t>
  </si>
  <si>
    <t>%  Revenue [Saber]</t>
  </si>
  <si>
    <t>%  [Ter]</t>
  </si>
  <si>
    <t xml:space="preserve">%  Revenue [Ter] </t>
  </si>
  <si>
    <t>%  [Executar-no loyalty]</t>
  </si>
  <si>
    <t>%  Revenue [Executar-no loyalty]</t>
  </si>
  <si>
    <t>%  [Executar-loyalty]</t>
  </si>
  <si>
    <t>%  Revenue [Executar-loyalty]</t>
  </si>
  <si>
    <t>%  [Potencializar]</t>
  </si>
  <si>
    <t>%  Revenue [Potencializar]</t>
  </si>
  <si>
    <t>#   [Saber]</t>
  </si>
  <si>
    <t>$   Revenue [Saber]</t>
  </si>
  <si>
    <t>#   [Ter]</t>
  </si>
  <si>
    <t>$   Revenue [Ter]</t>
  </si>
  <si>
    <t>#   [Executar-no loyalty]</t>
  </si>
  <si>
    <t>$   Revenue [Executar-no loyalty]</t>
  </si>
  <si>
    <t>#   [Executar-loyalty]</t>
  </si>
  <si>
    <t xml:space="preserve">$   Revenue [Executar-loyalty] </t>
  </si>
  <si>
    <t>#   [Potencializar]</t>
  </si>
  <si>
    <t>$   Revenue [Potencializar]</t>
  </si>
  <si>
    <t>%  Activations</t>
  </si>
  <si>
    <t>#  Activations</t>
  </si>
  <si>
    <t>$  Revenue Activated</t>
  </si>
  <si>
    <t>#  Revenue Activations</t>
  </si>
  <si>
    <t>% Small Activations</t>
  </si>
  <si>
    <t># Small Activations</t>
  </si>
  <si>
    <t>$ Small Revenue Activated</t>
  </si>
  <si>
    <t># Small Revenue Activations</t>
  </si>
  <si>
    <t>% Tiny Activations</t>
  </si>
  <si>
    <t># Tiny Activations</t>
  </si>
  <si>
    <t>$ Tiny Revenue Activated</t>
  </si>
  <si>
    <t># Tiny Revenue Activations</t>
  </si>
  <si>
    <t>Onboarding</t>
  </si>
  <si>
    <t>VM6</t>
  </si>
  <si>
    <t>CR6</t>
  </si>
  <si>
    <t># Customers Activated → Live</t>
  </si>
  <si>
    <t># Customers Go Live</t>
  </si>
  <si>
    <t>$ Revenue Activated → Live</t>
  </si>
  <si>
    <t>$ Revenue Live</t>
  </si>
  <si>
    <t>% Enterprise Go Lives</t>
  </si>
  <si>
    <t># Enterprise Go Lives</t>
  </si>
  <si>
    <t>% Enterprise Revenue Live</t>
  </si>
  <si>
    <t>$ Enterprise Revenue Live</t>
  </si>
  <si>
    <t>% Enterprise [Saber]</t>
  </si>
  <si>
    <t>% Enterprise Revenue [Saber]</t>
  </si>
  <si>
    <t>% Enterprise [Ter]</t>
  </si>
  <si>
    <t xml:space="preserve">% Enterprise Revenue [Ter] </t>
  </si>
  <si>
    <t>% Enterprise [Executar-no loyalty]</t>
  </si>
  <si>
    <t>% Enterprise Revenue [Executar-no loyalty]</t>
  </si>
  <si>
    <t>% Enterprise [Executar-loyalty]</t>
  </si>
  <si>
    <t>% Enterprise Revenue [Executar-loyalty]</t>
  </si>
  <si>
    <t>% Enterprise [Potencializar]</t>
  </si>
  <si>
    <t>% Enterprise Revenue [Potencializar]</t>
  </si>
  <si>
    <t># Enterprise Go Lives [Saber]</t>
  </si>
  <si>
    <t>$ Enterprise Revenue Live [Saber]</t>
  </si>
  <si>
    <t># Enterprise Go Lives [Ter]</t>
  </si>
  <si>
    <t>$ Enterprise Revenue Live [Ter]</t>
  </si>
  <si>
    <t># Enterprise Go Lives [Executar-no loyalty]</t>
  </si>
  <si>
    <t>$ Enterprise Revenue Live [Executar-no loyalty]</t>
  </si>
  <si>
    <t># Enterprise Go Lives [Executar-loyalty]</t>
  </si>
  <si>
    <t>$ Enterprise Revenue Live [Executar-loyalty]</t>
  </si>
  <si>
    <t># Enterprise Go Lives [Potencializar]</t>
  </si>
  <si>
    <t>$ Enterprise Revenue Live [Potencializar]</t>
  </si>
  <si>
    <t>% Large Go Lives</t>
  </si>
  <si>
    <t># Large Go Lives</t>
  </si>
  <si>
    <t>% Large Revenue Live</t>
  </si>
  <si>
    <t>$ Large Revenue Live</t>
  </si>
  <si>
    <t>% Large [Saber]</t>
  </si>
  <si>
    <t>% Large Revenue [Saber]</t>
  </si>
  <si>
    <t>% Large [Ter]</t>
  </si>
  <si>
    <t xml:space="preserve">% Large Revenue [Ter] </t>
  </si>
  <si>
    <t>% Large [Executar-no loyalty]</t>
  </si>
  <si>
    <t>% Large Revenue [Executar-no loyalty]</t>
  </si>
  <si>
    <t>% Large [Executar-loyalty]</t>
  </si>
  <si>
    <t>% Large Revenue [Executar-loyalty]</t>
  </si>
  <si>
    <t>% Large [Potencializar]</t>
  </si>
  <si>
    <t>% Large Revenue [Potencializar]</t>
  </si>
  <si>
    <t># Large Go Lives [Saber]</t>
  </si>
  <si>
    <t>$ Large Revenue Live [Saber]</t>
  </si>
  <si>
    <t># Large Go Lives [Ter]</t>
  </si>
  <si>
    <t>$ Large Revenue Live [Ter]</t>
  </si>
  <si>
    <t># Large Go Lives [Executar-no loyalty]</t>
  </si>
  <si>
    <t>$ Large Revenue Live [Executar-no loyalty]</t>
  </si>
  <si>
    <t># Large Go Lives [Executar-loyalty]</t>
  </si>
  <si>
    <t>$ Large Revenue Live [Executar-loyalty]</t>
  </si>
  <si>
    <t># Large Go Lives [Potencializar]</t>
  </si>
  <si>
    <t>$ Large Revenue Live [Potencializar]</t>
  </si>
  <si>
    <t>% Medium Go Lives</t>
  </si>
  <si>
    <t># Medium Go Lives</t>
  </si>
  <si>
    <t>% Medium Revenue Live</t>
  </si>
  <si>
    <t>$ Medium Revenue Live</t>
  </si>
  <si>
    <t>% Medium [Saber]</t>
  </si>
  <si>
    <t>% Medium Revenue [Saber]</t>
  </si>
  <si>
    <t>% Medium [Ter]</t>
  </si>
  <si>
    <t xml:space="preserve">% Medium Revenue [Ter] </t>
  </si>
  <si>
    <t>% Medium [Executar-no loyalty]</t>
  </si>
  <si>
    <t>% Medium Revenue [Executar-no loyalty]</t>
  </si>
  <si>
    <t>% Medium [Executar-loyalty]</t>
  </si>
  <si>
    <t>% Medium Revenue [Executar-loyalty]</t>
  </si>
  <si>
    <t>% Medium [Potencializar]</t>
  </si>
  <si>
    <t>% Medium Revenue [Potencializar]</t>
  </si>
  <si>
    <t># Medium Go Lives [Saber]</t>
  </si>
  <si>
    <t>$ Medium Revenue Live [Saber]</t>
  </si>
  <si>
    <t># Medium Go Lives [Ter]</t>
  </si>
  <si>
    <t>$ Medium Revenue Live [Ter]</t>
  </si>
  <si>
    <t># Medium Go Lives [Executar-no loyalty]</t>
  </si>
  <si>
    <t>$ Medium Revenue Live [Executar no- loyalty]</t>
  </si>
  <si>
    <t># Medium Go Lives [Executar-loyalty]</t>
  </si>
  <si>
    <t>$ Medium Revenue Live [Executar-loyalty]</t>
  </si>
  <si>
    <t># Medium Go Lives [Potencializar]</t>
  </si>
  <si>
    <t>$ Medium Revenue Live [Potencializar]</t>
  </si>
  <si>
    <t>% Small Go Lives</t>
  </si>
  <si>
    <t># Small Go Lives</t>
  </si>
  <si>
    <t>% Small Revenue Live</t>
  </si>
  <si>
    <t>$ Small Revenue Live</t>
  </si>
  <si>
    <t>% Small [Saber]</t>
  </si>
  <si>
    <t>% Small Revenue [Saber]</t>
  </si>
  <si>
    <t>% Small [Ter]</t>
  </si>
  <si>
    <t xml:space="preserve">% Small Revenue [Ter] </t>
  </si>
  <si>
    <t>% Small [Executar-no loyalty]</t>
  </si>
  <si>
    <t>% Small Revenue [Executar-no loyalty]</t>
  </si>
  <si>
    <t>% Small [Executar-loyalty]</t>
  </si>
  <si>
    <t>% Small Revenue [Executar-loyalty]</t>
  </si>
  <si>
    <t>% Small [Potencializar]</t>
  </si>
  <si>
    <t>% Small Revenue [Potencializar]</t>
  </si>
  <si>
    <t># Small Go Lives [Saber]</t>
  </si>
  <si>
    <t>$ Small Revenue Live [Saber]</t>
  </si>
  <si>
    <t># Small Go Lives [Ter]</t>
  </si>
  <si>
    <t>$ Small Revenue Live [Ter]</t>
  </si>
  <si>
    <t># Small Go Lives [Executar-no loyalty]</t>
  </si>
  <si>
    <t>$ Small Revenue Live [Executar-no loyalty]</t>
  </si>
  <si>
    <t># Small Go Lives [Executar-loyalty]</t>
  </si>
  <si>
    <t>$ Small Revenue Live [Executar-loyalty]</t>
  </si>
  <si>
    <t># Small Go Lives [Potencializar]</t>
  </si>
  <si>
    <t>$ Small Revenue Live [Potencializar]</t>
  </si>
  <si>
    <t>% Tiny Go Lives</t>
  </si>
  <si>
    <t># Tiny Go Lives</t>
  </si>
  <si>
    <t>% Tiny Revenue Live</t>
  </si>
  <si>
    <t>$ Tiny Revenue Live</t>
  </si>
  <si>
    <t>% Tiny [Saber]</t>
  </si>
  <si>
    <t>% Tiny Revenue [Saber]</t>
  </si>
  <si>
    <t>% Tiny [Ter]</t>
  </si>
  <si>
    <t xml:space="preserve">% Tiny Revenue [Ter] </t>
  </si>
  <si>
    <t>% Tiny [Executar-no loyalty]</t>
  </si>
  <si>
    <t>% Tiny Revenue [Executar-no loyalty]</t>
  </si>
  <si>
    <t>% Tiny [Executar-loyalty]</t>
  </si>
  <si>
    <t>% Tiny Revenue [Executar-loyalty]</t>
  </si>
  <si>
    <t>% Tiny [Potencializar]</t>
  </si>
  <si>
    <t>% Tiny Revenue [Potencializar]</t>
  </si>
  <si>
    <t># Tiny Go Lives [Saber]</t>
  </si>
  <si>
    <t>$ Tiny Revenue Live [Saber]</t>
  </si>
  <si>
    <t># Tiny Go Lives [Ter]</t>
  </si>
  <si>
    <t>$ Tiny Revenue Live [Ter]</t>
  </si>
  <si>
    <t># Tiny Go Lives [Executar-no loyalty]</t>
  </si>
  <si>
    <t>$ Tiny Revenue Live [Executar-no loyalty]</t>
  </si>
  <si>
    <t># Tiny Go Lives [Executar-loyalty]</t>
  </si>
  <si>
    <t>$ Tiny Revenue Live [Executar-loyalty]</t>
  </si>
  <si>
    <t># Tiny Go Lives [Potencializar]</t>
  </si>
  <si>
    <t>$ Tiny Revenue Live [Potencializar]</t>
  </si>
  <si>
    <t>$ [Executar] Revenue Live</t>
  </si>
  <si>
    <t>$ [Executar] Expansion Revenue Won</t>
  </si>
  <si>
    <t>CR7</t>
  </si>
  <si>
    <t>% Revenue Renewal</t>
  </si>
  <si>
    <t>VM7</t>
  </si>
  <si>
    <t>$ Revenue Renewal</t>
  </si>
  <si>
    <t>$ Enterprise Renewal [Executar-no loyalty]</t>
  </si>
  <si>
    <t>$ Revenue Live [Executar-no loyalty]</t>
  </si>
  <si>
    <t>$ Revenue [Executar-no loyalty]</t>
  </si>
  <si>
    <t># Life-time</t>
  </si>
  <si>
    <t>$ Revenue Renewal [Executar-no loyalty]</t>
  </si>
  <si>
    <t>% Revenue Renewal [Executar-no loyalty]</t>
  </si>
  <si>
    <t>$ All Revenue [Executar-no loyalty]</t>
  </si>
  <si>
    <t>$ Enterprise Renewal [Executar-loyalty]</t>
  </si>
  <si>
    <t>$ Revenue Live [Executar-loyalty]</t>
  </si>
  <si>
    <t>$ Revenue [Executar-loyalty]</t>
  </si>
  <si>
    <t>% Revenue Renewal [Executar-loyalty]</t>
  </si>
  <si>
    <t>$ Revenue Renewal [Executar-loyalty]</t>
  </si>
  <si>
    <t>$ All Revenue [Executar-loyalty]</t>
  </si>
  <si>
    <t>$ Enterprise Renewal [Potencializar]</t>
  </si>
  <si>
    <t>$ Avg. Monthly Ticket [Potencializar]</t>
  </si>
  <si>
    <t>% Avg. Ticket Increase [Potencializar]</t>
  </si>
  <si>
    <t>$ Revenue Renewal [Potencializar]</t>
  </si>
  <si>
    <t>$ Large Renewal [Executar-no loyalty]</t>
  </si>
  <si>
    <t>$ Large Renewal [Executar-loyalty]</t>
  </si>
  <si>
    <t>$ Revenue [Executar loyalty]</t>
  </si>
  <si>
    <t>$ Large Renewal [Potencializar]</t>
  </si>
  <si>
    <t>$ Medium Renewal [Executar-no loyalty]</t>
  </si>
  <si>
    <t>$ Medium Renewal [Executar-loyalty]</t>
  </si>
  <si>
    <t>$ Medium Renewal [Potencializar]</t>
  </si>
  <si>
    <t>VM8</t>
  </si>
  <si>
    <t>$ Expansion Revenue Won</t>
  </si>
  <si>
    <t>CR8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</si>
  <si>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</si>
  <si>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</si>
  <si>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</si>
  <si>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</si>
  <si>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t>% Revenue Upsell [Executar-no loyalty]</t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</si>
  <si>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</si>
  <si>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t>% Revenue Upsell [Executar-loyalty]</t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</si>
  <si>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</si>
  <si>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</si>
  <si>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</si>
  <si>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$ Annual WTP</t>
  </si>
  <si>
    <t>$ Total Share of Wallet</t>
  </si>
  <si>
    <t>% Share of Wallet Desired</t>
  </si>
  <si>
    <t>$ Share of Wallet Desired</t>
  </si>
  <si>
    <t>$ Share of Wallet Actived</t>
  </si>
  <si>
    <t>$ Expansion Goal</t>
  </si>
  <si>
    <t>$ Share of Wallet Remaining</t>
  </si>
  <si>
    <t>% Index Saturation Base</t>
  </si>
  <si>
    <t>% Index Monetization Potential</t>
  </si>
  <si>
    <t># Expansions</t>
  </si>
  <si>
    <t>$ Enterprise Average Ticket</t>
  </si>
  <si>
    <t>$ Revenue Expansion</t>
  </si>
  <si>
    <t>$ [Saber] Revenue Expansion</t>
  </si>
  <si>
    <t>$ [Ter] Revenue Expansion</t>
  </si>
  <si>
    <t>$ [Executar-no loyalty] Revenue Expansion</t>
  </si>
  <si>
    <t>$ [Executar-loyalty] Revenue Expansion</t>
  </si>
  <si>
    <t>$ [Potencializar] Revenue Expansion</t>
  </si>
  <si>
    <t>$ Large Average Ticket</t>
  </si>
  <si>
    <t>$ Medium Average Ticket</t>
  </si>
  <si>
    <t>$ Small Average Ticket</t>
  </si>
  <si>
    <t>$ Tiny Average Ticket</t>
  </si>
  <si>
    <t>[Saber]</t>
  </si>
  <si>
    <t>[Ter]</t>
  </si>
  <si>
    <t>[Executar-no loyalty]</t>
  </si>
  <si>
    <t>[Executar-loyalty]</t>
  </si>
  <si>
    <t>[Potencializar]</t>
  </si>
  <si>
    <t>2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</si>
  <si>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</si>
  <si>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</si>
  <si>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</si>
  <si>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</si>
  <si>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</si>
  <si>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</si>
  <si>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</si>
  <si>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</si>
  <si>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</si>
  <si>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</si>
  <si>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3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</si>
  <si>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</si>
  <si>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</si>
  <si>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</si>
  <si>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</si>
  <si>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</si>
  <si>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</si>
  <si>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</si>
  <si>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</si>
  <si>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</si>
  <si>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</si>
  <si>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4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</si>
  <si>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</si>
  <si>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</si>
  <si>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</si>
  <si>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</si>
  <si>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</si>
  <si>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</si>
  <si>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</si>
  <si>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</si>
  <si>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</si>
  <si>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</si>
  <si>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5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</si>
  <si>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</si>
  <si>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</si>
  <si>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</si>
  <si>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</si>
  <si>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</si>
  <si>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</si>
  <si>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</si>
  <si>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</si>
  <si>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</si>
  <si>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</si>
  <si>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6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</si>
  <si>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</si>
  <si>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</si>
  <si>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</si>
  <si>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</si>
  <si>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</si>
  <si>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</si>
  <si>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</si>
  <si>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</si>
  <si>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</si>
  <si>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</si>
  <si>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7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</si>
  <si>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</si>
  <si>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</si>
  <si>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</si>
  <si>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</si>
  <si>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</si>
  <si>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</si>
  <si>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</si>
  <si>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</si>
  <si>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</si>
  <si>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</si>
  <si>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8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</si>
  <si>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</si>
  <si>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</si>
  <si>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</si>
  <si>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</si>
  <si>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</si>
  <si>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</si>
  <si>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</si>
  <si>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</si>
  <si>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</si>
  <si>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</si>
  <si>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9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</si>
  <si>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</si>
  <si>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</si>
  <si>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</si>
  <si>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</si>
  <si>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</si>
  <si>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</si>
  <si>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</si>
  <si>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</si>
  <si>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</si>
  <si>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</si>
  <si>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10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</si>
  <si>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</si>
  <si>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</si>
  <si>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</si>
  <si>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</si>
  <si>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</si>
  <si>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</si>
  <si>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</si>
  <si>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</si>
  <si>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</si>
  <si>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</si>
  <si>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11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</si>
  <si>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</si>
  <si>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</si>
  <si>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</si>
  <si>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</si>
  <si>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</si>
  <si>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</si>
  <si>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</si>
  <si>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</si>
  <si>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</si>
  <si>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</si>
  <si>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12</t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</si>
  <si>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</si>
  <si>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S</t>
    </r>
    <r>
      <rPr>
        <rFont val="Arial"/>
        <color theme="1"/>
        <sz val="11.0"/>
      </rPr>
      <t>aber]</t>
    </r>
  </si>
  <si>
    <r>
      <rPr>
        <rFont val="Arial"/>
        <color theme="1"/>
        <sz val="11.0"/>
      </rPr>
      <t>%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</si>
  <si>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$ Revenue Cross-sell [</t>
    </r>
    <r>
      <rPr>
        <rFont val="Arial"/>
        <color theme="1"/>
        <sz val="11.0"/>
      </rPr>
      <t>T</t>
    </r>
    <r>
      <rPr>
        <rFont val="Arial"/>
        <color theme="1"/>
        <sz val="11.0"/>
      </rPr>
      <t>er]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</si>
  <si>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</si>
  <si>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xecutar-no 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</si>
  <si>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</si>
  <si>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E</t>
    </r>
    <r>
      <rPr>
        <rFont val="Arial"/>
        <color theme="1"/>
        <sz val="11.0"/>
      </rPr>
      <t>xecutar-loyalty]</t>
    </r>
  </si>
  <si>
    <r>
      <rPr>
        <rFont val="Arial"/>
        <color theme="1"/>
        <sz val="11.0"/>
      </rPr>
      <t>%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</si>
  <si>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r>
      <rPr>
        <rFont val="Arial"/>
        <color theme="1"/>
        <sz val="11.0"/>
      </rPr>
      <t>$ Revenue Upsell [</t>
    </r>
    <r>
      <rPr>
        <rFont val="Arial"/>
        <color theme="1"/>
        <sz val="11.0"/>
      </rPr>
      <t>P</t>
    </r>
    <r>
      <rPr>
        <rFont val="Arial"/>
        <color theme="1"/>
        <sz val="11.0"/>
      </rPr>
      <t>otencializar]</t>
    </r>
  </si>
  <si>
    <t>% Facebook</t>
  </si>
  <si>
    <t>$ Tax Media</t>
  </si>
  <si>
    <t>Average Ticket</t>
  </si>
  <si>
    <t>Q1</t>
  </si>
  <si>
    <t>Q2</t>
  </si>
  <si>
    <t>Q3</t>
  </si>
  <si>
    <t>Q4</t>
  </si>
  <si>
    <t xml:space="preserve">$ [Saber]  </t>
  </si>
  <si>
    <t xml:space="preserve">$ [Ter]   </t>
  </si>
  <si>
    <t xml:space="preserve">$ [Executar-no loyalty]  </t>
  </si>
  <si>
    <t xml:space="preserve">$ [Executar-loyalty]  </t>
  </si>
  <si>
    <t xml:space="preserve">$ [Potencializar]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</si>
</sst>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"/>
    <numFmt numFmtId="165" formatCode="[$R$ -416]#,##0.00"/>
    <numFmt numFmtId="166" formatCode="_-* #,##0_-;\-* #,##0_-;_-* &quot;-&quot;??_-;_-@"/>
    <numFmt numFmtId="167" formatCode="#,##0;(#,##0)"/>
    <numFmt numFmtId="168" formatCode="#,##0.00;(#,##0.00)"/>
    <numFmt numFmtId="169" formatCode="_-* #,##0.00_-;\-* #,##0.00_-;_-* &quot;-&quot;??.00_-;_-@"/>
    <numFmt numFmtId="170" formatCode="_([$R$ -416]* #,##0.00_);_([$R$ -416]* \(#,##0.00\);_([$R$ -416]* &quot;-&quot;??_);_(@_)"/>
  </numFmts>
  <fonts count="29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/>
    <font>
      <color theme="1"/>
      <name val="Arial"/>
      <scheme val="minor"/>
    </font>
    <font>
      <b/>
      <i/>
      <sz val="11.0"/>
      <color theme="1"/>
      <name val="Arial"/>
      <scheme val="minor"/>
    </font>
    <font>
      <b/>
      <i/>
      <sz val="11.0"/>
      <color theme="1"/>
      <name val="Arial"/>
    </font>
    <font>
      <color theme="1"/>
      <name val="Arial"/>
    </font>
    <font>
      <i/>
      <color rgb="FF666666"/>
      <name val="Arial"/>
    </font>
    <font>
      <sz val="11.0"/>
      <color rgb="FFFFFFFF"/>
      <name val="Arial"/>
    </font>
    <font>
      <b/>
      <color theme="1"/>
      <name val="Arial"/>
    </font>
    <font>
      <sz val="11.0"/>
      <color rgb="FFFF0D0E"/>
      <name val="Arial"/>
      <scheme val="minor"/>
    </font>
    <font>
      <sz val="11.0"/>
      <color theme="1"/>
      <name val="Arial"/>
    </font>
    <font>
      <sz val="11.0"/>
      <color rgb="FFEA4335"/>
      <name val="Arial"/>
      <scheme val="minor"/>
    </font>
    <font>
      <sz val="11.0"/>
      <color rgb="FFFF0A01"/>
      <name val="Arial"/>
      <scheme val="minor"/>
    </font>
    <font>
      <b/>
      <sz val="11.0"/>
      <color theme="1"/>
      <name val="Arial"/>
      <scheme val="minor"/>
    </font>
    <font>
      <sz val="11.0"/>
      <color theme="5"/>
      <name val="Arial"/>
      <scheme val="minor"/>
    </font>
    <font>
      <b/>
      <sz val="11.0"/>
      <color theme="1"/>
      <name val="Arial"/>
    </font>
    <font>
      <sz val="11.0"/>
      <color rgb="FFFF0A01"/>
      <name val="Arial"/>
    </font>
    <font>
      <sz val="11.0"/>
      <color rgb="FFFF0000"/>
      <name val="Arial"/>
    </font>
    <font>
      <sz val="11.0"/>
      <color rgb="FFFF0000"/>
      <name val="Arial"/>
      <scheme val="minor"/>
    </font>
    <font>
      <i/>
      <sz val="11.0"/>
      <color rgb="FF666666"/>
      <name val="Arial"/>
    </font>
    <font>
      <i/>
      <sz val="11.0"/>
      <color rgb="FF999999"/>
      <name val="Arial"/>
    </font>
    <font>
      <i/>
      <sz val="11.0"/>
      <color rgb="FF999999"/>
      <name val="Arial"/>
      <scheme val="minor"/>
    </font>
    <font>
      <sz val="11.0"/>
      <color theme="1"/>
      <name val="Aptos Narrow"/>
    </font>
    <font>
      <sz val="11.0"/>
      <color rgb="FFFF0D0E"/>
      <name val="Arial"/>
    </font>
    <font>
      <i/>
      <sz val="11.0"/>
      <color rgb="FF999999"/>
      <name val="Aptos Narrow"/>
    </font>
    <font>
      <sz val="11.0"/>
      <color rgb="FFEA4335"/>
      <name val="Arial"/>
    </font>
    <font>
      <b/>
      <color theme="1"/>
      <name val="Arial"/>
      <scheme val="minor"/>
    </font>
  </fonts>
  <fills count="6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57BB8A"/>
        <bgColor rgb="FF57BB8A"/>
      </patternFill>
    </fill>
    <fill>
      <patternFill patternType="solid">
        <fgColor rgb="FFE0DE97"/>
        <bgColor rgb="FFE0DE97"/>
      </patternFill>
    </fill>
    <fill>
      <patternFill patternType="solid">
        <fgColor rgb="FFEBE098"/>
        <bgColor rgb="FFEBE098"/>
      </patternFill>
    </fill>
    <fill>
      <patternFill patternType="solid">
        <fgColor rgb="FFF4E398"/>
        <bgColor rgb="FFF4E398"/>
      </patternFill>
    </fill>
    <fill>
      <patternFill patternType="solid">
        <fgColor rgb="FFF5E399"/>
        <bgColor rgb="FFF5E399"/>
      </patternFill>
    </fill>
    <fill>
      <patternFill patternType="solid">
        <fgColor rgb="FFE8E097"/>
        <bgColor rgb="FFE8E097"/>
      </patternFill>
    </fill>
    <fill>
      <patternFill patternType="solid">
        <fgColor rgb="FFFAE499"/>
        <bgColor rgb="FFFAE499"/>
      </patternFill>
    </fill>
    <fill>
      <patternFill patternType="solid">
        <fgColor rgb="FFF9E499"/>
        <bgColor rgb="FFF9E499"/>
      </patternFill>
    </fill>
    <fill>
      <patternFill patternType="solid">
        <fgColor rgb="FFE9E098"/>
        <bgColor rgb="FFE9E098"/>
      </patternFill>
    </fill>
    <fill>
      <patternFill patternType="solid">
        <fgColor rgb="FFF2B286"/>
        <bgColor rgb="FFF2B286"/>
      </patternFill>
    </fill>
    <fill>
      <patternFill patternType="solid">
        <fgColor rgb="FFFFE599"/>
        <bgColor rgb="FFFFE599"/>
      </patternFill>
    </fill>
    <fill>
      <patternFill patternType="solid">
        <fgColor rgb="FFF1E298"/>
        <bgColor rgb="FFF1E298"/>
      </patternFill>
    </fill>
    <fill>
      <patternFill patternType="solid">
        <fgColor rgb="FF61BE8B"/>
        <bgColor rgb="FF61BE8B"/>
      </patternFill>
    </fill>
    <fill>
      <patternFill patternType="solid">
        <fgColor rgb="FFE1DE97"/>
        <bgColor rgb="FFE1DE97"/>
      </patternFill>
    </fill>
    <fill>
      <patternFill patternType="solid">
        <fgColor rgb="FFEDE198"/>
        <bgColor rgb="FFEDE198"/>
      </patternFill>
    </fill>
    <fill>
      <patternFill patternType="solid">
        <fgColor rgb="FFF7E399"/>
        <bgColor rgb="FFF7E399"/>
      </patternFill>
    </fill>
    <fill>
      <patternFill patternType="solid">
        <fgColor rgb="FFF8E499"/>
        <bgColor rgb="FFF8E499"/>
      </patternFill>
    </fill>
    <fill>
      <patternFill patternType="solid">
        <fgColor rgb="FFFCE599"/>
        <bgColor rgb="FFFCE599"/>
      </patternFill>
    </fill>
    <fill>
      <patternFill patternType="solid">
        <fgColor rgb="FFFBE499"/>
        <bgColor rgb="FFFBE499"/>
      </patternFill>
    </fill>
    <fill>
      <patternFill patternType="solid">
        <fgColor rgb="FFE88676"/>
        <bgColor rgb="FFE88676"/>
      </patternFill>
    </fill>
    <fill>
      <patternFill patternType="solid">
        <fgColor rgb="FFF3B387"/>
        <bgColor rgb="FFF3B387"/>
      </patternFill>
    </fill>
    <fill>
      <patternFill patternType="solid">
        <fgColor rgb="FFEFA180"/>
        <bgColor rgb="FFEFA180"/>
      </patternFill>
    </fill>
    <fill>
      <patternFill patternType="solid">
        <fgColor rgb="FF65BF8C"/>
        <bgColor rgb="FF65BF8C"/>
      </patternFill>
    </fill>
    <fill>
      <patternFill patternType="solid">
        <fgColor rgb="FFEAE098"/>
        <bgColor rgb="FFEAE098"/>
      </patternFill>
    </fill>
    <fill>
      <patternFill patternType="solid">
        <fgColor rgb="FFF6E399"/>
        <bgColor rgb="FFF6E399"/>
      </patternFill>
    </fill>
    <fill>
      <patternFill patternType="solid">
        <fgColor rgb="FFECE198"/>
        <bgColor rgb="FFECE198"/>
      </patternFill>
    </fill>
    <fill>
      <patternFill patternType="solid">
        <fgColor rgb="FFFDE599"/>
        <bgColor rgb="FFFDE599"/>
      </patternFill>
    </fill>
    <fill>
      <patternFill patternType="solid">
        <fgColor rgb="FF69C08C"/>
        <bgColor rgb="FF69C08C"/>
      </patternFill>
    </fill>
    <fill>
      <patternFill patternType="solid">
        <fgColor rgb="FFDEDD96"/>
        <bgColor rgb="FFDEDD96"/>
      </patternFill>
    </fill>
    <fill>
      <patternFill patternType="solid">
        <fgColor rgb="FF6CC18C"/>
        <bgColor rgb="FF6CC18C"/>
      </patternFill>
    </fill>
    <fill>
      <patternFill patternType="solid">
        <fgColor rgb="FFE3DE97"/>
        <bgColor rgb="FFE3DE97"/>
      </patternFill>
    </fill>
    <fill>
      <patternFill patternType="solid">
        <fgColor rgb="FF6FC18D"/>
        <bgColor rgb="FF6FC18D"/>
      </patternFill>
    </fill>
    <fill>
      <patternFill patternType="solid">
        <fgColor rgb="FF71C28D"/>
        <bgColor rgb="FF71C28D"/>
      </patternFill>
    </fill>
    <fill>
      <patternFill patternType="solid">
        <fgColor rgb="FFD5DB96"/>
        <bgColor rgb="FFD5DB96"/>
      </patternFill>
    </fill>
    <fill>
      <patternFill patternType="solid">
        <fgColor rgb="FF72C28D"/>
        <bgColor rgb="FF72C28D"/>
      </patternFill>
    </fill>
    <fill>
      <patternFill patternType="solid">
        <fgColor rgb="FFF2E298"/>
        <bgColor rgb="FFF2E298"/>
      </patternFill>
    </fill>
    <fill>
      <patternFill patternType="solid">
        <fgColor rgb="FF6EC18D"/>
        <bgColor rgb="FF6EC18D"/>
      </patternFill>
    </fill>
    <fill>
      <patternFill patternType="solid">
        <fgColor rgb="FFDBDC96"/>
        <bgColor rgb="FFDBDC96"/>
      </patternFill>
    </fill>
    <fill>
      <patternFill patternType="solid">
        <fgColor rgb="FFE67C73"/>
        <bgColor rgb="FFE67C73"/>
      </patternFill>
    </fill>
    <fill>
      <patternFill patternType="solid">
        <fgColor rgb="FFFEE599"/>
        <bgColor rgb="FFFEE599"/>
      </patternFill>
    </fill>
    <fill>
      <patternFill patternType="solid">
        <fgColor rgb="FFEB917A"/>
        <bgColor rgb="FFEB917A"/>
      </patternFill>
    </fill>
    <fill>
      <patternFill patternType="solid">
        <fgColor rgb="FFEA8D79"/>
        <bgColor rgb="FFEA8D79"/>
      </patternFill>
    </fill>
    <fill>
      <patternFill patternType="solid">
        <fgColor rgb="FFFCDA95"/>
        <bgColor rgb="FFFCDA95"/>
      </patternFill>
    </fill>
    <fill>
      <patternFill patternType="solid">
        <fgColor rgb="FFFCD995"/>
        <bgColor rgb="FFFCD995"/>
      </patternFill>
    </fill>
    <fill>
      <patternFill patternType="solid">
        <fgColor rgb="FFE88476"/>
        <bgColor rgb="FFE88476"/>
      </patternFill>
    </fill>
    <fill>
      <patternFill patternType="solid">
        <fgColor rgb="FFF6C18C"/>
        <bgColor rgb="FFF6C18C"/>
      </patternFill>
    </fill>
    <fill>
      <patternFill patternType="solid">
        <fgColor rgb="FFF0A883"/>
        <bgColor rgb="FFF0A883"/>
      </patternFill>
    </fill>
    <fill>
      <patternFill patternType="solid">
        <fgColor rgb="FFEC987D"/>
        <bgColor rgb="FFEC987D"/>
      </patternFill>
    </fill>
    <fill>
      <patternFill patternType="solid">
        <fgColor rgb="FFFAD392"/>
        <bgColor rgb="FFFAD392"/>
      </patternFill>
    </fill>
    <fill>
      <patternFill patternType="solid">
        <fgColor rgb="FFEE9E7F"/>
        <bgColor rgb="FFEE9E7F"/>
      </patternFill>
    </fill>
    <fill>
      <patternFill patternType="solid">
        <fgColor rgb="FFF7C78E"/>
        <bgColor rgb="FFF7C78E"/>
      </patternFill>
    </fill>
    <fill>
      <patternFill patternType="solid">
        <fgColor rgb="FFF0E298"/>
        <bgColor rgb="FFF0E298"/>
      </patternFill>
    </fill>
    <fill>
      <patternFill patternType="solid">
        <fgColor rgb="FFE9E097"/>
        <bgColor rgb="FFE9E097"/>
      </patternFill>
    </fill>
    <fill>
      <patternFill patternType="solid">
        <fgColor rgb="FFEC977C"/>
        <bgColor rgb="FFEC977C"/>
      </patternFill>
    </fill>
    <fill>
      <patternFill patternType="solid">
        <fgColor rgb="FFE2DE97"/>
        <bgColor rgb="FFE2DE97"/>
      </patternFill>
    </fill>
    <fill>
      <patternFill patternType="solid">
        <fgColor rgb="FFEEE198"/>
        <bgColor rgb="FFEEE198"/>
      </patternFill>
    </fill>
    <fill>
      <patternFill patternType="solid">
        <fgColor rgb="FFE6DF97"/>
        <bgColor rgb="FFE6DF97"/>
      </patternFill>
    </fill>
    <fill>
      <patternFill patternType="solid">
        <fgColor rgb="FFF3E298"/>
        <bgColor rgb="FFF3E298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8">
    <border/>
    <border>
      <left/>
      <right/>
      <top/>
      <bottom/>
    </border>
    <border>
      <left/>
      <right/>
      <top/>
    </border>
    <border>
      <left/>
      <right/>
      <bottom/>
    </border>
    <border>
      <left/>
      <right/>
      <top/>
      <bottom style="thick">
        <color rgb="FFC00000"/>
      </bottom>
    </border>
    <border>
      <bottom style="thick">
        <color rgb="FFC00000"/>
      </bottom>
    </border>
    <border>
      <bottom style="medium">
        <color rgb="FFC00500"/>
      </bottom>
    </border>
    <border>
      <top style="medium">
        <color rgb="FFC00500"/>
      </top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1" fillId="2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2" fillId="2" fontId="2" numFmtId="49" xfId="0" applyAlignment="1" applyBorder="1" applyFont="1" applyNumberFormat="1">
      <alignment horizontal="center"/>
    </xf>
    <xf borderId="0" fillId="2" fontId="2" numFmtId="49" xfId="0" applyAlignment="1" applyFont="1" applyNumberFormat="1">
      <alignment horizontal="center"/>
    </xf>
    <xf borderId="1" fillId="2" fontId="1" numFmtId="0" xfId="0" applyAlignment="1" applyBorder="1" applyFont="1">
      <alignment vertical="bottom"/>
    </xf>
    <xf borderId="1" fillId="2" fontId="2" numFmtId="49" xfId="0" applyAlignment="1" applyBorder="1" applyFont="1" applyNumberFormat="1">
      <alignment horizontal="right" readingOrder="0" vertical="bottom"/>
    </xf>
    <xf borderId="1" fillId="2" fontId="2" numFmtId="49" xfId="0" applyAlignment="1" applyBorder="1" applyFont="1" applyNumberFormat="1">
      <alignment horizontal="right" vertical="bottom"/>
    </xf>
    <xf borderId="3" fillId="0" fontId="3" numFmtId="0" xfId="0" applyBorder="1" applyFont="1"/>
    <xf borderId="0" fillId="0" fontId="4" numFmtId="164" xfId="0" applyFont="1" applyNumberFormat="1"/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1" fillId="2" fontId="9" numFmtId="0" xfId="0" applyAlignment="1" applyBorder="1" applyFont="1">
      <alignment horizontal="right" vertical="bottom"/>
    </xf>
    <xf borderId="1" fillId="2" fontId="9" numFmtId="49" xfId="0" applyAlignment="1" applyBorder="1" applyFont="1" applyNumberFormat="1">
      <alignment horizontal="right" vertical="bottom"/>
    </xf>
    <xf borderId="0" fillId="3" fontId="7" numFmtId="164" xfId="0" applyAlignment="1" applyFill="1" applyFont="1" applyNumberFormat="1">
      <alignment horizontal="right" vertical="bottom"/>
    </xf>
    <xf borderId="0" fillId="4" fontId="7" numFmtId="164" xfId="0" applyAlignment="1" applyFill="1" applyFont="1" applyNumberFormat="1">
      <alignment horizontal="right" vertical="bottom"/>
    </xf>
    <xf borderId="0" fillId="5" fontId="7" numFmtId="164" xfId="0" applyAlignment="1" applyFill="1" applyFont="1" applyNumberFormat="1">
      <alignment horizontal="right" vertical="bottom"/>
    </xf>
    <xf borderId="0" fillId="6" fontId="7" numFmtId="164" xfId="0" applyAlignment="1" applyFill="1" applyFont="1" applyNumberFormat="1">
      <alignment horizontal="right" vertical="bottom"/>
    </xf>
    <xf borderId="0" fillId="7" fontId="7" numFmtId="164" xfId="0" applyAlignment="1" applyFill="1" applyFont="1" applyNumberFormat="1">
      <alignment horizontal="right" vertical="bottom"/>
    </xf>
    <xf borderId="0" fillId="8" fontId="7" numFmtId="164" xfId="0" applyAlignment="1" applyFill="1" applyFont="1" applyNumberFormat="1">
      <alignment horizontal="right" vertical="bottom"/>
    </xf>
    <xf borderId="0" fillId="9" fontId="7" numFmtId="164" xfId="0" applyAlignment="1" applyFill="1" applyFont="1" applyNumberFormat="1">
      <alignment horizontal="right" vertical="bottom"/>
    </xf>
    <xf borderId="0" fillId="10" fontId="7" numFmtId="164" xfId="0" applyAlignment="1" applyFill="1" applyFont="1" applyNumberFormat="1">
      <alignment horizontal="right" vertical="bottom"/>
    </xf>
    <xf borderId="0" fillId="11" fontId="7" numFmtId="164" xfId="0" applyAlignment="1" applyFill="1" applyFont="1" applyNumberFormat="1">
      <alignment horizontal="right" vertical="bottom"/>
    </xf>
    <xf borderId="0" fillId="12" fontId="7" numFmtId="164" xfId="0" applyAlignment="1" applyFill="1" applyFont="1" applyNumberFormat="1">
      <alignment horizontal="right" vertical="bottom"/>
    </xf>
    <xf borderId="0" fillId="13" fontId="7" numFmtId="164" xfId="0" applyAlignment="1" applyFill="1" applyFont="1" applyNumberFormat="1">
      <alignment horizontal="right" vertical="bottom"/>
    </xf>
    <xf borderId="0" fillId="14" fontId="7" numFmtId="164" xfId="0" applyAlignment="1" applyFill="1" applyFont="1" applyNumberFormat="1">
      <alignment horizontal="right" vertical="bottom"/>
    </xf>
    <xf borderId="0" fillId="15" fontId="7" numFmtId="164" xfId="0" applyAlignment="1" applyFill="1" applyFont="1" applyNumberFormat="1">
      <alignment horizontal="right" vertical="bottom"/>
    </xf>
    <xf borderId="0" fillId="16" fontId="7" numFmtId="164" xfId="0" applyAlignment="1" applyFill="1" applyFont="1" applyNumberFormat="1">
      <alignment horizontal="right" vertical="bottom"/>
    </xf>
    <xf borderId="0" fillId="17" fontId="7" numFmtId="164" xfId="0" applyAlignment="1" applyFill="1" applyFont="1" applyNumberFormat="1">
      <alignment horizontal="right" vertical="bottom"/>
    </xf>
    <xf borderId="0" fillId="18" fontId="7" numFmtId="164" xfId="0" applyAlignment="1" applyFill="1" applyFont="1" applyNumberFormat="1">
      <alignment horizontal="right" vertical="bottom"/>
    </xf>
    <xf borderId="0" fillId="19" fontId="7" numFmtId="164" xfId="0" applyAlignment="1" applyFill="1" applyFont="1" applyNumberFormat="1">
      <alignment horizontal="right" vertical="bottom"/>
    </xf>
    <xf borderId="0" fillId="20" fontId="7" numFmtId="164" xfId="0" applyAlignment="1" applyFill="1" applyFont="1" applyNumberFormat="1">
      <alignment horizontal="right" vertical="bottom"/>
    </xf>
    <xf borderId="0" fillId="21" fontId="7" numFmtId="164" xfId="0" applyAlignment="1" applyFill="1" applyFont="1" applyNumberFormat="1">
      <alignment horizontal="right" vertical="bottom"/>
    </xf>
    <xf borderId="0" fillId="22" fontId="7" numFmtId="164" xfId="0" applyAlignment="1" applyFill="1" applyFont="1" applyNumberFormat="1">
      <alignment horizontal="right" vertical="bottom"/>
    </xf>
    <xf borderId="0" fillId="23" fontId="7" numFmtId="164" xfId="0" applyAlignment="1" applyFill="1" applyFont="1" applyNumberFormat="1">
      <alignment horizontal="right" vertical="bottom"/>
    </xf>
    <xf borderId="0" fillId="24" fontId="7" numFmtId="164" xfId="0" applyAlignment="1" applyFill="1" applyFont="1" applyNumberFormat="1">
      <alignment horizontal="right" vertical="bottom"/>
    </xf>
    <xf borderId="0" fillId="25" fontId="7" numFmtId="164" xfId="0" applyAlignment="1" applyFill="1" applyFont="1" applyNumberFormat="1">
      <alignment horizontal="right" vertical="bottom"/>
    </xf>
    <xf borderId="0" fillId="26" fontId="7" numFmtId="164" xfId="0" applyAlignment="1" applyFill="1" applyFont="1" applyNumberFormat="1">
      <alignment horizontal="right" vertical="bottom"/>
    </xf>
    <xf borderId="0" fillId="27" fontId="7" numFmtId="164" xfId="0" applyAlignment="1" applyFill="1" applyFont="1" applyNumberFormat="1">
      <alignment horizontal="right" vertical="bottom"/>
    </xf>
    <xf borderId="0" fillId="28" fontId="7" numFmtId="164" xfId="0" applyAlignment="1" applyFill="1" applyFont="1" applyNumberFormat="1">
      <alignment horizontal="right" vertical="bottom"/>
    </xf>
    <xf borderId="0" fillId="29" fontId="7" numFmtId="164" xfId="0" applyAlignment="1" applyFill="1" applyFont="1" applyNumberFormat="1">
      <alignment horizontal="right" vertical="bottom"/>
    </xf>
    <xf borderId="0" fillId="30" fontId="7" numFmtId="164" xfId="0" applyAlignment="1" applyFill="1" applyFont="1" applyNumberFormat="1">
      <alignment horizontal="right" vertical="bottom"/>
    </xf>
    <xf borderId="0" fillId="31" fontId="7" numFmtId="164" xfId="0" applyAlignment="1" applyFill="1" applyFont="1" applyNumberFormat="1">
      <alignment horizontal="right" vertical="bottom"/>
    </xf>
    <xf borderId="0" fillId="32" fontId="7" numFmtId="164" xfId="0" applyAlignment="1" applyFill="1" applyFont="1" applyNumberFormat="1">
      <alignment horizontal="right" vertical="bottom"/>
    </xf>
    <xf borderId="0" fillId="33" fontId="7" numFmtId="164" xfId="0" applyAlignment="1" applyFill="1" applyFont="1" applyNumberFormat="1">
      <alignment horizontal="right" vertical="bottom"/>
    </xf>
    <xf borderId="0" fillId="34" fontId="7" numFmtId="164" xfId="0" applyAlignment="1" applyFill="1" applyFont="1" applyNumberFormat="1">
      <alignment horizontal="right" vertical="bottom"/>
    </xf>
    <xf borderId="0" fillId="35" fontId="7" numFmtId="164" xfId="0" applyAlignment="1" applyFill="1" applyFont="1" applyNumberFormat="1">
      <alignment horizontal="right" vertical="bottom"/>
    </xf>
    <xf borderId="0" fillId="36" fontId="7" numFmtId="164" xfId="0" applyAlignment="1" applyFill="1" applyFont="1" applyNumberFormat="1">
      <alignment horizontal="right" vertical="bottom"/>
    </xf>
    <xf borderId="0" fillId="37" fontId="7" numFmtId="164" xfId="0" applyAlignment="1" applyFill="1" applyFont="1" applyNumberFormat="1">
      <alignment horizontal="right" vertical="bottom"/>
    </xf>
    <xf borderId="0" fillId="38" fontId="7" numFmtId="164" xfId="0" applyAlignment="1" applyFill="1" applyFont="1" applyNumberFormat="1">
      <alignment horizontal="right" vertical="bottom"/>
    </xf>
    <xf borderId="0" fillId="39" fontId="7" numFmtId="164" xfId="0" applyAlignment="1" applyFill="1" applyFont="1" applyNumberFormat="1">
      <alignment horizontal="right" vertical="bottom"/>
    </xf>
    <xf borderId="0" fillId="40" fontId="7" numFmtId="164" xfId="0" applyAlignment="1" applyFill="1" applyFont="1" applyNumberForma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horizontal="right" vertical="bottom"/>
    </xf>
    <xf borderId="0" fillId="41" fontId="7" numFmtId="164" xfId="0" applyAlignment="1" applyFill="1" applyFont="1" applyNumberFormat="1">
      <alignment horizontal="right" vertical="bottom"/>
    </xf>
    <xf borderId="0" fillId="15" fontId="7" numFmtId="165" xfId="0" applyAlignment="1" applyFont="1" applyNumberFormat="1">
      <alignment horizontal="right" vertical="bottom"/>
    </xf>
    <xf borderId="0" fillId="41" fontId="7" numFmtId="165" xfId="0" applyAlignment="1" applyFont="1" applyNumberFormat="1">
      <alignment horizontal="right" vertical="bottom"/>
    </xf>
    <xf borderId="0" fillId="25" fontId="7" numFmtId="165" xfId="0" applyAlignment="1" applyFont="1" applyNumberFormat="1">
      <alignment horizontal="right" vertical="bottom"/>
    </xf>
    <xf borderId="0" fillId="30" fontId="7" numFmtId="165" xfId="0" applyAlignment="1" applyFont="1" applyNumberFormat="1">
      <alignment horizontal="right" vertical="bottom"/>
    </xf>
    <xf borderId="0" fillId="32" fontId="7" numFmtId="165" xfId="0" applyAlignment="1" applyFont="1" applyNumberFormat="1">
      <alignment horizontal="right" vertical="bottom"/>
    </xf>
    <xf borderId="0" fillId="34" fontId="7" numFmtId="165" xfId="0" applyAlignment="1" applyFont="1" applyNumberFormat="1">
      <alignment horizontal="right" vertical="bottom"/>
    </xf>
    <xf borderId="0" fillId="35" fontId="7" numFmtId="165" xfId="0" applyAlignment="1" applyFont="1" applyNumberFormat="1">
      <alignment horizontal="right" vertical="bottom"/>
    </xf>
    <xf borderId="0" fillId="37" fontId="7" numFmtId="165" xfId="0" applyAlignment="1" applyFont="1" applyNumberFormat="1">
      <alignment horizontal="right" vertical="bottom"/>
    </xf>
    <xf borderId="0" fillId="39" fontId="7" numFmtId="165" xfId="0" applyAlignment="1" applyFont="1" applyNumberFormat="1">
      <alignment horizontal="right" vertical="bottom"/>
    </xf>
    <xf borderId="0" fillId="42" fontId="7" numFmtId="164" xfId="0" applyAlignment="1" applyFill="1" applyFont="1" applyNumberFormat="1">
      <alignment horizontal="right" vertical="bottom"/>
    </xf>
    <xf borderId="0" fillId="43" fontId="7" numFmtId="164" xfId="0" applyAlignment="1" applyFill="1" applyFont="1" applyNumberFormat="1">
      <alignment horizontal="right" vertical="bottom"/>
    </xf>
    <xf borderId="0" fillId="44" fontId="7" numFmtId="164" xfId="0" applyAlignment="1" applyFill="1" applyFont="1" applyNumberFormat="1">
      <alignment horizontal="right" vertical="bottom"/>
    </xf>
    <xf borderId="0" fillId="45" fontId="7" numFmtId="164" xfId="0" applyAlignment="1" applyFill="1" applyFont="1" applyNumberFormat="1">
      <alignment horizontal="right" vertical="bottom"/>
    </xf>
    <xf borderId="0" fillId="46" fontId="7" numFmtId="164" xfId="0" applyAlignment="1" applyFill="1" applyFont="1" applyNumberFormat="1">
      <alignment horizontal="right" vertical="bottom"/>
    </xf>
    <xf borderId="0" fillId="47" fontId="7" numFmtId="164" xfId="0" applyAlignment="1" applyFill="1" applyFont="1" applyNumberFormat="1">
      <alignment horizontal="right" vertical="bottom"/>
    </xf>
    <xf borderId="0" fillId="48" fontId="7" numFmtId="165" xfId="0" applyAlignment="1" applyFill="1" applyFont="1" applyNumberFormat="1">
      <alignment horizontal="right" vertical="bottom"/>
    </xf>
    <xf borderId="0" fillId="43" fontId="7" numFmtId="165" xfId="0" applyAlignment="1" applyFont="1" applyNumberFormat="1">
      <alignment horizontal="right" vertical="bottom"/>
    </xf>
    <xf borderId="0" fillId="23" fontId="7" numFmtId="165" xfId="0" applyAlignment="1" applyFont="1" applyNumberFormat="1">
      <alignment horizontal="right" vertical="bottom"/>
    </xf>
    <xf borderId="0" fillId="44" fontId="7" numFmtId="165" xfId="0" applyAlignment="1" applyFont="1" applyNumberFormat="1">
      <alignment horizontal="right" vertical="bottom"/>
    </xf>
    <xf borderId="0" fillId="49" fontId="7" numFmtId="165" xfId="0" applyAlignment="1" applyFill="1" applyFont="1" applyNumberFormat="1">
      <alignment horizontal="right" vertical="bottom"/>
    </xf>
    <xf borderId="0" fillId="13" fontId="7" numFmtId="165" xfId="0" applyAlignment="1" applyFont="1" applyNumberFormat="1">
      <alignment horizontal="right" vertical="bottom"/>
    </xf>
    <xf borderId="0" fillId="12" fontId="7" numFmtId="165" xfId="0" applyAlignment="1" applyFont="1" applyNumberFormat="1">
      <alignment horizontal="right" vertical="bottom"/>
    </xf>
    <xf borderId="0" fillId="22" fontId="7" numFmtId="165" xfId="0" applyAlignment="1" applyFont="1" applyNumberFormat="1">
      <alignment horizontal="right" vertical="bottom"/>
    </xf>
    <xf borderId="0" fillId="50" fontId="7" numFmtId="165" xfId="0" applyAlignment="1" applyFill="1" applyFont="1" applyNumberFormat="1">
      <alignment horizontal="right" vertical="bottom"/>
    </xf>
    <xf borderId="0" fillId="51" fontId="7" numFmtId="165" xfId="0" applyAlignment="1" applyFill="1" applyFont="1" applyNumberFormat="1">
      <alignment horizontal="right" vertical="bottom"/>
    </xf>
    <xf borderId="0" fillId="52" fontId="7" numFmtId="165" xfId="0" applyAlignment="1" applyFill="1" applyFont="1" applyNumberFormat="1">
      <alignment horizontal="right" vertical="bottom"/>
    </xf>
    <xf borderId="0" fillId="53" fontId="7" numFmtId="165" xfId="0" applyAlignment="1" applyFill="1" applyFont="1" applyNumberFormat="1">
      <alignment horizontal="right" vertical="bottom"/>
    </xf>
    <xf borderId="0" fillId="54" fontId="7" numFmtId="164" xfId="0" applyAlignment="1" applyFill="1" applyFont="1" applyNumberFormat="1">
      <alignment horizontal="right" vertical="bottom"/>
    </xf>
    <xf borderId="0" fillId="55" fontId="7" numFmtId="164" xfId="0" applyAlignment="1" applyFill="1" applyFont="1" applyNumberFormat="1">
      <alignment horizontal="right" vertical="bottom"/>
    </xf>
    <xf borderId="0" fillId="16" fontId="7" numFmtId="165" xfId="0" applyAlignment="1" applyFont="1" applyNumberFormat="1">
      <alignment horizontal="right" vertical="bottom"/>
    </xf>
    <xf borderId="0" fillId="54" fontId="7" numFmtId="165" xfId="0" applyAlignment="1" applyFont="1" applyNumberFormat="1">
      <alignment horizontal="right" vertical="bottom"/>
    </xf>
    <xf borderId="0" fillId="7" fontId="7" numFmtId="165" xfId="0" applyAlignment="1" applyFont="1" applyNumberFormat="1">
      <alignment horizontal="right" vertical="bottom"/>
    </xf>
    <xf borderId="0" fillId="10" fontId="7" numFmtId="165" xfId="0" applyAlignment="1" applyFont="1" applyNumberFormat="1">
      <alignment horizontal="right" vertical="bottom"/>
    </xf>
    <xf borderId="0" fillId="29" fontId="7" numFmtId="165" xfId="0" applyAlignment="1" applyFont="1" applyNumberFormat="1">
      <alignment horizontal="right" vertical="bottom"/>
    </xf>
    <xf borderId="0" fillId="20" fontId="7" numFmtId="165" xfId="0" applyAlignment="1" applyFont="1" applyNumberFormat="1">
      <alignment horizontal="right" vertical="bottom"/>
    </xf>
    <xf borderId="0" fillId="56" fontId="7" numFmtId="165" xfId="0" applyAlignment="1" applyFill="1" applyFont="1" applyNumberFormat="1">
      <alignment horizontal="right" vertical="bottom"/>
    </xf>
    <xf borderId="0" fillId="4" fontId="7" numFmtId="165" xfId="0" applyAlignment="1" applyFont="1" applyNumberFormat="1">
      <alignment horizontal="right" vertical="bottom"/>
    </xf>
    <xf borderId="0" fillId="28" fontId="7" numFmtId="165" xfId="0" applyAlignment="1" applyFont="1" applyNumberFormat="1">
      <alignment horizontal="right" vertical="bottom"/>
    </xf>
    <xf borderId="0" fillId="19" fontId="7" numFmtId="165" xfId="0" applyAlignment="1" applyFont="1" applyNumberFormat="1">
      <alignment horizontal="right" vertical="bottom"/>
    </xf>
    <xf borderId="0" fillId="21" fontId="7" numFmtId="165" xfId="0" applyAlignment="1" applyFont="1" applyNumberFormat="1">
      <alignment horizontal="right" vertical="bottom"/>
    </xf>
    <xf borderId="0" fillId="33" fontId="7" numFmtId="165" xfId="0" applyAlignment="1" applyFont="1" applyNumberFormat="1">
      <alignment horizontal="right" vertical="bottom"/>
    </xf>
    <xf borderId="0" fillId="57" fontId="7" numFmtId="165" xfId="0" applyAlignment="1" applyFill="1" applyFont="1" applyNumberFormat="1">
      <alignment horizontal="right" vertical="bottom"/>
    </xf>
    <xf borderId="0" fillId="58" fontId="7" numFmtId="165" xfId="0" applyAlignment="1" applyFill="1" applyFont="1" applyNumberFormat="1">
      <alignment horizontal="right" vertical="bottom"/>
    </xf>
    <xf borderId="0" fillId="36" fontId="7" numFmtId="165" xfId="0" applyAlignment="1" applyFont="1" applyNumberFormat="1">
      <alignment horizontal="right" vertical="bottom"/>
    </xf>
    <xf borderId="0" fillId="59" fontId="7" numFmtId="165" xfId="0" applyAlignment="1" applyFill="1" applyFont="1" applyNumberFormat="1">
      <alignment horizontal="right" vertical="bottom"/>
    </xf>
    <xf borderId="0" fillId="60" fontId="7" numFmtId="165" xfId="0" applyAlignment="1" applyFill="1" applyFont="1" applyNumberFormat="1">
      <alignment horizontal="right" vertical="bottom"/>
    </xf>
    <xf borderId="0" fillId="40" fontId="7" numFmtId="165" xfId="0" applyAlignment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1" numFmtId="166" xfId="0" applyAlignment="1" applyFont="1" applyNumberFormat="1">
      <alignment vertical="bottom"/>
    </xf>
    <xf borderId="6" fillId="61" fontId="5" numFmtId="0" xfId="0" applyAlignment="1" applyBorder="1" applyFill="1" applyFont="1">
      <alignment vertical="bottom"/>
    </xf>
    <xf borderId="6" fillId="61" fontId="1" numFmtId="0" xfId="0" applyAlignment="1" applyBorder="1" applyFont="1">
      <alignment vertical="bottom"/>
    </xf>
    <xf borderId="6" fillId="61" fontId="1" numFmtId="10" xfId="0" applyAlignment="1" applyBorder="1" applyFont="1" applyNumberFormat="1">
      <alignment vertical="bottom"/>
    </xf>
    <xf borderId="0" fillId="0" fontId="11" numFmtId="164" xfId="0" applyAlignment="1" applyFont="1" applyNumberFormat="1">
      <alignment horizontal="right" readingOrder="0" shrinkToFit="0" vertical="bottom" wrapText="1"/>
    </xf>
    <xf borderId="7" fillId="0" fontId="11" numFmtId="164" xfId="0" applyAlignment="1" applyBorder="1" applyFont="1" applyNumberFormat="1">
      <alignment horizontal="right" readingOrder="0" shrinkToFit="0" vertical="bottom" wrapText="1"/>
    </xf>
    <xf borderId="0" fillId="0" fontId="12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readingOrder="0" vertical="bottom"/>
    </xf>
    <xf borderId="0" fillId="0" fontId="14" numFmtId="9" xfId="0" applyAlignment="1" applyFont="1" applyNumberFormat="1">
      <alignment horizontal="right" vertical="bottom"/>
    </xf>
    <xf borderId="0" fillId="0" fontId="14" numFmtId="9" xfId="0" applyAlignment="1" applyFont="1" applyNumberFormat="1">
      <alignment horizontal="right" readingOrder="0" vertical="bottom"/>
    </xf>
    <xf borderId="0" fillId="0" fontId="1" numFmtId="0" xfId="0" applyFont="1"/>
    <xf borderId="0" fillId="0" fontId="1" numFmtId="10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readingOrder="0" vertical="bottom"/>
    </xf>
    <xf borderId="0" fillId="62" fontId="1" numFmtId="166" xfId="0" applyAlignment="1" applyFill="1" applyFont="1" applyNumberFormat="1">
      <alignment horizontal="right" readingOrder="0" vertical="bottom"/>
    </xf>
    <xf borderId="0" fillId="0" fontId="12" numFmtId="166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0" xfId="0" applyAlignment="1" applyFont="1" applyNumberFormat="1">
      <alignment horizontal="right" readingOrder="0" vertical="bottom"/>
    </xf>
    <xf borderId="0" fillId="0" fontId="1" numFmtId="9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" numFmtId="9" xfId="0" applyAlignment="1" applyFont="1" applyNumberFormat="1">
      <alignment vertical="bottom"/>
    </xf>
    <xf borderId="0" fillId="0" fontId="16" numFmtId="166" xfId="0" applyAlignment="1" applyFont="1" applyNumberFormat="1">
      <alignment vertical="bottom"/>
    </xf>
    <xf borderId="0" fillId="0" fontId="7" numFmtId="166" xfId="0" applyAlignment="1" applyFont="1" applyNumberFormat="1">
      <alignment vertical="bottom"/>
    </xf>
    <xf borderId="0" fillId="0" fontId="7" numFmtId="10" xfId="0" applyAlignment="1" applyFont="1" applyNumberFormat="1">
      <alignment vertical="bottom"/>
    </xf>
    <xf borderId="0" fillId="0" fontId="12" numFmtId="10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8" numFmtId="10" xfId="0" applyAlignment="1" applyFont="1" applyNumberFormat="1">
      <alignment horizontal="right" vertical="bottom"/>
    </xf>
    <xf borderId="0" fillId="0" fontId="7" numFmtId="167" xfId="0" applyAlignment="1" applyFont="1" applyNumberFormat="1">
      <alignment vertical="bottom"/>
    </xf>
    <xf borderId="0" fillId="0" fontId="12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7" numFmtId="9" xfId="0" applyAlignment="1" applyFont="1" applyNumberFormat="1">
      <alignment vertical="bottom"/>
    </xf>
    <xf borderId="0" fillId="0" fontId="19" numFmtId="9" xfId="0" applyAlignment="1" applyFont="1" applyNumberFormat="1">
      <alignment horizontal="right" vertical="bottom"/>
    </xf>
    <xf borderId="0" fillId="0" fontId="20" numFmtId="9" xfId="0" applyAlignment="1" applyFont="1" applyNumberFormat="1">
      <alignment horizontal="right" vertical="bottom"/>
    </xf>
    <xf borderId="0" fillId="0" fontId="19" numFmtId="9" xfId="0" applyAlignment="1" applyFont="1" applyNumberFormat="1">
      <alignment horizontal="right" readingOrder="0" vertical="bottom"/>
    </xf>
    <xf borderId="0" fillId="0" fontId="20" numFmtId="9" xfId="0" applyAlignment="1" applyFont="1" applyNumberFormat="1">
      <alignment horizontal="right" readingOrder="0" vertical="bottom"/>
    </xf>
    <xf borderId="0" fillId="0" fontId="19" numFmtId="164" xfId="0" applyAlignment="1" applyFont="1" applyNumberFormat="1">
      <alignment horizontal="right" vertical="bottom"/>
    </xf>
    <xf borderId="0" fillId="0" fontId="20" numFmtId="164" xfId="0" applyAlignment="1" applyFont="1" applyNumberFormat="1">
      <alignment horizontal="right" vertical="bottom"/>
    </xf>
    <xf borderId="0" fillId="0" fontId="19" numFmtId="164" xfId="0" applyAlignment="1" applyFont="1" applyNumberFormat="1">
      <alignment horizontal="right" readingOrder="0" vertical="bottom"/>
    </xf>
    <xf borderId="0" fillId="0" fontId="20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7" xfId="0" applyAlignment="1" applyFont="1" applyNumberFormat="1">
      <alignment vertical="bottom"/>
    </xf>
    <xf borderId="0" fillId="62" fontId="20" numFmtId="164" xfId="0" applyAlignment="1" applyFont="1" applyNumberFormat="1">
      <alignment horizontal="right" vertical="bottom"/>
    </xf>
    <xf borderId="0" fillId="0" fontId="7" numFmtId="168" xfId="0" applyAlignment="1" applyFont="1" applyNumberFormat="1">
      <alignment vertical="bottom"/>
    </xf>
    <xf borderId="0" fillId="0" fontId="1" numFmtId="168" xfId="0" applyAlignment="1" applyFont="1" applyNumberFormat="1">
      <alignment horizontal="right" vertical="bottom"/>
    </xf>
    <xf borderId="0" fillId="0" fontId="18" numFmtId="9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69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7" xfId="0" applyAlignment="1" applyFont="1" applyNumberFormat="1">
      <alignment readingOrder="0" vertical="bottom"/>
    </xf>
    <xf borderId="0" fillId="0" fontId="12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readingOrder="0" vertical="bottom"/>
    </xf>
    <xf borderId="6" fillId="61" fontId="5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62" fontId="1" numFmtId="0" xfId="0" applyAlignment="1" applyFont="1">
      <alignment vertical="bottom"/>
    </xf>
    <xf borderId="0" fillId="62" fontId="1" numFmtId="0" xfId="0" applyFont="1"/>
    <xf borderId="0" fillId="0" fontId="15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2" numFmtId="165" xfId="0" applyAlignment="1" applyFont="1" applyNumberFormat="1">
      <alignment horizontal="right" vertical="bottom"/>
    </xf>
    <xf borderId="0" fillId="0" fontId="12" numFmtId="167" xfId="0" applyAlignment="1" applyFont="1" applyNumberFormat="1">
      <alignment vertical="bottom"/>
    </xf>
    <xf borderId="0" fillId="0" fontId="12" numFmtId="3" xfId="0" applyAlignment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0" fillId="63" fontId="1" numFmtId="0" xfId="0" applyAlignment="1" applyFill="1" applyFont="1">
      <alignment vertical="bottom"/>
    </xf>
    <xf borderId="0" fillId="63" fontId="5" numFmtId="0" xfId="0" applyAlignment="1" applyFont="1">
      <alignment vertical="bottom"/>
    </xf>
    <xf borderId="0" fillId="0" fontId="18" numFmtId="165" xfId="0" applyAlignment="1" applyFont="1" applyNumberFormat="1">
      <alignment horizontal="right" readingOrder="0" vertical="bottom"/>
    </xf>
    <xf borderId="0" fillId="63" fontId="1" numFmtId="10" xfId="0" applyAlignment="1" applyFont="1" applyNumberFormat="1">
      <alignment vertical="bottom"/>
    </xf>
    <xf borderId="0" fillId="0" fontId="12" numFmtId="165" xfId="0" applyAlignment="1" applyFont="1" applyNumberFormat="1">
      <alignment vertical="bottom"/>
    </xf>
    <xf borderId="0" fillId="0" fontId="12" numFmtId="170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22" numFmtId="164" xfId="0" applyAlignment="1" applyFont="1" applyNumberFormat="1">
      <alignment horizontal="right" vertical="bottom"/>
    </xf>
    <xf borderId="0" fillId="0" fontId="22" numFmtId="10" xfId="0" applyAlignment="1" applyFont="1" applyNumberFormat="1">
      <alignment horizontal="right" vertical="bottom"/>
    </xf>
    <xf borderId="0" fillId="0" fontId="22" numFmtId="3" xfId="0" applyAlignment="1" applyFont="1" applyNumberFormat="1">
      <alignment horizontal="right" vertical="bottom"/>
    </xf>
    <xf borderId="0" fillId="0" fontId="7" numFmtId="165" xfId="0" applyAlignment="1" applyFont="1" applyNumberFormat="1">
      <alignment vertical="bottom"/>
    </xf>
    <xf borderId="0" fillId="0" fontId="19" numFmtId="10" xfId="0" applyAlignment="1" applyFont="1" applyNumberFormat="1">
      <alignment horizontal="right" vertical="bottom"/>
    </xf>
    <xf borderId="0" fillId="0" fontId="19" numFmtId="165" xfId="0" applyAlignment="1" applyFont="1" applyNumberFormat="1">
      <alignment horizontal="right" vertical="bottom"/>
    </xf>
    <xf borderId="0" fillId="0" fontId="17" numFmtId="0" xfId="0" applyAlignment="1" applyFont="1">
      <alignment readingOrder="0" vertical="bottom"/>
    </xf>
    <xf borderId="0" fillId="0" fontId="12" numFmtId="0" xfId="0" applyAlignment="1" applyFont="1">
      <alignment horizontal="right" vertical="bottom"/>
    </xf>
    <xf borderId="0" fillId="0" fontId="20" numFmtId="10" xfId="0" applyAlignment="1" applyFont="1" applyNumberFormat="1">
      <alignment readingOrder="0" vertical="bottom"/>
    </xf>
    <xf borderId="0" fillId="0" fontId="21" numFmtId="10" xfId="0" applyAlignment="1" applyFont="1" applyNumberFormat="1">
      <alignment vertical="bottom"/>
    </xf>
    <xf borderId="0" fillId="0" fontId="12" numFmtId="0" xfId="0" applyAlignment="1" applyFont="1">
      <alignment horizontal="right" readingOrder="0" vertical="bottom"/>
    </xf>
    <xf borderId="0" fillId="0" fontId="12" numFmtId="164" xfId="0" applyAlignment="1" applyFont="1" applyNumberFormat="1">
      <alignment vertical="bottom"/>
    </xf>
    <xf borderId="0" fillId="0" fontId="22" numFmtId="0" xfId="0" applyAlignment="1" applyFont="1">
      <alignment vertical="bottom"/>
    </xf>
    <xf borderId="0" fillId="0" fontId="12" numFmtId="164" xfId="0" applyAlignment="1" applyFont="1" applyNumberFormat="1">
      <alignment horizontal="right" readingOrder="0" vertical="bottom"/>
    </xf>
    <xf borderId="0" fillId="0" fontId="18" numFmtId="10" xfId="0" applyAlignment="1" applyFont="1" applyNumberFormat="1">
      <alignment horizontal="right" readingOrder="0" vertical="bottom"/>
    </xf>
    <xf borderId="0" fillId="0" fontId="22" numFmtId="164" xfId="0" applyAlignment="1" applyFont="1" applyNumberFormat="1">
      <alignment vertical="bottom"/>
    </xf>
    <xf borderId="0" fillId="0" fontId="22" numFmtId="10" xfId="0" applyAlignment="1" applyFont="1" applyNumberFormat="1">
      <alignment vertical="bottom"/>
    </xf>
    <xf borderId="0" fillId="0" fontId="12" numFmtId="10" xfId="0" applyAlignment="1" applyFont="1" applyNumberFormat="1">
      <alignment vertical="bottom"/>
    </xf>
    <xf borderId="0" fillId="0" fontId="12" numFmtId="3" xfId="0" applyAlignment="1" applyFont="1" applyNumberFormat="1">
      <alignment vertical="bottom"/>
    </xf>
    <xf borderId="0" fillId="0" fontId="22" numFmtId="3" xfId="0" applyAlignment="1" applyFont="1" applyNumberFormat="1">
      <alignment vertical="bottom"/>
    </xf>
    <xf borderId="0" fillId="0" fontId="18" numFmtId="9" xfId="0" applyAlignment="1" applyFont="1" applyNumberFormat="1">
      <alignment horizontal="right" readingOrder="0" vertical="bottom"/>
    </xf>
    <xf borderId="0" fillId="0" fontId="12" numFmtId="9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20" numFmtId="165" xfId="0" applyAlignment="1" applyFont="1" applyNumberFormat="1">
      <alignment horizontal="right" vertical="bottom"/>
    </xf>
    <xf borderId="0" fillId="0" fontId="23" numFmtId="164" xfId="0" applyFont="1" applyNumberFormat="1"/>
    <xf borderId="0" fillId="0" fontId="23" numFmtId="165" xfId="0" applyAlignment="1" applyFont="1" applyNumberFormat="1">
      <alignment horizontal="right" vertical="bottom"/>
    </xf>
    <xf borderId="0" fillId="0" fontId="20" numFmtId="165" xfId="0" applyAlignment="1" applyFont="1" applyNumberFormat="1">
      <alignment readingOrder="0" vertical="bottom"/>
    </xf>
    <xf borderId="0" fillId="0" fontId="24" numFmtId="0" xfId="0" applyAlignment="1" applyFont="1">
      <alignment vertical="bottom"/>
    </xf>
    <xf borderId="6" fillId="61" fontId="6" numFmtId="0" xfId="0" applyAlignment="1" applyBorder="1" applyFont="1">
      <alignment vertical="bottom"/>
    </xf>
    <xf borderId="6" fillId="61" fontId="24" numFmtId="0" xfId="0" applyAlignment="1" applyBorder="1" applyFont="1">
      <alignment vertical="bottom"/>
    </xf>
    <xf borderId="6" fillId="61" fontId="24" numFmtId="10" xfId="0" applyAlignment="1" applyBorder="1" applyFont="1" applyNumberFormat="1">
      <alignment vertical="bottom"/>
    </xf>
    <xf borderId="0" fillId="0" fontId="24" numFmtId="165" xfId="0" applyAlignment="1" applyFont="1" applyNumberFormat="1">
      <alignment horizontal="right" vertical="bottom"/>
    </xf>
    <xf borderId="0" fillId="0" fontId="24" numFmtId="164" xfId="0" applyAlignment="1" applyFont="1" applyNumberFormat="1">
      <alignment vertical="bottom"/>
    </xf>
    <xf borderId="7" fillId="0" fontId="25" numFmtId="164" xfId="0" applyAlignment="1" applyBorder="1" applyFont="1" applyNumberFormat="1">
      <alignment horizontal="right" shrinkToFit="0" vertical="bottom" wrapText="1"/>
    </xf>
    <xf borderId="7" fillId="0" fontId="19" numFmtId="164" xfId="0" applyAlignment="1" applyBorder="1" applyFont="1" applyNumberFormat="1">
      <alignment horizontal="right" shrinkToFit="0" vertical="bottom" wrapText="1"/>
    </xf>
    <xf borderId="0" fillId="0" fontId="26" numFmtId="164" xfId="0" applyAlignment="1" applyFont="1" applyNumberFormat="1">
      <alignment horizontal="right" vertical="bottom"/>
    </xf>
    <xf borderId="0" fillId="0" fontId="19" numFmtId="9" xfId="0" applyAlignment="1" applyFont="1" applyNumberFormat="1">
      <alignment horizontal="right" shrinkToFit="0" vertical="bottom" wrapText="1"/>
    </xf>
    <xf borderId="0" fillId="0" fontId="25" numFmtId="164" xfId="0" applyAlignment="1" applyFont="1" applyNumberFormat="1">
      <alignment horizontal="right" shrinkToFit="0" vertical="bottom" wrapText="1"/>
    </xf>
    <xf borderId="0" fillId="0" fontId="27" numFmtId="164" xfId="0" applyAlignment="1" applyFont="1" applyNumberFormat="1">
      <alignment horizontal="right" vertical="bottom"/>
    </xf>
    <xf borderId="0" fillId="0" fontId="19" numFmtId="164" xfId="0" applyAlignment="1" applyFont="1" applyNumberFormat="1">
      <alignment horizontal="right" shrinkToFit="0" vertical="bottom" wrapText="1"/>
    </xf>
    <xf borderId="0" fillId="0" fontId="24" numFmtId="166" xfId="0" applyAlignment="1" applyFont="1" applyNumberFormat="1">
      <alignment vertical="bottom"/>
    </xf>
    <xf borderId="0" fillId="0" fontId="26" numFmtId="166" xfId="0" applyAlignment="1" applyFont="1" applyNumberFormat="1">
      <alignment horizontal="right" vertical="bottom"/>
    </xf>
    <xf borderId="0" fillId="0" fontId="24" numFmtId="9" xfId="0" applyAlignment="1" applyFont="1" applyNumberFormat="1">
      <alignment vertical="bottom"/>
    </xf>
    <xf borderId="0" fillId="0" fontId="24" numFmtId="164" xfId="0" applyAlignment="1" applyFont="1" applyNumberFormat="1">
      <alignment horizontal="right" vertical="bottom"/>
    </xf>
    <xf borderId="0" fillId="64" fontId="28" numFmtId="0" xfId="0" applyAlignment="1" applyFill="1" applyFont="1">
      <alignment horizontal="center" readingOrder="0" vertical="center"/>
    </xf>
    <xf borderId="0" fillId="65" fontId="28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.25"/>
    <col customWidth="1" min="3" max="3" width="6.38"/>
    <col customWidth="1" min="4" max="5" width="3.25"/>
    <col customWidth="1" min="6" max="6" width="25.13"/>
    <col customWidth="1" min="7" max="7" width="10.13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4">
        <v>2026.0</v>
      </c>
      <c r="P1" s="4">
        <v>2026.0</v>
      </c>
      <c r="Q1" s="4">
        <v>2026.0</v>
      </c>
      <c r="R1" s="4">
        <v>2026.0</v>
      </c>
      <c r="S1" s="4">
        <v>2026.0</v>
      </c>
      <c r="T1" s="5" t="s">
        <v>1</v>
      </c>
      <c r="U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</v>
      </c>
      <c r="I2" s="9">
        <f t="shared" ref="I2:S2" si="1">H2+1</f>
        <v>2</v>
      </c>
      <c r="J2" s="9">
        <f t="shared" si="1"/>
        <v>3</v>
      </c>
      <c r="K2" s="9">
        <f t="shared" si="1"/>
        <v>4</v>
      </c>
      <c r="L2" s="9">
        <f t="shared" si="1"/>
        <v>5</v>
      </c>
      <c r="M2" s="9">
        <f t="shared" si="1"/>
        <v>6</v>
      </c>
      <c r="N2" s="9">
        <f t="shared" si="1"/>
        <v>7</v>
      </c>
      <c r="O2" s="9">
        <f t="shared" si="1"/>
        <v>8</v>
      </c>
      <c r="P2" s="9">
        <f t="shared" si="1"/>
        <v>9</v>
      </c>
      <c r="Q2" s="9">
        <f t="shared" si="1"/>
        <v>10</v>
      </c>
      <c r="R2" s="9">
        <f t="shared" si="1"/>
        <v>11</v>
      </c>
      <c r="S2" s="9">
        <f t="shared" si="1"/>
        <v>12</v>
      </c>
      <c r="T2" s="10"/>
      <c r="U2" s="6"/>
    </row>
    <row r="3"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B4" s="12"/>
      <c r="C4" s="13"/>
      <c r="D4" s="14" t="s">
        <v>4</v>
      </c>
      <c r="E4" s="15"/>
      <c r="F4" s="15"/>
      <c r="G4" s="16"/>
      <c r="H4" s="17">
        <f>'2026-01'!H1024</f>
        <v>21834800</v>
      </c>
      <c r="I4" s="17">
        <f>'2026-01'!I1024+'2026-02'!H1024</f>
        <v>25030800</v>
      </c>
      <c r="J4" s="17">
        <f>'2026-03'!H1024+'2026-02'!I1024+'2026-01'!J1024</f>
        <v>27893600</v>
      </c>
      <c r="K4" s="17">
        <f>'2026-04'!H1024+'2026-03'!I1024+'2026-02'!J1024+'2026-01'!K1024</f>
        <v>39536380</v>
      </c>
      <c r="L4" s="17">
        <f>'2026-04'!I1024+'2026-03'!J1024+'2026-02'!K1024+'2026-01'!L1024+'2026-05'!H1024</f>
        <v>44275318</v>
      </c>
      <c r="M4" s="17">
        <f>'2026-04'!J1024+'2026-03'!K1024+'2026-02'!L1024+'2026-01'!M1024+'2026-05'!I1024+'2026-06'!H1024</f>
        <v>48131979.8</v>
      </c>
      <c r="N4" s="17">
        <f>'2026-04'!K1024+'2026-03'!L1024+'2026-02'!M1024+'2026-01'!N1024+'2026-05'!J1024+'2026-06'!I1024+'2026-07'!H1024</f>
        <v>65737927.78</v>
      </c>
      <c r="O4" s="17">
        <f>'2026-04'!L1024+'2026-03'!M1024+'2026-02'!N1024+'2026-01'!O1024+'2026-05'!K1024+'2026-06'!J1024+'2026-07'!I1024+'2026-08'!H1024</f>
        <v>70821410.56</v>
      </c>
      <c r="P4" s="17">
        <f>'2026-04'!M1024+'2026-03'!N1024+'2026-02'!O1024+'2026-01'!P1024+'2026-05'!L1024+'2026-06'!K1024+'2026-07'!J1024+'2026-08'!I1024+'2026-09'!H1024</f>
        <v>75848778.01</v>
      </c>
      <c r="Q4" s="17">
        <f>'2026-04'!N1024+'2026-03'!O1024+'2026-02'!P1024+'2026-01'!Q1024+'2026-05'!M1024+'2026-06'!L1024+'2026-07'!K1024+'2026-08'!J1024+'2026-09'!I1024+'2026-10'!H1024</f>
        <v>81006082.82</v>
      </c>
      <c r="R4" s="17">
        <f>'2026-04'!O1024+'2026-03'!P1024+'2026-02'!Q1024+'2026-01'!R1024+'2026-05'!N1024+'2026-06'!M1024+'2026-07'!L1024+'2026-08'!K1024+'2026-09'!J1024+'2026-10'!I1024+'2026-11'!H1024</f>
        <v>77477622.9</v>
      </c>
      <c r="S4" s="17">
        <f>'2026-04'!P1024+'2026-03'!Q1024+'2026-02'!R1024+'2026-01'!S1024+'2026-05'!O1024+'2026-06'!N1024+'2026-07'!M1024+'2026-08'!L1024+'2026-09'!K1024+'2026-10'!J1024+'2026-11'!I1024+'2026-12'!H1024</f>
        <v>72290816.35</v>
      </c>
      <c r="T4" s="18">
        <f>SUM(E4:S4)</f>
        <v>649885516.2</v>
      </c>
      <c r="U4" s="11"/>
      <c r="V4" s="11"/>
      <c r="W4" s="11"/>
      <c r="X4" s="11"/>
      <c r="Y4" s="11"/>
      <c r="Z4" s="11"/>
      <c r="AA4" s="11"/>
    </row>
    <row r="5">
      <c r="B5" s="1"/>
      <c r="C5" s="1"/>
      <c r="D5" s="16"/>
      <c r="E5" s="16"/>
      <c r="F5" s="16"/>
      <c r="G5" s="16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1"/>
      <c r="V5" s="11"/>
      <c r="W5" s="11"/>
      <c r="X5" s="11"/>
      <c r="Y5" s="11"/>
      <c r="Z5" s="11"/>
      <c r="AA5" s="11"/>
    </row>
    <row r="6">
      <c r="B6" s="14"/>
      <c r="D6" s="14" t="s">
        <v>5</v>
      </c>
      <c r="E6" s="16"/>
      <c r="F6" s="16"/>
      <c r="G6" s="16"/>
      <c r="H6" s="17">
        <f>'2026-01'!H1027</f>
        <v>21834800</v>
      </c>
      <c r="I6" s="17">
        <f>'2026-01'!I1027+'2026-02'!H1027</f>
        <v>21299300</v>
      </c>
      <c r="J6" s="17">
        <f>'2026-03'!H1027+'2026-02'!I1027+'2026-01'!J1027</f>
        <v>21834800</v>
      </c>
      <c r="K6" s="17">
        <f>'2026-04'!H1027+'2026-03'!I1027+'2026-02'!J1027+'2026-01'!K1027</f>
        <v>31583000</v>
      </c>
      <c r="L6" s="17">
        <f>'2026-04'!I1027+'2026-03'!J1027+'2026-02'!K1027+'2026-01'!L1027+'2026-05'!H1027</f>
        <v>33287500</v>
      </c>
      <c r="M6" s="17">
        <f>'2026-04'!J1027+'2026-03'!K1027+'2026-02'!L1027+'2026-01'!M1027+'2026-05'!I1027+'2026-06'!H1027</f>
        <v>33287500</v>
      </c>
      <c r="N6" s="17">
        <f>'2026-04'!K1027+'2026-03'!L1027+'2026-02'!M1027+'2026-01'!N1027+'2026-05'!J1027+'2026-06'!I1027+'2026-07'!H1027</f>
        <v>48876500</v>
      </c>
      <c r="O6" s="17">
        <f>'2026-04'!L1027+'2026-03'!M1027+'2026-02'!N1027+'2026-01'!O1027+'2026-05'!K1027+'2026-06'!J1027+'2026-07'!I1027+'2026-08'!H1027</f>
        <v>48876500</v>
      </c>
      <c r="P6" s="17">
        <f>'2026-04'!M1027+'2026-03'!N1027+'2026-02'!O1027+'2026-01'!P1027+'2026-05'!L1027+'2026-06'!K1027+'2026-07'!J1027+'2026-08'!I1027+'2026-09'!H1027</f>
        <v>48876500</v>
      </c>
      <c r="Q6" s="17">
        <f>'2026-04'!N1027+'2026-03'!O1027+'2026-02'!P1027+'2026-01'!Q1027+'2026-05'!M1027+'2026-06'!L1027+'2026-07'!K1027+'2026-08'!J1027+'2026-09'!I1027+'2026-10'!H1027</f>
        <v>51442900</v>
      </c>
      <c r="R6" s="17">
        <f>'2026-04'!O1027+'2026-03'!P1027+'2026-02'!Q1027+'2026-01'!R1027+'2026-05'!N1027+'2026-06'!M1027+'2026-07'!L1027+'2026-08'!K1027+'2026-09'!J1027+'2026-10'!I1027+'2026-11'!H1027</f>
        <v>45615900</v>
      </c>
      <c r="S6" s="17">
        <f>'2026-04'!P1027+'2026-03'!Q1027+'2026-02'!R1027+'2026-01'!S1027+'2026-05'!O1027+'2026-06'!N1027+'2026-07'!M1027+'2026-08'!L1027+'2026-09'!K1027+'2026-10'!J1027+'2026-11'!I1027+'2026-12'!H1027</f>
        <v>36725300</v>
      </c>
      <c r="T6" s="18">
        <f>SUM(E6:S6)</f>
        <v>443540500</v>
      </c>
      <c r="U6" s="11"/>
      <c r="V6" s="11"/>
      <c r="W6" s="11"/>
      <c r="X6" s="11"/>
      <c r="Y6" s="11"/>
      <c r="Z6" s="11"/>
      <c r="AA6" s="11"/>
    </row>
    <row r="7">
      <c r="B7" s="1"/>
      <c r="C7" s="14"/>
      <c r="D7" s="16"/>
      <c r="E7" s="15"/>
      <c r="F7" s="15"/>
      <c r="G7" s="16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1"/>
      <c r="V7" s="11"/>
      <c r="W7" s="11"/>
      <c r="X7" s="11"/>
      <c r="Y7" s="11"/>
      <c r="Z7" s="11"/>
      <c r="AA7" s="11"/>
    </row>
    <row r="8">
      <c r="B8" s="20"/>
      <c r="D8" s="20" t="s">
        <v>6</v>
      </c>
      <c r="E8" s="16"/>
      <c r="F8" s="16"/>
      <c r="G8" s="16"/>
      <c r="H8" s="17">
        <f>'2026-01'!H1064</f>
        <v>0</v>
      </c>
      <c r="I8" s="17">
        <f>'2026-01'!I1064+'2026-02'!H1064</f>
        <v>49500</v>
      </c>
      <c r="J8" s="17">
        <f>'2026-03'!H1064+'2026-02'!I1064+'2026-01'!J1064</f>
        <v>100800</v>
      </c>
      <c r="K8" s="17">
        <f>'2026-04'!H1064+'2026-03'!I1064+'2026-02'!J1064+'2026-01'!K1064</f>
        <v>238380</v>
      </c>
      <c r="L8" s="17">
        <f>'2026-04'!I1064+'2026-03'!J1064+'2026-02'!K1064+'2026-01'!L1064+'2026-05'!H1064</f>
        <v>363818</v>
      </c>
      <c r="M8" s="17">
        <f>'2026-04'!J1064+'2026-03'!K1064+'2026-02'!L1064+'2026-01'!M1064+'2026-05'!I1064+'2026-06'!H1064</f>
        <v>545479.8</v>
      </c>
      <c r="N8" s="17">
        <f>'2026-04'!K1064+'2026-03'!L1064+'2026-02'!M1064+'2026-01'!N1064+'2026-05'!J1064+'2026-06'!I1064+'2026-07'!H1064</f>
        <v>746427.78</v>
      </c>
      <c r="O8" s="17">
        <f>'2026-04'!L1064+'2026-03'!M1064+'2026-02'!N1064+'2026-01'!O1064+'2026-05'!K1064+'2026-06'!J1064+'2026-07'!I1064+'2026-08'!H1064</f>
        <v>1628910.558</v>
      </c>
      <c r="P8" s="17">
        <f>'2026-04'!M1064+'2026-03'!N1064+'2026-02'!O1064+'2026-01'!P1064+'2026-05'!L1064+'2026-06'!K1064+'2026-07'!J1064+'2026-08'!I1064+'2026-09'!H1064</f>
        <v>2010278.014</v>
      </c>
      <c r="Q8" s="17">
        <f>'2026-04'!N1064+'2026-03'!O1064+'2026-02'!P1064+'2026-01'!Q1064+'2026-05'!M1064+'2026-06'!L1064+'2026-07'!K1064+'2026-08'!J1064+'2026-09'!I1064+'2026-10'!H1064</f>
        <v>2662182.815</v>
      </c>
      <c r="R8" s="17">
        <f>'2026-04'!O1064+'2026-03'!P1064+'2026-02'!Q1064+'2026-01'!R1064+'2026-05'!N1064+'2026-06'!M1064+'2026-07'!L1064+'2026-08'!K1064+'2026-09'!J1064+'2026-10'!I1064+'2026-11'!H1064</f>
        <v>3241722.897</v>
      </c>
      <c r="S8" s="17">
        <f>'2026-04'!P1064+'2026-03'!Q1064+'2026-02'!R1064+'2026-01'!S1064+'2026-05'!O1064+'2026-06'!N1064+'2026-07'!M1064+'2026-08'!L1064+'2026-09'!K1064+'2026-10'!J1064+'2026-11'!I1064+'2026-12'!H1064</f>
        <v>3797516.346</v>
      </c>
      <c r="T8" s="18">
        <f>SUM(E8:S8)</f>
        <v>15385016.21</v>
      </c>
      <c r="U8" s="11"/>
      <c r="V8" s="11"/>
      <c r="W8" s="11"/>
      <c r="X8" s="11"/>
      <c r="Y8" s="11"/>
      <c r="Z8" s="11"/>
      <c r="AA8" s="11"/>
    </row>
    <row r="9">
      <c r="B9" s="20"/>
      <c r="D9" s="16"/>
      <c r="E9" s="16"/>
      <c r="F9" s="16"/>
      <c r="G9" s="16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1"/>
      <c r="V9" s="11"/>
      <c r="W9" s="11"/>
      <c r="X9" s="11"/>
      <c r="Y9" s="11"/>
      <c r="Z9" s="11"/>
      <c r="AA9" s="11"/>
    </row>
    <row r="10">
      <c r="B10" s="20"/>
      <c r="D10" s="20" t="s">
        <v>7</v>
      </c>
      <c r="E10" s="16"/>
      <c r="F10" s="16"/>
      <c r="G10" s="16"/>
      <c r="H10" s="17">
        <f>'2026-01'!H1081</f>
        <v>0</v>
      </c>
      <c r="I10" s="17">
        <f>'2026-01'!I1081+'2026-02'!H1081</f>
        <v>3682000</v>
      </c>
      <c r="J10" s="17">
        <f>'2026-03'!H1081+'2026-02'!I1081+'2026-01'!J1081</f>
        <v>5958000</v>
      </c>
      <c r="K10" s="17">
        <f>'2026-04'!H1081+'2026-03'!I1081+'2026-02'!J1081+'2026-01'!K1081</f>
        <v>7715000</v>
      </c>
      <c r="L10" s="17">
        <f>'2026-04'!I1081+'2026-03'!J1081+'2026-02'!K1081+'2026-01'!L1081+'2026-05'!H1081</f>
        <v>10624000</v>
      </c>
      <c r="M10" s="17">
        <f>'2026-04'!J1081+'2026-03'!K1081+'2026-02'!L1081+'2026-01'!M1081+'2026-05'!I1081+'2026-06'!H1081</f>
        <v>14299000</v>
      </c>
      <c r="N10" s="17">
        <f>'2026-04'!K1081+'2026-03'!L1081+'2026-02'!M1081+'2026-01'!N1081+'2026-05'!J1081+'2026-06'!I1081+'2026-07'!H1081</f>
        <v>16115000</v>
      </c>
      <c r="O10" s="17">
        <f>'2026-04'!L1081+'2026-03'!M1081+'2026-02'!N1081+'2026-01'!O1081+'2026-05'!K1081+'2026-06'!J1081+'2026-07'!I1081+'2026-08'!H1081</f>
        <v>20316000</v>
      </c>
      <c r="P10" s="17">
        <f>'2026-04'!M1081+'2026-03'!N1081+'2026-02'!O1081+'2026-01'!P1081+'2026-05'!L1081+'2026-06'!K1081+'2026-07'!J1081+'2026-08'!I1081+'2026-09'!H1081</f>
        <v>24962000</v>
      </c>
      <c r="Q10" s="17">
        <f>'2026-04'!N1081+'2026-03'!O1081+'2026-02'!P1081+'2026-01'!Q1081+'2026-05'!M1081+'2026-06'!L1081+'2026-07'!K1081+'2026-08'!J1081+'2026-09'!I1081+'2026-10'!H1081</f>
        <v>26901000</v>
      </c>
      <c r="R10" s="17">
        <f>'2026-04'!O1081+'2026-03'!P1081+'2026-02'!Q1081+'2026-01'!R1081+'2026-05'!N1081+'2026-06'!M1081+'2026-07'!L1081+'2026-08'!K1081+'2026-09'!J1081+'2026-10'!I1081+'2026-11'!H1081</f>
        <v>28620000</v>
      </c>
      <c r="S10" s="17">
        <f>'2026-04'!P1081+'2026-03'!Q1081+'2026-02'!R1081+'2026-01'!S1081+'2026-05'!O1081+'2026-06'!N1081+'2026-07'!M1081+'2026-08'!L1081+'2026-09'!K1081+'2026-10'!J1081+'2026-11'!I1081+'2026-12'!H1081</f>
        <v>31768000</v>
      </c>
      <c r="T10" s="18">
        <f>SUM(E10:S10)</f>
        <v>190960000</v>
      </c>
      <c r="U10" s="11"/>
      <c r="V10" s="11"/>
      <c r="W10" s="11"/>
      <c r="X10" s="11"/>
      <c r="Y10" s="11"/>
      <c r="Z10" s="11"/>
      <c r="AA10" s="11"/>
    </row>
    <row r="11">
      <c r="B11" s="20"/>
      <c r="D11" s="16"/>
      <c r="E11" s="16"/>
      <c r="F11" s="16"/>
      <c r="G11" s="16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1"/>
      <c r="V11" s="11"/>
      <c r="W11" s="11"/>
      <c r="X11" s="11"/>
      <c r="Y11" s="11"/>
      <c r="Z11" s="11"/>
      <c r="AA11" s="11"/>
    </row>
    <row r="12">
      <c r="D12" s="16"/>
      <c r="E12" s="16"/>
      <c r="F12" s="20" t="s">
        <v>4</v>
      </c>
      <c r="G12" s="21" t="s">
        <v>8</v>
      </c>
      <c r="H12" s="22" t="s">
        <v>9</v>
      </c>
      <c r="I12" s="22" t="s">
        <v>10</v>
      </c>
      <c r="J12" s="22" t="s">
        <v>11</v>
      </c>
      <c r="K12" s="22" t="s">
        <v>12</v>
      </c>
      <c r="L12" s="22" t="s">
        <v>13</v>
      </c>
      <c r="M12" s="22" t="s">
        <v>14</v>
      </c>
      <c r="N12" s="22" t="s">
        <v>15</v>
      </c>
      <c r="O12" s="22" t="s">
        <v>16</v>
      </c>
      <c r="P12" s="22" t="s">
        <v>17</v>
      </c>
      <c r="Q12" s="22" t="s">
        <v>18</v>
      </c>
      <c r="R12" s="22" t="s">
        <v>19</v>
      </c>
      <c r="S12" s="22" t="s">
        <v>20</v>
      </c>
      <c r="T12" s="17"/>
    </row>
    <row r="13">
      <c r="F13" s="16"/>
      <c r="G13" s="22" t="s">
        <v>9</v>
      </c>
      <c r="H13" s="23">
        <f>'2026-01'!H1024</f>
        <v>21834800</v>
      </c>
      <c r="I13" s="24">
        <f>'2026-01'!I1024</f>
        <v>3713500</v>
      </c>
      <c r="J13" s="25">
        <f>'2026-01'!J1024</f>
        <v>2420650</v>
      </c>
      <c r="K13" s="26">
        <f>'2026-01'!K1024</f>
        <v>1838115</v>
      </c>
      <c r="L13" s="27">
        <f>'2026-01'!L1024</f>
        <v>1266326.5</v>
      </c>
      <c r="M13" s="28">
        <f>'2026-01'!M1024</f>
        <v>2591719.15</v>
      </c>
      <c r="N13" s="29">
        <f>'2026-01'!N1024</f>
        <v>930651.065</v>
      </c>
      <c r="O13" s="30">
        <f>'2026-01'!O1024</f>
        <v>1397580.172</v>
      </c>
      <c r="P13" s="31">
        <f>'2026-01'!P1024</f>
        <v>2101120.589</v>
      </c>
      <c r="Q13" s="32">
        <f>'2026-01'!Q1024</f>
        <v>480833.0475</v>
      </c>
      <c r="R13" s="33">
        <f>'2026-01'!R1024</f>
        <v>443484.1523</v>
      </c>
      <c r="S13" s="34">
        <f>'2026-01'!S1024</f>
        <v>1575794.087</v>
      </c>
    </row>
    <row r="14">
      <c r="F14" s="16"/>
      <c r="G14" s="22" t="s">
        <v>10</v>
      </c>
      <c r="H14" s="19"/>
      <c r="I14" s="35">
        <f>'2026-02'!H1024</f>
        <v>21317300</v>
      </c>
      <c r="J14" s="36">
        <f>'2026-02'!I1024</f>
        <v>3606650</v>
      </c>
      <c r="K14" s="37">
        <f>'2026-02'!J1024</f>
        <v>2367115</v>
      </c>
      <c r="L14" s="26">
        <f>'2026-02'!K1024</f>
        <v>1824726.5</v>
      </c>
      <c r="M14" s="38">
        <f>'2026-02'!L1024</f>
        <v>1238119.15</v>
      </c>
      <c r="N14" s="39">
        <f>'2026-02'!M1024</f>
        <v>2474371.065</v>
      </c>
      <c r="O14" s="40">
        <f>'2026-02'!N1024</f>
        <v>931804.1715</v>
      </c>
      <c r="P14" s="41">
        <f>'2026-02'!O1024</f>
        <v>1393278.589</v>
      </c>
      <c r="Q14" s="29">
        <f>'2026-02'!P1024</f>
        <v>2060723.048</v>
      </c>
      <c r="R14" s="42">
        <f>'2026-02'!Q1024</f>
        <v>468556.9523</v>
      </c>
      <c r="S14" s="43">
        <f>'2026-02'!R1024</f>
        <v>448402.8875</v>
      </c>
    </row>
    <row r="15">
      <c r="F15" s="16"/>
      <c r="G15" s="22" t="s">
        <v>11</v>
      </c>
      <c r="H15" s="19"/>
      <c r="I15" s="19"/>
      <c r="J15" s="35">
        <f>'2026-03'!H1024</f>
        <v>21866300</v>
      </c>
      <c r="K15" s="24">
        <f>'2026-03'!I1024</f>
        <v>3716650</v>
      </c>
      <c r="L15" s="37">
        <f>'2026-03'!J1024</f>
        <v>2424115</v>
      </c>
      <c r="M15" s="26">
        <f>'2026-03'!K1024</f>
        <v>1841926.5</v>
      </c>
      <c r="N15" s="38">
        <f>'2026-03'!L1024</f>
        <v>1270519.15</v>
      </c>
      <c r="O15" s="39">
        <f>'2026-03'!M1024</f>
        <v>2596331.065</v>
      </c>
      <c r="P15" s="40">
        <f>'2026-03'!N1024</f>
        <v>935724.1715</v>
      </c>
      <c r="Q15" s="41">
        <f>'2026-03'!O1024</f>
        <v>1403160.589</v>
      </c>
      <c r="R15" s="29">
        <f>'2026-03'!P1024</f>
        <v>2107259.048</v>
      </c>
      <c r="S15" s="44">
        <f>'2026-03'!Q1024</f>
        <v>487585.3523</v>
      </c>
    </row>
    <row r="16">
      <c r="F16" s="16"/>
      <c r="G16" s="22" t="s">
        <v>12</v>
      </c>
      <c r="H16" s="19"/>
      <c r="I16" s="19"/>
      <c r="J16" s="19"/>
      <c r="K16" s="45">
        <f>'2026-04'!H1024</f>
        <v>31614500</v>
      </c>
      <c r="L16" s="36">
        <f>'2026-04'!I1024</f>
        <v>5436650</v>
      </c>
      <c r="M16" s="46">
        <f>'2026-04'!J1024</f>
        <v>3397115</v>
      </c>
      <c r="N16" s="26">
        <f>'2026-04'!K1024</f>
        <v>2740726.5</v>
      </c>
      <c r="O16" s="47">
        <f>'2026-04'!L1024</f>
        <v>1843719.15</v>
      </c>
      <c r="P16" s="29">
        <f>'2026-04'!M1024</f>
        <v>3550771.065</v>
      </c>
      <c r="Q16" s="40">
        <f>'2026-04'!N1024</f>
        <v>1363084.172</v>
      </c>
      <c r="R16" s="48">
        <f>'2026-04'!O1024</f>
        <v>1763654.589</v>
      </c>
      <c r="S16" s="49">
        <f>'2026-04'!P1024</f>
        <v>2752347.048</v>
      </c>
    </row>
    <row r="17">
      <c r="F17" s="16"/>
      <c r="G17" s="22" t="s">
        <v>13</v>
      </c>
      <c r="H17" s="19"/>
      <c r="I17" s="19"/>
      <c r="J17" s="19"/>
      <c r="K17" s="19"/>
      <c r="L17" s="50">
        <f>'2026-05'!H1024</f>
        <v>33323500</v>
      </c>
      <c r="M17" s="36">
        <f>'2026-05'!I1024</f>
        <v>5739600</v>
      </c>
      <c r="N17" s="46">
        <f>'2026-05'!J1024</f>
        <v>3669560</v>
      </c>
      <c r="O17" s="26">
        <f>'2026-05'!K1024</f>
        <v>2858316</v>
      </c>
      <c r="P17" s="30">
        <f>'2026-05'!L1024</f>
        <v>1907907.6</v>
      </c>
      <c r="Q17" s="39">
        <f>'2026-05'!M1024</f>
        <v>3803298.36</v>
      </c>
      <c r="R17" s="40">
        <f>'2026-05'!N1024</f>
        <v>1451936.196</v>
      </c>
      <c r="S17" s="48">
        <f>'2026-05'!O1024</f>
        <v>1877503.816</v>
      </c>
    </row>
    <row r="18">
      <c r="F18" s="16"/>
      <c r="G18" s="22" t="s">
        <v>14</v>
      </c>
      <c r="H18" s="19"/>
      <c r="I18" s="19"/>
      <c r="J18" s="19"/>
      <c r="K18" s="19"/>
      <c r="L18" s="19"/>
      <c r="M18" s="50">
        <f>'2026-06'!H1024</f>
        <v>33323500</v>
      </c>
      <c r="N18" s="36">
        <f>'2026-06'!I1024</f>
        <v>5739600</v>
      </c>
      <c r="O18" s="51">
        <f>'2026-06'!J1024</f>
        <v>3669560</v>
      </c>
      <c r="P18" s="26">
        <f>'2026-06'!K1024</f>
        <v>2858316</v>
      </c>
      <c r="Q18" s="38">
        <f>'2026-06'!L1024</f>
        <v>1907907.6</v>
      </c>
      <c r="R18" s="25">
        <f>'2026-06'!M1024</f>
        <v>3803298.36</v>
      </c>
      <c r="S18" s="29">
        <f>'2026-06'!N1024</f>
        <v>1451936.196</v>
      </c>
    </row>
    <row r="19">
      <c r="F19" s="16"/>
      <c r="G19" s="22" t="s">
        <v>15</v>
      </c>
      <c r="H19" s="19"/>
      <c r="I19" s="19"/>
      <c r="J19" s="19"/>
      <c r="K19" s="19"/>
      <c r="L19" s="19"/>
      <c r="M19" s="19"/>
      <c r="N19" s="52">
        <f>'2026-07'!H1024</f>
        <v>48912500</v>
      </c>
      <c r="O19" s="53">
        <f>'2026-07'!I1024</f>
        <v>8611600</v>
      </c>
      <c r="P19" s="24">
        <f>'2026-07'!J1024</f>
        <v>5577560</v>
      </c>
      <c r="Q19" s="26">
        <f>'2026-07'!K1024</f>
        <v>4323516</v>
      </c>
      <c r="R19" s="38">
        <f>'2026-07'!L1024</f>
        <v>2892307.6</v>
      </c>
      <c r="S19" s="37">
        <f>'2026-07'!M1024</f>
        <v>5839858.36</v>
      </c>
    </row>
    <row r="20">
      <c r="F20" s="16"/>
      <c r="G20" s="22" t="s">
        <v>16</v>
      </c>
      <c r="H20" s="19"/>
      <c r="I20" s="19"/>
      <c r="J20" s="19"/>
      <c r="K20" s="19"/>
      <c r="L20" s="19"/>
      <c r="M20" s="19"/>
      <c r="N20" s="19"/>
      <c r="O20" s="54">
        <f>'2026-08'!H1024</f>
        <v>48912500</v>
      </c>
      <c r="P20" s="53">
        <f>'2026-08'!I1024</f>
        <v>8611600</v>
      </c>
      <c r="Q20" s="24">
        <f>'2026-08'!J1024</f>
        <v>5577560</v>
      </c>
      <c r="R20" s="26">
        <f>'2026-08'!K1024</f>
        <v>4323516</v>
      </c>
      <c r="S20" s="28">
        <f>'2026-08'!L1024</f>
        <v>2892307.6</v>
      </c>
    </row>
    <row r="21">
      <c r="F21" s="16"/>
      <c r="G21" s="22" t="s">
        <v>17</v>
      </c>
      <c r="H21" s="19"/>
      <c r="I21" s="19"/>
      <c r="J21" s="19"/>
      <c r="K21" s="19"/>
      <c r="L21" s="19"/>
      <c r="M21" s="19"/>
      <c r="N21" s="19"/>
      <c r="O21" s="19"/>
      <c r="P21" s="55">
        <f>'2026-09'!H1024</f>
        <v>48912500</v>
      </c>
      <c r="Q21" s="56">
        <f>'2026-09'!I1024</f>
        <v>8611600</v>
      </c>
      <c r="R21" s="26">
        <f>'2026-09'!J1024</f>
        <v>5577560</v>
      </c>
      <c r="S21" s="53">
        <f>'2026-09'!K1024</f>
        <v>4323516</v>
      </c>
    </row>
    <row r="22">
      <c r="F22" s="16"/>
      <c r="G22" s="22" t="s">
        <v>18</v>
      </c>
      <c r="H22" s="19"/>
      <c r="I22" s="19"/>
      <c r="J22" s="19"/>
      <c r="K22" s="19"/>
      <c r="L22" s="19"/>
      <c r="M22" s="19"/>
      <c r="N22" s="19"/>
      <c r="O22" s="19"/>
      <c r="P22" s="19"/>
      <c r="Q22" s="57">
        <f>'2026-10'!H1024</f>
        <v>51474400</v>
      </c>
      <c r="R22" s="53">
        <f>'2026-10'!I1024</f>
        <v>8998650</v>
      </c>
      <c r="S22" s="58">
        <f>'2026-10'!J1024</f>
        <v>5893115</v>
      </c>
    </row>
    <row r="23">
      <c r="F23" s="16"/>
      <c r="G23" s="22" t="s">
        <v>19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59">
        <f>'2026-11'!H1024</f>
        <v>45647400</v>
      </c>
      <c r="S23" s="60">
        <f>'2026-11'!I1024</f>
        <v>8000650</v>
      </c>
    </row>
    <row r="24">
      <c r="F24" s="16"/>
      <c r="G24" s="22" t="s">
        <v>20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54">
        <f>'2026-12'!H1024</f>
        <v>36747800</v>
      </c>
    </row>
    <row r="25">
      <c r="F25" s="16"/>
      <c r="G25" s="16"/>
      <c r="H25" s="61">
        <f t="shared" ref="H25:S25" si="2">SUM(H13:H24)</f>
        <v>21834800</v>
      </c>
      <c r="I25" s="61">
        <f t="shared" si="2"/>
        <v>25030800</v>
      </c>
      <c r="J25" s="61">
        <f t="shared" si="2"/>
        <v>27893600</v>
      </c>
      <c r="K25" s="61">
        <f t="shared" si="2"/>
        <v>39536380</v>
      </c>
      <c r="L25" s="61">
        <f t="shared" si="2"/>
        <v>44275318</v>
      </c>
      <c r="M25" s="61">
        <f t="shared" si="2"/>
        <v>48131979.8</v>
      </c>
      <c r="N25" s="61">
        <f t="shared" si="2"/>
        <v>65737927.78</v>
      </c>
      <c r="O25" s="61">
        <f t="shared" si="2"/>
        <v>70821410.56</v>
      </c>
      <c r="P25" s="61">
        <f t="shared" si="2"/>
        <v>75848778.01</v>
      </c>
      <c r="Q25" s="61">
        <f t="shared" si="2"/>
        <v>81006082.82</v>
      </c>
      <c r="R25" s="61">
        <f t="shared" si="2"/>
        <v>77477622.9</v>
      </c>
      <c r="S25" s="61">
        <f t="shared" si="2"/>
        <v>72290816.35</v>
      </c>
    </row>
    <row r="26">
      <c r="F26" s="16"/>
      <c r="G26" s="16"/>
      <c r="H26" s="62" t="b">
        <f t="shared" ref="H26:S26" si="3">H25=H4</f>
        <v>1</v>
      </c>
      <c r="I26" s="62" t="b">
        <f t="shared" si="3"/>
        <v>1</v>
      </c>
      <c r="J26" s="62" t="b">
        <f t="shared" si="3"/>
        <v>1</v>
      </c>
      <c r="K26" s="62" t="b">
        <f t="shared" si="3"/>
        <v>1</v>
      </c>
      <c r="L26" s="62" t="b">
        <f t="shared" si="3"/>
        <v>1</v>
      </c>
      <c r="M26" s="62" t="b">
        <f t="shared" si="3"/>
        <v>1</v>
      </c>
      <c r="N26" s="62" t="b">
        <f t="shared" si="3"/>
        <v>1</v>
      </c>
      <c r="O26" s="62" t="b">
        <f t="shared" si="3"/>
        <v>1</v>
      </c>
      <c r="P26" s="62" t="b">
        <f t="shared" si="3"/>
        <v>1</v>
      </c>
      <c r="Q26" s="62" t="b">
        <f t="shared" si="3"/>
        <v>1</v>
      </c>
      <c r="R26" s="62" t="b">
        <f t="shared" si="3"/>
        <v>1</v>
      </c>
      <c r="S26" s="62" t="b">
        <f t="shared" si="3"/>
        <v>1</v>
      </c>
    </row>
    <row r="27"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>
      <c r="F28" s="16"/>
      <c r="G28" s="16"/>
      <c r="H28" s="63">
        <v>5.0</v>
      </c>
      <c r="I28" s="63">
        <v>6.0</v>
      </c>
      <c r="J28" s="63">
        <v>7.0</v>
      </c>
      <c r="K28" s="63">
        <v>8.0</v>
      </c>
      <c r="L28" s="63">
        <v>9.0</v>
      </c>
      <c r="M28" s="63">
        <v>10.0</v>
      </c>
      <c r="N28" s="63">
        <v>11.0</v>
      </c>
      <c r="O28" s="63">
        <v>12.0</v>
      </c>
      <c r="P28" s="63">
        <v>13.0</v>
      </c>
      <c r="Q28" s="63">
        <v>14.0</v>
      </c>
      <c r="R28" s="63">
        <v>15.0</v>
      </c>
      <c r="S28" s="63">
        <v>16.0</v>
      </c>
    </row>
    <row r="29">
      <c r="F29" s="20" t="s">
        <v>5</v>
      </c>
      <c r="G29" s="21" t="s">
        <v>8</v>
      </c>
      <c r="H29" s="22" t="s">
        <v>9</v>
      </c>
      <c r="I29" s="22" t="s">
        <v>10</v>
      </c>
      <c r="J29" s="22" t="s">
        <v>11</v>
      </c>
      <c r="K29" s="22" t="s">
        <v>12</v>
      </c>
      <c r="L29" s="22" t="s">
        <v>13</v>
      </c>
      <c r="M29" s="22" t="s">
        <v>14</v>
      </c>
      <c r="N29" s="22" t="s">
        <v>15</v>
      </c>
      <c r="O29" s="22" t="s">
        <v>16</v>
      </c>
      <c r="P29" s="22" t="s">
        <v>17</v>
      </c>
      <c r="Q29" s="22" t="s">
        <v>18</v>
      </c>
      <c r="R29" s="22" t="s">
        <v>19</v>
      </c>
      <c r="S29" s="22" t="s">
        <v>20</v>
      </c>
    </row>
    <row r="30">
      <c r="F30" s="19" t="str">
        <f>"2026-01"</f>
        <v>2026-01</v>
      </c>
      <c r="G30" s="22" t="s">
        <v>9</v>
      </c>
      <c r="H30" s="23">
        <f>IFERROR(__xludf.DUMMYFUNCTION("QUERY(
INDIRECT(""'"" &amp;$F30  &amp; ""'!D:Z""),""SELECT Col""&amp;H$28&amp;"" WHERE Col1 = 'Activation'"")"),2.18348E7)</f>
        <v>21834800</v>
      </c>
      <c r="I30" s="64">
        <f>IFERROR(__xludf.DUMMYFUNCTION("QUERY(
INDIRECT(""'"" &amp;$F30  &amp; ""'!D:Z""),""SELECT Col""&amp;I$28&amp;"" WHERE Col1 = 'Activation'"")"),0.0)</f>
        <v>0</v>
      </c>
      <c r="J30" s="64">
        <f>IFERROR(__xludf.DUMMYFUNCTION("QUERY(
INDIRECT(""'"" &amp;$F30  &amp; ""'!D:Z""),""SELECT Col""&amp;J$28&amp;"" WHERE Col1 = 'Activation'"")"),0.0)</f>
        <v>0</v>
      </c>
      <c r="K30" s="64">
        <f>IFERROR(__xludf.DUMMYFUNCTION("QUERY(
INDIRECT(""'"" &amp;$F30  &amp; ""'!D:Z""),""SELECT Col""&amp;K$28&amp;"" WHERE Col1 = 'Activation'"")"),0.0)</f>
        <v>0</v>
      </c>
      <c r="L30" s="64">
        <f>IFERROR(__xludf.DUMMYFUNCTION("QUERY(
INDIRECT(""'"" &amp;$F30  &amp; ""'!D:Z""),""SELECT Col""&amp;L$28&amp;"" WHERE Col1 = 'Activation'"")"),0.0)</f>
        <v>0</v>
      </c>
      <c r="M30" s="64">
        <f>IFERROR(__xludf.DUMMYFUNCTION("QUERY(
INDIRECT(""'"" &amp;$F30  &amp; ""'!D:Z""),""SELECT Col""&amp;M$28&amp;"" WHERE Col1 = 'Activation'"")"),0.0)</f>
        <v>0</v>
      </c>
      <c r="N30" s="64">
        <f>IFERROR(__xludf.DUMMYFUNCTION("QUERY(
INDIRECT(""'"" &amp;$F30  &amp; ""'!D:Z""),""SELECT Col""&amp;N$28&amp;"" WHERE Col1 = 'Activation'"")"),0.0)</f>
        <v>0</v>
      </c>
      <c r="O30" s="64">
        <f>IFERROR(__xludf.DUMMYFUNCTION("QUERY(
INDIRECT(""'"" &amp;$F30  &amp; ""'!D:Z""),""SELECT Col""&amp;O$28&amp;"" WHERE Col1 = 'Activation'"")"),0.0)</f>
        <v>0</v>
      </c>
      <c r="P30" s="64">
        <f>IFERROR(__xludf.DUMMYFUNCTION("QUERY(
INDIRECT(""'"" &amp;$F30  &amp; ""'!D:Z""),""SELECT Col""&amp;P$28&amp;"" WHERE Col1 = 'Activation'"")"),0.0)</f>
        <v>0</v>
      </c>
      <c r="Q30" s="64">
        <f>IFERROR(__xludf.DUMMYFUNCTION("QUERY(
INDIRECT(""'"" &amp;$F30  &amp; ""'!D:Z""),""SELECT Col""&amp;Q$28&amp;"" WHERE Col1 = 'Activation'"")"),0.0)</f>
        <v>0</v>
      </c>
      <c r="R30" s="64">
        <f>IFERROR(__xludf.DUMMYFUNCTION("QUERY(
INDIRECT(""'"" &amp;$F30  &amp; ""'!D:Z""),""SELECT Col""&amp;R$28&amp;"" WHERE Col1 = 'Activation'"")"),0.0)</f>
        <v>0</v>
      </c>
      <c r="S30" s="64">
        <f>IFERROR(__xludf.DUMMYFUNCTION("QUERY(
INDIRECT(""'"" &amp;$F30  &amp; ""'!D:Z""),""SELECT Col""&amp;S$28&amp;"" WHERE Col1 = 'Activation'"")"),0.0)</f>
        <v>0</v>
      </c>
    </row>
    <row r="31">
      <c r="F31" s="19" t="str">
        <f>"2026-02"</f>
        <v>2026-02</v>
      </c>
      <c r="G31" s="22" t="s">
        <v>10</v>
      </c>
      <c r="H31" s="19"/>
      <c r="I31" s="65">
        <f>'2026-02'!H1027</f>
        <v>21299300</v>
      </c>
      <c r="J31" s="66">
        <f>'2026-02'!I1027</f>
        <v>0</v>
      </c>
      <c r="K31" s="66">
        <f>'2026-02'!J1027</f>
        <v>0</v>
      </c>
      <c r="L31" s="66">
        <f>'2026-02'!K1027</f>
        <v>0</v>
      </c>
      <c r="M31" s="66">
        <f>'2026-02'!L1027</f>
        <v>0</v>
      </c>
      <c r="N31" s="66">
        <f>'2026-02'!M1027</f>
        <v>0</v>
      </c>
      <c r="O31" s="66">
        <f>'2026-02'!N1027</f>
        <v>0</v>
      </c>
      <c r="P31" s="66">
        <f>'2026-02'!O1027</f>
        <v>0</v>
      </c>
      <c r="Q31" s="66">
        <f>'2026-02'!P1027</f>
        <v>0</v>
      </c>
      <c r="R31" s="66">
        <f>'2026-02'!Q1027</f>
        <v>0</v>
      </c>
      <c r="S31" s="66">
        <f>'2026-02'!R1027</f>
        <v>0</v>
      </c>
    </row>
    <row r="32">
      <c r="F32" s="19" t="str">
        <f>"2026-03"</f>
        <v>2026-03</v>
      </c>
      <c r="G32" s="22" t="s">
        <v>11</v>
      </c>
      <c r="H32" s="19"/>
      <c r="I32" s="16"/>
      <c r="J32" s="65">
        <f>'2026-03'!H1027</f>
        <v>21834800</v>
      </c>
      <c r="K32" s="66">
        <f>'2026-03'!I1027</f>
        <v>0</v>
      </c>
      <c r="L32" s="66">
        <f>'2026-03'!J1027</f>
        <v>0</v>
      </c>
      <c r="M32" s="66">
        <f>'2026-03'!K1027</f>
        <v>0</v>
      </c>
      <c r="N32" s="66">
        <f>'2026-03'!L1027</f>
        <v>0</v>
      </c>
      <c r="O32" s="66">
        <f>'2026-03'!M1027</f>
        <v>0</v>
      </c>
      <c r="P32" s="66">
        <f>'2026-03'!N1027</f>
        <v>0</v>
      </c>
      <c r="Q32" s="66">
        <f>'2026-03'!O1027</f>
        <v>0</v>
      </c>
      <c r="R32" s="66">
        <f>'2026-03'!P1027</f>
        <v>0</v>
      </c>
      <c r="S32" s="66">
        <f>'2026-03'!Q1027</f>
        <v>0</v>
      </c>
    </row>
    <row r="33">
      <c r="F33" s="19" t="str">
        <f>"2026-04"</f>
        <v>2026-04</v>
      </c>
      <c r="G33" s="22" t="s">
        <v>12</v>
      </c>
      <c r="H33" s="19"/>
      <c r="I33" s="16"/>
      <c r="J33" s="16"/>
      <c r="K33" s="67">
        <f>'2026-04'!H1027</f>
        <v>31583000</v>
      </c>
      <c r="L33" s="66">
        <f>'2026-04'!I1027</f>
        <v>0</v>
      </c>
      <c r="M33" s="66">
        <f>'2026-04'!J1027</f>
        <v>0</v>
      </c>
      <c r="N33" s="66">
        <f>'2026-04'!K1027</f>
        <v>0</v>
      </c>
      <c r="O33" s="66">
        <f>'2026-04'!L1027</f>
        <v>0</v>
      </c>
      <c r="P33" s="66">
        <f>'2026-04'!M1027</f>
        <v>0</v>
      </c>
      <c r="Q33" s="66">
        <f>'2026-04'!N1027</f>
        <v>0</v>
      </c>
      <c r="R33" s="66">
        <f>'2026-04'!O1027</f>
        <v>0</v>
      </c>
      <c r="S33" s="66">
        <f>'2026-04'!P1027</f>
        <v>0</v>
      </c>
    </row>
    <row r="34">
      <c r="F34" s="19" t="str">
        <f>"2026-05"</f>
        <v>2026-05</v>
      </c>
      <c r="G34" s="22" t="s">
        <v>13</v>
      </c>
      <c r="H34" s="19"/>
      <c r="I34" s="16"/>
      <c r="J34" s="16"/>
      <c r="K34" s="16"/>
      <c r="L34" s="68">
        <f>'2026-05'!H1027</f>
        <v>33287500</v>
      </c>
      <c r="M34" s="66">
        <f>'2026-05'!I1027</f>
        <v>0</v>
      </c>
      <c r="N34" s="66">
        <f>'2026-05'!J1027</f>
        <v>0</v>
      </c>
      <c r="O34" s="66">
        <f>'2026-05'!K1027</f>
        <v>0</v>
      </c>
      <c r="P34" s="66">
        <f>'2026-05'!L1027</f>
        <v>0</v>
      </c>
      <c r="Q34" s="66">
        <f>'2026-05'!M1027</f>
        <v>0</v>
      </c>
      <c r="R34" s="66">
        <f>'2026-05'!N1027</f>
        <v>0</v>
      </c>
      <c r="S34" s="66">
        <f>'2026-05'!O1027</f>
        <v>0</v>
      </c>
    </row>
    <row r="35">
      <c r="F35" s="19" t="str">
        <f>"2026-06"</f>
        <v>2026-06</v>
      </c>
      <c r="G35" s="22" t="s">
        <v>14</v>
      </c>
      <c r="H35" s="19"/>
      <c r="I35" s="16"/>
      <c r="J35" s="16"/>
      <c r="K35" s="16"/>
      <c r="L35" s="16"/>
      <c r="M35" s="68">
        <f>'2026-06'!H1027</f>
        <v>33287500</v>
      </c>
      <c r="N35" s="66">
        <f>'2026-06'!I1027</f>
        <v>0</v>
      </c>
      <c r="O35" s="66">
        <f>'2026-06'!J1027</f>
        <v>0</v>
      </c>
      <c r="P35" s="66">
        <f>'2026-06'!K1027</f>
        <v>0</v>
      </c>
      <c r="Q35" s="66">
        <f>'2026-06'!L1027</f>
        <v>0</v>
      </c>
      <c r="R35" s="66">
        <f>'2026-06'!M1027</f>
        <v>0</v>
      </c>
      <c r="S35" s="66">
        <f>'2026-06'!N1027</f>
        <v>0</v>
      </c>
    </row>
    <row r="36">
      <c r="F36" s="19"/>
      <c r="G36" s="22" t="s">
        <v>15</v>
      </c>
      <c r="H36" s="19"/>
      <c r="I36" s="16"/>
      <c r="J36" s="16"/>
      <c r="K36" s="16"/>
      <c r="L36" s="16"/>
      <c r="M36" s="16"/>
      <c r="N36" s="69">
        <f>'2026-07'!H1027</f>
        <v>48876500</v>
      </c>
      <c r="O36" s="66">
        <f>'2026-07'!I1027</f>
        <v>0</v>
      </c>
      <c r="P36" s="66">
        <f>'2026-07'!J1027</f>
        <v>0</v>
      </c>
      <c r="Q36" s="66">
        <f>'2026-07'!K1027</f>
        <v>0</v>
      </c>
      <c r="R36" s="66">
        <f>'2026-07'!L1027</f>
        <v>0</v>
      </c>
      <c r="S36" s="66">
        <f>'2026-07'!M1027</f>
        <v>0</v>
      </c>
    </row>
    <row r="37">
      <c r="F37" s="19"/>
      <c r="G37" s="22" t="s">
        <v>16</v>
      </c>
      <c r="H37" s="19"/>
      <c r="I37" s="16"/>
      <c r="J37" s="16"/>
      <c r="K37" s="16"/>
      <c r="L37" s="16"/>
      <c r="M37" s="16"/>
      <c r="N37" s="16"/>
      <c r="O37" s="70">
        <f>'2026-08'!H1027</f>
        <v>48876500</v>
      </c>
      <c r="P37" s="66">
        <f>'2026-08'!I1027</f>
        <v>0</v>
      </c>
      <c r="Q37" s="66">
        <f>'2026-08'!J1027</f>
        <v>0</v>
      </c>
      <c r="R37" s="66">
        <f>'2026-08'!K1027</f>
        <v>0</v>
      </c>
      <c r="S37" s="66">
        <f>'2026-08'!L1027</f>
        <v>0</v>
      </c>
    </row>
    <row r="38">
      <c r="F38" s="19"/>
      <c r="G38" s="22" t="s">
        <v>17</v>
      </c>
      <c r="H38" s="19"/>
      <c r="I38" s="16"/>
      <c r="J38" s="16"/>
      <c r="K38" s="16"/>
      <c r="L38" s="16"/>
      <c r="M38" s="16"/>
      <c r="N38" s="16"/>
      <c r="O38" s="16"/>
      <c r="P38" s="71">
        <f>'2026-09'!H1027</f>
        <v>48876500</v>
      </c>
      <c r="Q38" s="66">
        <f>'2026-09'!I1027</f>
        <v>0</v>
      </c>
      <c r="R38" s="66">
        <f>'2026-09'!J1027</f>
        <v>0</v>
      </c>
      <c r="S38" s="66">
        <f>'2026-09'!K1027</f>
        <v>0</v>
      </c>
    </row>
    <row r="39">
      <c r="F39" s="19"/>
      <c r="G39" s="22" t="s">
        <v>18</v>
      </c>
      <c r="H39" s="19"/>
      <c r="I39" s="16"/>
      <c r="J39" s="16"/>
      <c r="K39" s="16"/>
      <c r="L39" s="16"/>
      <c r="M39" s="16"/>
      <c r="N39" s="16"/>
      <c r="O39" s="16"/>
      <c r="P39" s="16"/>
      <c r="Q39" s="72">
        <f>'2026-10'!H1027</f>
        <v>51442900</v>
      </c>
      <c r="R39" s="66">
        <f>'2026-10'!I1027</f>
        <v>0</v>
      </c>
      <c r="S39" s="66">
        <f>'2026-10'!J1027</f>
        <v>0</v>
      </c>
    </row>
    <row r="40">
      <c r="F40" s="19"/>
      <c r="G40" s="22" t="s">
        <v>19</v>
      </c>
      <c r="H40" s="19"/>
      <c r="I40" s="16"/>
      <c r="J40" s="16"/>
      <c r="K40" s="16"/>
      <c r="L40" s="16"/>
      <c r="M40" s="16"/>
      <c r="N40" s="16"/>
      <c r="O40" s="16"/>
      <c r="P40" s="16"/>
      <c r="Q40" s="16"/>
      <c r="R40" s="73">
        <f>'2026-11'!H1027</f>
        <v>45615900</v>
      </c>
      <c r="S40" s="66">
        <f>'2026-11'!I1027</f>
        <v>0</v>
      </c>
    </row>
    <row r="41">
      <c r="F41" s="19"/>
      <c r="G41" s="22" t="s">
        <v>20</v>
      </c>
      <c r="H41" s="19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70">
        <f>'2026-12'!H1027</f>
        <v>36725300</v>
      </c>
    </row>
    <row r="42">
      <c r="F42" s="16"/>
      <c r="G42" s="16"/>
      <c r="H42" s="61">
        <f t="shared" ref="H42:S42" si="4">SUM(H30:H41)</f>
        <v>21834800</v>
      </c>
      <c r="I42" s="61">
        <f t="shared" si="4"/>
        <v>21299300</v>
      </c>
      <c r="J42" s="61">
        <f t="shared" si="4"/>
        <v>21834800</v>
      </c>
      <c r="K42" s="61">
        <f t="shared" si="4"/>
        <v>31583000</v>
      </c>
      <c r="L42" s="61">
        <f t="shared" si="4"/>
        <v>33287500</v>
      </c>
      <c r="M42" s="61">
        <f t="shared" si="4"/>
        <v>33287500</v>
      </c>
      <c r="N42" s="61">
        <f t="shared" si="4"/>
        <v>48876500</v>
      </c>
      <c r="O42" s="61">
        <f t="shared" si="4"/>
        <v>48876500</v>
      </c>
      <c r="P42" s="61">
        <f t="shared" si="4"/>
        <v>48876500</v>
      </c>
      <c r="Q42" s="61">
        <f t="shared" si="4"/>
        <v>51442900</v>
      </c>
      <c r="R42" s="61">
        <f t="shared" si="4"/>
        <v>45615900</v>
      </c>
      <c r="S42" s="61">
        <f t="shared" si="4"/>
        <v>36725300</v>
      </c>
    </row>
    <row r="43">
      <c r="F43" s="16"/>
      <c r="G43" s="16"/>
      <c r="H43" s="62" t="b">
        <f t="shared" ref="H43:S43" si="5">H42=H6</f>
        <v>1</v>
      </c>
      <c r="I43" s="62" t="b">
        <f t="shared" si="5"/>
        <v>1</v>
      </c>
      <c r="J43" s="62" t="b">
        <f t="shared" si="5"/>
        <v>1</v>
      </c>
      <c r="K43" s="62" t="b">
        <f t="shared" si="5"/>
        <v>1</v>
      </c>
      <c r="L43" s="62" t="b">
        <f t="shared" si="5"/>
        <v>1</v>
      </c>
      <c r="M43" s="62" t="b">
        <f t="shared" si="5"/>
        <v>1</v>
      </c>
      <c r="N43" s="62" t="b">
        <f t="shared" si="5"/>
        <v>1</v>
      </c>
      <c r="O43" s="62" t="b">
        <f t="shared" si="5"/>
        <v>1</v>
      </c>
      <c r="P43" s="62" t="b">
        <f t="shared" si="5"/>
        <v>1</v>
      </c>
      <c r="Q43" s="62" t="b">
        <f t="shared" si="5"/>
        <v>1</v>
      </c>
      <c r="R43" s="62" t="b">
        <f t="shared" si="5"/>
        <v>1</v>
      </c>
      <c r="S43" s="62" t="b">
        <f t="shared" si="5"/>
        <v>1</v>
      </c>
    </row>
    <row r="44"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>
      <c r="F45" s="20" t="s">
        <v>6</v>
      </c>
      <c r="G45" s="21" t="s">
        <v>8</v>
      </c>
      <c r="H45" s="22" t="s">
        <v>9</v>
      </c>
      <c r="I45" s="22" t="s">
        <v>10</v>
      </c>
      <c r="J45" s="22" t="s">
        <v>11</v>
      </c>
      <c r="K45" s="22" t="s">
        <v>12</v>
      </c>
      <c r="L45" s="22" t="s">
        <v>13</v>
      </c>
      <c r="M45" s="22" t="s">
        <v>14</v>
      </c>
      <c r="N45" s="22" t="s">
        <v>15</v>
      </c>
      <c r="O45" s="22" t="s">
        <v>16</v>
      </c>
      <c r="P45" s="22" t="s">
        <v>17</v>
      </c>
      <c r="Q45" s="22" t="s">
        <v>18</v>
      </c>
      <c r="R45" s="22" t="s">
        <v>19</v>
      </c>
      <c r="S45" s="22" t="s">
        <v>20</v>
      </c>
    </row>
    <row r="46">
      <c r="F46" s="16"/>
      <c r="G46" s="22" t="s">
        <v>9</v>
      </c>
      <c r="H46" s="64">
        <f>'2026-01'!H1064</f>
        <v>0</v>
      </c>
      <c r="I46" s="64">
        <f>'2026-01'!I1064</f>
        <v>31500</v>
      </c>
      <c r="J46" s="74">
        <f>'2026-01'!J1064</f>
        <v>34650</v>
      </c>
      <c r="K46" s="75">
        <f>'2026-01'!K1064</f>
        <v>134115</v>
      </c>
      <c r="L46" s="33">
        <f>'2026-01'!L1064</f>
        <v>112326.5</v>
      </c>
      <c r="M46" s="76">
        <f>'2026-01'!M1064</f>
        <v>175719.15</v>
      </c>
      <c r="N46" s="77">
        <f>'2026-01'!N1064</f>
        <v>140651.065</v>
      </c>
      <c r="O46" s="74">
        <f>'2026-01'!O1064</f>
        <v>819580.1715</v>
      </c>
      <c r="P46" s="78">
        <f>'2026-01'!P1064</f>
        <v>330120.5887</v>
      </c>
      <c r="Q46" s="32">
        <f>'2026-01'!Q1064</f>
        <v>480833.0475</v>
      </c>
      <c r="R46" s="33">
        <f>'2026-01'!R1064</f>
        <v>443484.1523</v>
      </c>
      <c r="S46" s="79">
        <f>'2026-01'!S1064</f>
        <v>252794.0875</v>
      </c>
    </row>
    <row r="47">
      <c r="F47" s="16"/>
      <c r="G47" s="22" t="s">
        <v>10</v>
      </c>
      <c r="H47" s="19"/>
      <c r="I47" s="66">
        <f>'2026-02'!H1064</f>
        <v>18000</v>
      </c>
      <c r="J47" s="66">
        <f>'2026-02'!I1064</f>
        <v>34650</v>
      </c>
      <c r="K47" s="80">
        <f>'2026-02'!J1064</f>
        <v>38115</v>
      </c>
      <c r="L47" s="81">
        <f>'2026-02'!K1064</f>
        <v>142726.5</v>
      </c>
      <c r="M47" s="82">
        <f>'2026-02'!L1064</f>
        <v>118119.15</v>
      </c>
      <c r="N47" s="83">
        <f>'2026-02'!M1064</f>
        <v>179371.065</v>
      </c>
      <c r="O47" s="84">
        <f>'2026-02'!N1064</f>
        <v>151804.1715</v>
      </c>
      <c r="P47" s="85">
        <f>'2026-02'!O1064</f>
        <v>815278.5887</v>
      </c>
      <c r="Q47" s="86">
        <f>'2026-02'!P1064</f>
        <v>332723.0475</v>
      </c>
      <c r="R47" s="87">
        <f>'2026-02'!Q1064</f>
        <v>468556.9523</v>
      </c>
      <c r="S47" s="88">
        <f>'2026-02'!R1064</f>
        <v>448402.8875</v>
      </c>
    </row>
    <row r="48">
      <c r="F48" s="16"/>
      <c r="G48" s="22" t="s">
        <v>11</v>
      </c>
      <c r="H48" s="19"/>
      <c r="I48" s="16"/>
      <c r="J48" s="66">
        <f>'2026-03'!H1064</f>
        <v>31500</v>
      </c>
      <c r="K48" s="66">
        <f>'2026-03'!I1064</f>
        <v>34650</v>
      </c>
      <c r="L48" s="80">
        <f>'2026-03'!J1064</f>
        <v>38115</v>
      </c>
      <c r="M48" s="81">
        <f>'2026-03'!K1064</f>
        <v>137926.5</v>
      </c>
      <c r="N48" s="82">
        <f>'2026-03'!L1064</f>
        <v>116519.15</v>
      </c>
      <c r="O48" s="83">
        <f>'2026-03'!M1064</f>
        <v>180331.065</v>
      </c>
      <c r="P48" s="84">
        <f>'2026-03'!N1064</f>
        <v>145724.1715</v>
      </c>
      <c r="Q48" s="85">
        <f>'2026-03'!O1064</f>
        <v>825160.5887</v>
      </c>
      <c r="R48" s="86">
        <f>'2026-03'!P1064</f>
        <v>336259.0475</v>
      </c>
      <c r="S48" s="87">
        <f>'2026-03'!Q1064</f>
        <v>487585.3523</v>
      </c>
    </row>
    <row r="49">
      <c r="F49" s="16"/>
      <c r="G49" s="22" t="s">
        <v>12</v>
      </c>
      <c r="H49" s="19"/>
      <c r="I49" s="16"/>
      <c r="J49" s="16"/>
      <c r="K49" s="66">
        <f>'2026-04'!H1064</f>
        <v>31500</v>
      </c>
      <c r="L49" s="66">
        <f>'2026-04'!I1064</f>
        <v>34650</v>
      </c>
      <c r="M49" s="80">
        <f>'2026-04'!J1064</f>
        <v>38115</v>
      </c>
      <c r="N49" s="81">
        <f>'2026-04'!K1064</f>
        <v>190726.5</v>
      </c>
      <c r="O49" s="82">
        <f>'2026-04'!L1064</f>
        <v>151719.15</v>
      </c>
      <c r="P49" s="83">
        <f>'2026-04'!M1064</f>
        <v>241771.065</v>
      </c>
      <c r="Q49" s="84">
        <f>'2026-04'!N1064</f>
        <v>193084.1715</v>
      </c>
      <c r="R49" s="85">
        <f>'2026-04'!O1064</f>
        <v>917654.5887</v>
      </c>
      <c r="S49" s="86">
        <f>'2026-04'!P1064</f>
        <v>459347.0475</v>
      </c>
    </row>
    <row r="50">
      <c r="F50" s="16"/>
      <c r="G50" s="22" t="s">
        <v>13</v>
      </c>
      <c r="H50" s="19"/>
      <c r="I50" s="16"/>
      <c r="J50" s="16"/>
      <c r="K50" s="16"/>
      <c r="L50" s="66">
        <f>'2026-05'!H1064</f>
        <v>36000</v>
      </c>
      <c r="M50" s="66">
        <f>'2026-05'!I1064</f>
        <v>39600</v>
      </c>
      <c r="N50" s="80">
        <f>'2026-05'!J1064</f>
        <v>43560</v>
      </c>
      <c r="O50" s="81">
        <f>'2026-05'!K1064</f>
        <v>206316</v>
      </c>
      <c r="P50" s="82">
        <f>'2026-05'!L1064</f>
        <v>151907.6</v>
      </c>
      <c r="Q50" s="83">
        <f>'2026-05'!M1064</f>
        <v>266298.36</v>
      </c>
      <c r="R50" s="84">
        <f>'2026-05'!N1064</f>
        <v>195936.196</v>
      </c>
      <c r="S50" s="85">
        <f>'2026-05'!O1064</f>
        <v>981503.8156</v>
      </c>
    </row>
    <row r="51">
      <c r="F51" s="16"/>
      <c r="G51" s="22" t="s">
        <v>14</v>
      </c>
      <c r="H51" s="19"/>
      <c r="I51" s="16"/>
      <c r="J51" s="16"/>
      <c r="K51" s="16"/>
      <c r="L51" s="16"/>
      <c r="M51" s="66">
        <f>'2026-06'!H1064</f>
        <v>36000</v>
      </c>
      <c r="N51" s="66">
        <f>'2026-06'!I1064</f>
        <v>39600</v>
      </c>
      <c r="O51" s="80">
        <f>'2026-06'!J1064</f>
        <v>43560</v>
      </c>
      <c r="P51" s="81">
        <f>'2026-06'!K1064</f>
        <v>206316</v>
      </c>
      <c r="Q51" s="85">
        <f>'2026-06'!L1064</f>
        <v>151907.6</v>
      </c>
      <c r="R51" s="83">
        <f>'2026-06'!M1064</f>
        <v>266298.36</v>
      </c>
      <c r="S51" s="89">
        <f>'2026-06'!N1064</f>
        <v>195936.196</v>
      </c>
    </row>
    <row r="52">
      <c r="F52" s="16"/>
      <c r="G52" s="22" t="s">
        <v>15</v>
      </c>
      <c r="H52" s="19"/>
      <c r="I52" s="16"/>
      <c r="J52" s="16"/>
      <c r="K52" s="16"/>
      <c r="L52" s="16"/>
      <c r="M52" s="16"/>
      <c r="N52" s="66">
        <f>'2026-07'!H1064</f>
        <v>36000</v>
      </c>
      <c r="O52" s="66">
        <f>'2026-07'!I1064</f>
        <v>39600</v>
      </c>
      <c r="P52" s="80">
        <f>'2026-07'!J1064</f>
        <v>43560</v>
      </c>
      <c r="Q52" s="81">
        <f>'2026-07'!K1064</f>
        <v>297516</v>
      </c>
      <c r="R52" s="85">
        <f>'2026-07'!L1064</f>
        <v>206307.6</v>
      </c>
      <c r="S52" s="83">
        <f>'2026-07'!M1064</f>
        <v>372858.36</v>
      </c>
    </row>
    <row r="53">
      <c r="F53" s="16"/>
      <c r="G53" s="22" t="s">
        <v>16</v>
      </c>
      <c r="H53" s="19"/>
      <c r="I53" s="16"/>
      <c r="J53" s="16"/>
      <c r="K53" s="16"/>
      <c r="L53" s="16"/>
      <c r="M53" s="16"/>
      <c r="N53" s="16"/>
      <c r="O53" s="66">
        <f>'2026-08'!H1064</f>
        <v>36000</v>
      </c>
      <c r="P53" s="66">
        <f>'2026-08'!I1064</f>
        <v>39600</v>
      </c>
      <c r="Q53" s="80">
        <f>'2026-08'!J1064</f>
        <v>43560</v>
      </c>
      <c r="R53" s="81">
        <f>'2026-08'!K1064</f>
        <v>297516</v>
      </c>
      <c r="S53" s="85">
        <f>'2026-08'!L1064</f>
        <v>206307.6</v>
      </c>
    </row>
    <row r="54">
      <c r="F54" s="16"/>
      <c r="G54" s="22" t="s">
        <v>17</v>
      </c>
      <c r="H54" s="19"/>
      <c r="I54" s="16"/>
      <c r="J54" s="16"/>
      <c r="K54" s="16"/>
      <c r="L54" s="16"/>
      <c r="M54" s="16"/>
      <c r="N54" s="16"/>
      <c r="O54" s="16"/>
      <c r="P54" s="66">
        <f>'2026-09'!H1064</f>
        <v>36000</v>
      </c>
      <c r="Q54" s="66">
        <f>'2026-09'!I1064</f>
        <v>39600</v>
      </c>
      <c r="R54" s="90">
        <f>'2026-09'!J1064</f>
        <v>43560</v>
      </c>
      <c r="S54" s="91">
        <f>'2026-09'!K1064</f>
        <v>297516</v>
      </c>
    </row>
    <row r="55">
      <c r="F55" s="16"/>
      <c r="G55" s="22" t="s">
        <v>18</v>
      </c>
      <c r="H55" s="19"/>
      <c r="I55" s="16"/>
      <c r="J55" s="16"/>
      <c r="K55" s="16"/>
      <c r="L55" s="16"/>
      <c r="M55" s="16"/>
      <c r="N55" s="16"/>
      <c r="O55" s="16"/>
      <c r="P55" s="16"/>
      <c r="Q55" s="66">
        <f>'2026-10'!H1064</f>
        <v>31500</v>
      </c>
      <c r="R55" s="66">
        <f>'2026-10'!I1064</f>
        <v>34650</v>
      </c>
      <c r="S55" s="90">
        <f>'2026-10'!J1064</f>
        <v>38115</v>
      </c>
    </row>
    <row r="56">
      <c r="F56" s="16"/>
      <c r="G56" s="22" t="s">
        <v>19</v>
      </c>
      <c r="H56" s="19"/>
      <c r="I56" s="16"/>
      <c r="J56" s="16"/>
      <c r="K56" s="16"/>
      <c r="L56" s="16"/>
      <c r="M56" s="16"/>
      <c r="N56" s="16"/>
      <c r="O56" s="16"/>
      <c r="P56" s="16"/>
      <c r="Q56" s="16"/>
      <c r="R56" s="66">
        <f>'2026-11'!H1064</f>
        <v>31500</v>
      </c>
      <c r="S56" s="66">
        <f>'2026-11'!I1064</f>
        <v>34650</v>
      </c>
    </row>
    <row r="57">
      <c r="F57" s="16"/>
      <c r="G57" s="22" t="s">
        <v>20</v>
      </c>
      <c r="H57" s="19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66">
        <f>'2026-12'!H1064</f>
        <v>22500</v>
      </c>
    </row>
    <row r="58">
      <c r="F58" s="16"/>
      <c r="G58" s="16"/>
      <c r="H58" s="61">
        <f t="shared" ref="H58:S58" si="6">SUM(H46:H57)</f>
        <v>0</v>
      </c>
      <c r="I58" s="61">
        <f t="shared" si="6"/>
        <v>49500</v>
      </c>
      <c r="J58" s="61">
        <f t="shared" si="6"/>
        <v>100800</v>
      </c>
      <c r="K58" s="61">
        <f t="shared" si="6"/>
        <v>238380</v>
      </c>
      <c r="L58" s="61">
        <f t="shared" si="6"/>
        <v>363818</v>
      </c>
      <c r="M58" s="61">
        <f t="shared" si="6"/>
        <v>545479.8</v>
      </c>
      <c r="N58" s="61">
        <f t="shared" si="6"/>
        <v>746427.78</v>
      </c>
      <c r="O58" s="61">
        <f t="shared" si="6"/>
        <v>1628910.558</v>
      </c>
      <c r="P58" s="61">
        <f t="shared" si="6"/>
        <v>2010278.014</v>
      </c>
      <c r="Q58" s="61">
        <f t="shared" si="6"/>
        <v>2662182.815</v>
      </c>
      <c r="R58" s="61">
        <f t="shared" si="6"/>
        <v>3241722.897</v>
      </c>
      <c r="S58" s="61">
        <f t="shared" si="6"/>
        <v>3797516.346</v>
      </c>
    </row>
    <row r="59">
      <c r="F59" s="16"/>
      <c r="G59" s="16"/>
      <c r="H59" s="62" t="b">
        <f t="shared" ref="H59:S59" si="7">H58=H8</f>
        <v>1</v>
      </c>
      <c r="I59" s="62" t="b">
        <f t="shared" si="7"/>
        <v>1</v>
      </c>
      <c r="J59" s="62" t="b">
        <f t="shared" si="7"/>
        <v>1</v>
      </c>
      <c r="K59" s="62" t="b">
        <f t="shared" si="7"/>
        <v>1</v>
      </c>
      <c r="L59" s="62" t="b">
        <f t="shared" si="7"/>
        <v>1</v>
      </c>
      <c r="M59" s="62" t="b">
        <f t="shared" si="7"/>
        <v>1</v>
      </c>
      <c r="N59" s="62" t="b">
        <f t="shared" si="7"/>
        <v>1</v>
      </c>
      <c r="O59" s="62" t="b">
        <f t="shared" si="7"/>
        <v>1</v>
      </c>
      <c r="P59" s="62" t="b">
        <f t="shared" si="7"/>
        <v>1</v>
      </c>
      <c r="Q59" s="62" t="b">
        <f t="shared" si="7"/>
        <v>1</v>
      </c>
      <c r="R59" s="62" t="b">
        <f t="shared" si="7"/>
        <v>1</v>
      </c>
      <c r="S59" s="62" t="b">
        <f t="shared" si="7"/>
        <v>1</v>
      </c>
    </row>
    <row r="60"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>
      <c r="F61" s="20" t="s">
        <v>7</v>
      </c>
      <c r="G61" s="21" t="s">
        <v>8</v>
      </c>
      <c r="H61" s="22" t="s">
        <v>9</v>
      </c>
      <c r="I61" s="22" t="s">
        <v>10</v>
      </c>
      <c r="J61" s="22" t="s">
        <v>11</v>
      </c>
      <c r="K61" s="22" t="s">
        <v>12</v>
      </c>
      <c r="L61" s="22" t="s">
        <v>13</v>
      </c>
      <c r="M61" s="22" t="s">
        <v>14</v>
      </c>
      <c r="N61" s="22" t="s">
        <v>15</v>
      </c>
      <c r="O61" s="22" t="s">
        <v>16</v>
      </c>
      <c r="P61" s="22" t="s">
        <v>17</v>
      </c>
      <c r="Q61" s="22" t="s">
        <v>18</v>
      </c>
      <c r="R61" s="22" t="s">
        <v>19</v>
      </c>
      <c r="S61" s="22" t="s">
        <v>20</v>
      </c>
    </row>
    <row r="62">
      <c r="F62" s="16"/>
      <c r="G62" s="22" t="s">
        <v>9</v>
      </c>
      <c r="H62" s="64">
        <f>'2026-01'!H1081</f>
        <v>0</v>
      </c>
      <c r="I62" s="24">
        <f>'2026-01'!I1081</f>
        <v>3682000</v>
      </c>
      <c r="J62" s="92">
        <f>'2026-01'!J1081</f>
        <v>2386000</v>
      </c>
      <c r="K62" s="27">
        <f>'2026-01'!K1081</f>
        <v>1704000</v>
      </c>
      <c r="L62" s="30">
        <f>'2026-01'!L1081</f>
        <v>1154000</v>
      </c>
      <c r="M62" s="93">
        <f>'2026-01'!M1081</f>
        <v>2416000</v>
      </c>
      <c r="N62" s="49">
        <f>'2026-01'!N1081</f>
        <v>790000</v>
      </c>
      <c r="O62" s="33">
        <f>'2026-01'!O1081</f>
        <v>578000</v>
      </c>
      <c r="P62" s="37">
        <f>'2026-01'!P1081</f>
        <v>1771000</v>
      </c>
      <c r="Q62" s="64">
        <f>'2026-01'!Q1081</f>
        <v>0</v>
      </c>
      <c r="R62" s="64">
        <f>'2026-01'!R1081</f>
        <v>0</v>
      </c>
      <c r="S62" s="34">
        <f>'2026-01'!S1081</f>
        <v>1323000</v>
      </c>
    </row>
    <row r="63">
      <c r="F63" s="16"/>
      <c r="G63" s="22" t="s">
        <v>10</v>
      </c>
      <c r="H63" s="19"/>
      <c r="I63" s="66">
        <f>'2026-02'!H1081</f>
        <v>0</v>
      </c>
      <c r="J63" s="94">
        <f>'2026-02'!I1081</f>
        <v>3572000</v>
      </c>
      <c r="K63" s="95">
        <f>'2026-02'!J1081</f>
        <v>2329000</v>
      </c>
      <c r="L63" s="96">
        <f>'2026-02'!K1081</f>
        <v>1682000</v>
      </c>
      <c r="M63" s="97">
        <f>'2026-02'!L1081</f>
        <v>1120000</v>
      </c>
      <c r="N63" s="97">
        <f>'2026-02'!M1081</f>
        <v>2295000</v>
      </c>
      <c r="O63" s="98">
        <f>'2026-02'!N1081</f>
        <v>780000</v>
      </c>
      <c r="P63" s="85">
        <f>'2026-02'!O1081</f>
        <v>578000</v>
      </c>
      <c r="Q63" s="99">
        <f>'2026-02'!P1081</f>
        <v>1728000</v>
      </c>
      <c r="R63" s="66">
        <f>'2026-02'!Q1081</f>
        <v>0</v>
      </c>
      <c r="S63" s="100">
        <f>'2026-02'!R1081</f>
        <v>0</v>
      </c>
    </row>
    <row r="64">
      <c r="F64" s="16"/>
      <c r="G64" s="22" t="s">
        <v>11</v>
      </c>
      <c r="H64" s="19"/>
      <c r="I64" s="16"/>
      <c r="J64" s="66">
        <f>'2026-03'!H1081</f>
        <v>0</v>
      </c>
      <c r="K64" s="101">
        <f>'2026-03'!I1081</f>
        <v>3682000</v>
      </c>
      <c r="L64" s="95">
        <f>'2026-03'!J1081</f>
        <v>2386000</v>
      </c>
      <c r="M64" s="96">
        <f>'2026-03'!K1081</f>
        <v>1704000</v>
      </c>
      <c r="N64" s="97">
        <f>'2026-03'!L1081</f>
        <v>1154000</v>
      </c>
      <c r="O64" s="97">
        <f>'2026-03'!M1081</f>
        <v>2416000</v>
      </c>
      <c r="P64" s="98">
        <f>'2026-03'!N1081</f>
        <v>790000</v>
      </c>
      <c r="Q64" s="85">
        <f>'2026-03'!O1081</f>
        <v>578000</v>
      </c>
      <c r="R64" s="99">
        <f>'2026-03'!P1081</f>
        <v>1771000</v>
      </c>
      <c r="S64" s="100">
        <f>'2026-03'!Q1081</f>
        <v>0</v>
      </c>
    </row>
    <row r="65">
      <c r="F65" s="16"/>
      <c r="G65" s="22" t="s">
        <v>12</v>
      </c>
      <c r="H65" s="19"/>
      <c r="I65" s="16"/>
      <c r="J65" s="16"/>
      <c r="K65" s="66">
        <f>'2026-04'!H1081</f>
        <v>0</v>
      </c>
      <c r="L65" s="94">
        <f>'2026-04'!I1081</f>
        <v>5402000</v>
      </c>
      <c r="M65" s="102">
        <f>'2026-04'!J1081</f>
        <v>3359000</v>
      </c>
      <c r="N65" s="96">
        <f>'2026-04'!K1081</f>
        <v>2550000</v>
      </c>
      <c r="O65" s="103">
        <f>'2026-04'!L1081</f>
        <v>1692000</v>
      </c>
      <c r="P65" s="104">
        <f>'2026-04'!M1081</f>
        <v>3309000</v>
      </c>
      <c r="Q65" s="98">
        <f>'2026-04'!N1081</f>
        <v>1170000</v>
      </c>
      <c r="R65" s="95">
        <f>'2026-04'!O1081</f>
        <v>846000</v>
      </c>
      <c r="S65" s="85">
        <f>'2026-04'!P1081</f>
        <v>2293000</v>
      </c>
    </row>
    <row r="66">
      <c r="F66" s="16"/>
      <c r="G66" s="22" t="s">
        <v>13</v>
      </c>
      <c r="H66" s="19"/>
      <c r="I66" s="16"/>
      <c r="J66" s="16"/>
      <c r="K66" s="16"/>
      <c r="L66" s="66">
        <f>'2026-05'!H1081</f>
        <v>0</v>
      </c>
      <c r="M66" s="94">
        <f>'2026-05'!I1081</f>
        <v>5700000</v>
      </c>
      <c r="N66" s="102">
        <f>'2026-05'!J1081</f>
        <v>3626000</v>
      </c>
      <c r="O66" s="96">
        <f>'2026-05'!K1081</f>
        <v>2652000</v>
      </c>
      <c r="P66" s="104">
        <f>'2026-05'!L1081</f>
        <v>1756000</v>
      </c>
      <c r="Q66" s="97">
        <f>'2026-05'!M1081</f>
        <v>3537000</v>
      </c>
      <c r="R66" s="98">
        <f>'2026-05'!N1081</f>
        <v>1256000</v>
      </c>
      <c r="S66" s="95">
        <f>'2026-05'!O1081</f>
        <v>896000</v>
      </c>
    </row>
    <row r="67">
      <c r="F67" s="16"/>
      <c r="G67" s="22" t="s">
        <v>14</v>
      </c>
      <c r="H67" s="19"/>
      <c r="I67" s="16"/>
      <c r="J67" s="16"/>
      <c r="K67" s="16"/>
      <c r="L67" s="16"/>
      <c r="M67" s="66">
        <f>'2026-06'!H1081</f>
        <v>0</v>
      </c>
      <c r="N67" s="94">
        <f>'2026-06'!I1081</f>
        <v>5700000</v>
      </c>
      <c r="O67" s="101">
        <f>'2026-06'!J1081</f>
        <v>3626000</v>
      </c>
      <c r="P67" s="96">
        <f>'2026-06'!K1081</f>
        <v>2652000</v>
      </c>
      <c r="Q67" s="104">
        <f>'2026-06'!L1081</f>
        <v>1756000</v>
      </c>
      <c r="R67" s="102">
        <f>'2026-06'!M1081</f>
        <v>3537000</v>
      </c>
      <c r="S67" s="98">
        <f>'2026-06'!N1081</f>
        <v>1256000</v>
      </c>
    </row>
    <row r="68">
      <c r="F68" s="16"/>
      <c r="G68" s="22" t="s">
        <v>15</v>
      </c>
      <c r="H68" s="19"/>
      <c r="I68" s="16"/>
      <c r="J68" s="16"/>
      <c r="K68" s="16"/>
      <c r="L68" s="16"/>
      <c r="M68" s="16"/>
      <c r="N68" s="66">
        <f>'2026-07'!H1081</f>
        <v>0</v>
      </c>
      <c r="O68" s="105">
        <f>'2026-07'!I1081</f>
        <v>8572000</v>
      </c>
      <c r="P68" s="106">
        <f>'2026-07'!J1081</f>
        <v>5534000</v>
      </c>
      <c r="Q68" s="96">
        <f>'2026-07'!K1081</f>
        <v>4026000</v>
      </c>
      <c r="R68" s="104">
        <f>'2026-07'!L1081</f>
        <v>2686000</v>
      </c>
      <c r="S68" s="107">
        <f>'2026-07'!M1081</f>
        <v>5467000</v>
      </c>
    </row>
    <row r="69">
      <c r="F69" s="16"/>
      <c r="G69" s="22" t="s">
        <v>16</v>
      </c>
      <c r="H69" s="19"/>
      <c r="I69" s="16"/>
      <c r="J69" s="16"/>
      <c r="K69" s="16"/>
      <c r="L69" s="16"/>
      <c r="M69" s="16"/>
      <c r="N69" s="16"/>
      <c r="O69" s="66">
        <f>'2026-08'!H1081</f>
        <v>0</v>
      </c>
      <c r="P69" s="105">
        <f>'2026-08'!I1081</f>
        <v>8572000</v>
      </c>
      <c r="Q69" s="106">
        <f>'2026-08'!J1081</f>
        <v>5534000</v>
      </c>
      <c r="R69" s="96">
        <f>'2026-08'!K1081</f>
        <v>4026000</v>
      </c>
      <c r="S69" s="102">
        <f>'2026-08'!L1081</f>
        <v>2686000</v>
      </c>
    </row>
    <row r="70">
      <c r="F70" s="16"/>
      <c r="G70" s="22" t="s">
        <v>17</v>
      </c>
      <c r="H70" s="19"/>
      <c r="I70" s="16"/>
      <c r="J70" s="16"/>
      <c r="K70" s="16"/>
      <c r="L70" s="16"/>
      <c r="M70" s="16"/>
      <c r="N70" s="16"/>
      <c r="O70" s="16"/>
      <c r="P70" s="66">
        <f>'2026-09'!H1081</f>
        <v>0</v>
      </c>
      <c r="Q70" s="108">
        <f>'2026-09'!I1081</f>
        <v>8572000</v>
      </c>
      <c r="R70" s="96">
        <f>'2026-09'!J1081</f>
        <v>5534000</v>
      </c>
      <c r="S70" s="109">
        <f>'2026-09'!K1081</f>
        <v>4026000</v>
      </c>
    </row>
    <row r="71">
      <c r="F71" s="16"/>
      <c r="G71" s="22" t="s">
        <v>18</v>
      </c>
      <c r="H71" s="19"/>
      <c r="I71" s="16"/>
      <c r="J71" s="16"/>
      <c r="K71" s="16"/>
      <c r="L71" s="16"/>
      <c r="M71" s="16"/>
      <c r="N71" s="16"/>
      <c r="O71" s="16"/>
      <c r="P71" s="16"/>
      <c r="Q71" s="66">
        <f>'2026-10'!H1081</f>
        <v>0</v>
      </c>
      <c r="R71" s="105">
        <f>'2026-10'!I1081</f>
        <v>8964000</v>
      </c>
      <c r="S71" s="110">
        <f>'2026-10'!J1081</f>
        <v>5855000</v>
      </c>
    </row>
    <row r="72">
      <c r="F72" s="16"/>
      <c r="G72" s="22" t="s">
        <v>19</v>
      </c>
      <c r="H72" s="19"/>
      <c r="I72" s="16"/>
      <c r="J72" s="16"/>
      <c r="K72" s="16"/>
      <c r="L72" s="16"/>
      <c r="M72" s="16"/>
      <c r="N72" s="16"/>
      <c r="O72" s="16"/>
      <c r="P72" s="16"/>
      <c r="Q72" s="16"/>
      <c r="R72" s="66">
        <f>'2026-11'!H1081</f>
        <v>0</v>
      </c>
      <c r="S72" s="111">
        <f>'2026-11'!I1081</f>
        <v>7966000</v>
      </c>
    </row>
    <row r="73">
      <c r="F73" s="16"/>
      <c r="G73" s="22" t="s">
        <v>20</v>
      </c>
      <c r="H73" s="19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66">
        <f>'2026-12'!H1081</f>
        <v>0</v>
      </c>
    </row>
    <row r="74">
      <c r="F74" s="16"/>
      <c r="G74" s="16"/>
      <c r="H74" s="61">
        <f t="shared" ref="H74:S74" si="8">SUM(H62:H73)</f>
        <v>0</v>
      </c>
      <c r="I74" s="61">
        <f t="shared" si="8"/>
        <v>3682000</v>
      </c>
      <c r="J74" s="61">
        <f t="shared" si="8"/>
        <v>5958000</v>
      </c>
      <c r="K74" s="61">
        <f t="shared" si="8"/>
        <v>7715000</v>
      </c>
      <c r="L74" s="61">
        <f t="shared" si="8"/>
        <v>10624000</v>
      </c>
      <c r="M74" s="61">
        <f t="shared" si="8"/>
        <v>14299000</v>
      </c>
      <c r="N74" s="61">
        <f t="shared" si="8"/>
        <v>16115000</v>
      </c>
      <c r="O74" s="61">
        <f t="shared" si="8"/>
        <v>20316000</v>
      </c>
      <c r="P74" s="61">
        <f t="shared" si="8"/>
        <v>24962000</v>
      </c>
      <c r="Q74" s="61">
        <f t="shared" si="8"/>
        <v>26901000</v>
      </c>
      <c r="R74" s="61">
        <f t="shared" si="8"/>
        <v>28620000</v>
      </c>
      <c r="S74" s="61">
        <f t="shared" si="8"/>
        <v>31768000</v>
      </c>
    </row>
    <row r="75">
      <c r="F75" s="16"/>
      <c r="G75" s="16"/>
      <c r="H75" s="62" t="b">
        <f t="shared" ref="H75:S75" si="9">H74=H10</f>
        <v>1</v>
      </c>
      <c r="I75" s="62" t="b">
        <f t="shared" si="9"/>
        <v>1</v>
      </c>
      <c r="J75" s="62" t="b">
        <f t="shared" si="9"/>
        <v>1</v>
      </c>
      <c r="K75" s="62" t="b">
        <f t="shared" si="9"/>
        <v>1</v>
      </c>
      <c r="L75" s="62" t="b">
        <f t="shared" si="9"/>
        <v>1</v>
      </c>
      <c r="M75" s="62" t="b">
        <f t="shared" si="9"/>
        <v>1</v>
      </c>
      <c r="N75" s="62" t="b">
        <f t="shared" si="9"/>
        <v>1</v>
      </c>
      <c r="O75" s="62" t="b">
        <f t="shared" si="9"/>
        <v>1</v>
      </c>
      <c r="P75" s="62" t="b">
        <f t="shared" si="9"/>
        <v>1</v>
      </c>
      <c r="Q75" s="62" t="b">
        <f t="shared" si="9"/>
        <v>1</v>
      </c>
      <c r="R75" s="62" t="b">
        <f t="shared" si="9"/>
        <v>1</v>
      </c>
      <c r="S75" s="62" t="b">
        <f t="shared" si="9"/>
        <v>1</v>
      </c>
    </row>
  </sheetData>
  <mergeCells count="1">
    <mergeCell ref="T1:T2"/>
  </mergeCells>
  <conditionalFormatting sqref="H30:S41">
    <cfRule type="colorScale" priority="1">
      <colorScale>
        <cfvo type="min"/>
        <cfvo type="percentile" val="50"/>
        <cfvo type="max"/>
        <color rgb="FFEA4335"/>
        <color rgb="FFFBBC04"/>
        <color rgb="FF34A853"/>
      </colorScale>
    </cfRule>
  </conditionalFormatting>
  <conditionalFormatting sqref="H46:S57">
    <cfRule type="colorScale" priority="2">
      <colorScale>
        <cfvo type="min"/>
        <cfvo type="percentile" val="50"/>
        <cfvo type="max"/>
        <color rgb="FFEA4335"/>
        <color rgb="FFFBBC04"/>
        <color rgb="FF34A853"/>
      </colorScale>
    </cfRule>
  </conditionalFormatting>
  <conditionalFormatting sqref="H62:S73">
    <cfRule type="colorScale" priority="3">
      <colorScale>
        <cfvo type="min"/>
        <cfvo type="percentile" val="50"/>
        <cfvo type="max"/>
        <color rgb="FFEA4335"/>
        <color rgb="FFFBBC04"/>
        <color rgb="FF34A853"/>
      </colorScale>
    </cfRule>
  </conditionalFormatting>
  <conditionalFormatting sqref="H13:S24">
    <cfRule type="colorScale" priority="4">
      <colorScale>
        <cfvo type="min"/>
        <cfvo type="percentile" val="50"/>
        <cfvo type="max"/>
        <color rgb="FFEA4335"/>
        <color rgb="FFFBBC04"/>
        <color rgb="FF34A85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3.0"/>
    <col customWidth="1" min="8" max="19" width="18.88"/>
    <col customWidth="1" min="20" max="20" width="16.63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4">
        <v>2026.0</v>
      </c>
      <c r="P1" s="4">
        <v>2026.0</v>
      </c>
      <c r="Q1" s="4">
        <v>2026.0</v>
      </c>
      <c r="R1" s="4">
        <v>2026.0</v>
      </c>
      <c r="S1" s="4">
        <v>2026.0</v>
      </c>
      <c r="T1" s="5" t="s">
        <v>1</v>
      </c>
      <c r="U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</v>
      </c>
      <c r="I2" s="9">
        <f t="shared" ref="I2:S2" si="1">H2+1</f>
        <v>2</v>
      </c>
      <c r="J2" s="9">
        <f t="shared" si="1"/>
        <v>3</v>
      </c>
      <c r="K2" s="9">
        <f t="shared" si="1"/>
        <v>4</v>
      </c>
      <c r="L2" s="9">
        <f t="shared" si="1"/>
        <v>5</v>
      </c>
      <c r="M2" s="9">
        <f t="shared" si="1"/>
        <v>6</v>
      </c>
      <c r="N2" s="9">
        <f t="shared" si="1"/>
        <v>7</v>
      </c>
      <c r="O2" s="9">
        <f t="shared" si="1"/>
        <v>8</v>
      </c>
      <c r="P2" s="9">
        <f t="shared" si="1"/>
        <v>9</v>
      </c>
      <c r="Q2" s="9">
        <f t="shared" si="1"/>
        <v>10</v>
      </c>
      <c r="R2" s="9">
        <f t="shared" si="1"/>
        <v>11</v>
      </c>
      <c r="S2" s="9">
        <f t="shared" si="1"/>
        <v>12</v>
      </c>
      <c r="T2" s="10"/>
      <c r="U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14"/>
      <c r="O4" s="114"/>
      <c r="P4" s="114"/>
      <c r="Q4" s="114"/>
      <c r="R4" s="114"/>
      <c r="S4" s="114"/>
      <c r="T4" s="1"/>
      <c r="U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15"/>
      <c r="N5" s="1"/>
      <c r="O5" s="1"/>
      <c r="P5" s="1"/>
      <c r="Q5" s="1"/>
      <c r="R5" s="1"/>
      <c r="S5" s="1"/>
      <c r="T5" s="1"/>
      <c r="U5" s="1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15"/>
      <c r="N6" s="1"/>
      <c r="O6" s="1"/>
      <c r="P6" s="1"/>
      <c r="Q6" s="1"/>
      <c r="R6" s="1"/>
      <c r="S6" s="1"/>
      <c r="T6" s="1"/>
      <c r="U6" s="1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"/>
      <c r="U7" s="1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- 2026'!H6</f>
        <v>4838976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"/>
      <c r="U8" s="1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- 2026'!H9</f>
        <v>350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"/>
      <c r="U9" s="1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13825.64571</v>
      </c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"/>
      <c r="U10" s="1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2767.645714</v>
      </c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"/>
      <c r="U11" s="1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"/>
      <c r="U12" s="1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11058</v>
      </c>
      <c r="I13" s="128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"/>
      <c r="U13" s="1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"/>
      <c r="U14" s="1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"/>
      <c r="U15" s="1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"/>
      <c r="U16" s="1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"/>
      <c r="U17" s="1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"/>
      <c r="U18" s="1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508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"/>
      <c r="U19" s="1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565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"/>
      <c r="U20" s="1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2237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"/>
      <c r="U21" s="1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5264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"/>
      <c r="U22" s="1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2484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"/>
      <c r="U23" s="1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437.5995659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"/>
      <c r="U24" s="1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"/>
      <c r="U25" s="1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"/>
      <c r="U26" s="1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"/>
      <c r="U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"/>
      <c r="U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11058</v>
      </c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"/>
      <c r="U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0.2927292458</v>
      </c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"/>
      <c r="U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3237</v>
      </c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"/>
      <c r="U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"/>
      <c r="U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"/>
      <c r="U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508</v>
      </c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"/>
      <c r="U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"/>
      <c r="U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101</v>
      </c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"/>
      <c r="U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"/>
      <c r="U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"/>
      <c r="U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565</v>
      </c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"/>
      <c r="U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"/>
      <c r="U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141</v>
      </c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"/>
      <c r="U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"/>
      <c r="U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"/>
      <c r="U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2237</v>
      </c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"/>
      <c r="U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"/>
      <c r="U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671</v>
      </c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"/>
      <c r="U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"/>
      <c r="U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"/>
      <c r="U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5264</v>
      </c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"/>
      <c r="U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"/>
      <c r="U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1579</v>
      </c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"/>
      <c r="U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"/>
      <c r="U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"/>
      <c r="U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2484</v>
      </c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"/>
      <c r="U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"/>
      <c r="U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745</v>
      </c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"/>
      <c r="U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"/>
      <c r="U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"/>
      <c r="U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"/>
      <c r="U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"/>
      <c r="U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3237</v>
      </c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"/>
      <c r="U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1.073911029</v>
      </c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"/>
      <c r="U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3476.25</v>
      </c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"/>
      <c r="U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"/>
      <c r="U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"/>
      <c r="U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101</v>
      </c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"/>
      <c r="U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"/>
      <c r="U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107.5</v>
      </c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"/>
      <c r="U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86</v>
      </c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"/>
      <c r="U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21.5</v>
      </c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"/>
      <c r="U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"/>
      <c r="U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"/>
      <c r="U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141</v>
      </c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"/>
      <c r="U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"/>
      <c r="U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151.25</v>
      </c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"/>
      <c r="U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121</v>
      </c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"/>
      <c r="U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30.25</v>
      </c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"/>
      <c r="U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"/>
      <c r="U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"/>
      <c r="U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671</v>
      </c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"/>
      <c r="U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"/>
      <c r="U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721.25</v>
      </c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"/>
      <c r="U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577</v>
      </c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"/>
      <c r="U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144.25</v>
      </c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"/>
      <c r="U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"/>
      <c r="U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"/>
      <c r="U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1579</v>
      </c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"/>
      <c r="U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"/>
      <c r="U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1696.25</v>
      </c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"/>
      <c r="U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1357</v>
      </c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"/>
      <c r="U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339.25</v>
      </c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"/>
      <c r="U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"/>
      <c r="U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"/>
      <c r="U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745</v>
      </c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"/>
      <c r="U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"/>
      <c r="U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800</v>
      </c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"/>
      <c r="U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640</v>
      </c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"/>
      <c r="U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160</v>
      </c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"/>
      <c r="U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"/>
      <c r="U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"/>
      <c r="U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"/>
      <c r="U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"/>
      <c r="U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3476.25</v>
      </c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"/>
      <c r="U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0.299748292</v>
      </c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"/>
      <c r="U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0.09423042141</v>
      </c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"/>
      <c r="U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1042</v>
      </c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"/>
      <c r="U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20954.7025</v>
      </c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"/>
      <c r="U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21834800</v>
      </c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"/>
      <c r="U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"/>
      <c r="U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"/>
      <c r="U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107.5</v>
      </c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"/>
      <c r="U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"/>
      <c r="U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0.06299212598</v>
      </c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"/>
      <c r="U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32</v>
      </c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"/>
      <c r="U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48900</v>
      </c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"/>
      <c r="U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1564800</v>
      </c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"/>
      <c r="U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"/>
      <c r="U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"/>
      <c r="U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"/>
      <c r="U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"/>
      <c r="U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"/>
      <c r="U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6">
        <v>30000.0</v>
      </c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"/>
      <c r="U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"/>
      <c r="U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"/>
      <c r="U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"/>
      <c r="U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"/>
      <c r="U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"),1.0)</f>
        <v>1</v>
      </c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"/>
      <c r="U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20</v>
      </c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"/>
      <c r="U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600000</v>
      </c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"/>
      <c r="U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3</v>
      </c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"/>
      <c r="U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94800</v>
      </c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"/>
      <c r="U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"/>
      <c r="U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"/>
      <c r="U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6</v>
      </c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"/>
      <c r="U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870000</v>
      </c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"/>
      <c r="U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"/>
      <c r="U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"/>
      <c r="U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"/>
      <c r="U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"/>
      <c r="U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151.25</v>
      </c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"/>
      <c r="U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"/>
      <c r="U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0.0796460177</v>
      </c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"/>
      <c r="U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45</v>
      </c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"/>
      <c r="U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36800</v>
      </c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"/>
      <c r="U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1656000</v>
      </c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"/>
      <c r="U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"/>
      <c r="U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"/>
      <c r="U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"/>
      <c r="U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"/>
      <c r="U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"/>
      <c r="U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25000.0</v>
      </c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"/>
      <c r="U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"/>
      <c r="U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64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"/>
      <c r="U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"/>
      <c r="U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"/>
      <c r="U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"/>
      <c r="U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27</v>
      </c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"/>
      <c r="U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675000</v>
      </c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"/>
      <c r="U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5</v>
      </c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"/>
      <c r="U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90000</v>
      </c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"/>
      <c r="U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"/>
      <c r="U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"/>
      <c r="U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9</v>
      </c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"/>
      <c r="U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891000</v>
      </c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"/>
      <c r="U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4</v>
      </c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"/>
      <c r="U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"/>
      <c r="U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"/>
      <c r="U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"/>
      <c r="U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"/>
      <c r="U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721.25</v>
      </c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"/>
      <c r="U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"/>
      <c r="U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0.09655789003</v>
      </c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"/>
      <c r="U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216</v>
      </c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"/>
      <c r="U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28060.18519</v>
      </c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"/>
      <c r="U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6061000</v>
      </c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"/>
      <c r="U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"/>
      <c r="U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"/>
      <c r="U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"/>
      <c r="U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"/>
      <c r="U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"/>
      <c r="U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20000.0</v>
      </c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"/>
      <c r="U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"/>
      <c r="U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"/>
      <c r="U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"/>
      <c r="U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"/>
      <c r="U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"/>
      <c r="U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129</v>
      </c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"/>
      <c r="U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2580000</v>
      </c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"/>
      <c r="U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23</v>
      </c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"/>
      <c r="U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345000</v>
      </c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"/>
      <c r="U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"/>
      <c r="U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"/>
      <c r="U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64</v>
      </c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"/>
      <c r="U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3136000</v>
      </c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"/>
      <c r="U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"/>
      <c r="U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"/>
      <c r="U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"/>
      <c r="U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"/>
      <c r="U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"/>
      <c r="U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1696.25</v>
      </c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"/>
      <c r="U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"/>
      <c r="U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0.09669452888</v>
      </c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"/>
      <c r="U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509</v>
      </c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"/>
      <c r="U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18296.66012</v>
      </c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"/>
      <c r="U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9313000</v>
      </c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"/>
      <c r="U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"/>
      <c r="U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"/>
      <c r="U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"/>
      <c r="U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"/>
      <c r="U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"/>
      <c r="U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20000.0</v>
      </c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"/>
      <c r="U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"/>
      <c r="U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"/>
      <c r="U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"/>
      <c r="U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"/>
      <c r="U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"/>
      <c r="U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407</v>
      </c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"/>
      <c r="U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8140000</v>
      </c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"/>
      <c r="U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102</v>
      </c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"/>
      <c r="U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1173000</v>
      </c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"/>
      <c r="U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"/>
      <c r="U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"/>
      <c r="U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"/>
      <c r="U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"/>
      <c r="U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"/>
      <c r="U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"/>
      <c r="U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"/>
      <c r="U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"/>
      <c r="U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800</v>
      </c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"/>
      <c r="U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"/>
      <c r="U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0.09661835749</v>
      </c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"/>
      <c r="U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240</v>
      </c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"/>
      <c r="U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13500</v>
      </c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"/>
      <c r="U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3240000</v>
      </c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"/>
      <c r="U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"/>
      <c r="U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"/>
      <c r="U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"/>
      <c r="U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"/>
      <c r="U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"/>
      <c r="U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15000.0</v>
      </c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"/>
      <c r="U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"/>
      <c r="U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"/>
      <c r="U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"/>
      <c r="U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"/>
      <c r="U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"/>
      <c r="U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192</v>
      </c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"/>
      <c r="U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2880000</v>
      </c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"/>
      <c r="U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48</v>
      </c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"/>
      <c r="U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360000</v>
      </c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"/>
      <c r="U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"/>
      <c r="U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"/>
      <c r="U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"/>
      <c r="U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"/>
      <c r="U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"/>
      <c r="U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"/>
      <c r="U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"/>
      <c r="U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"/>
      <c r="U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"/>
      <c r="U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1042</v>
      </c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"/>
      <c r="U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0.9261036468</v>
      </c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"/>
      <c r="U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23">
        <f>SUM(H270,H297,H324,H351,H378)</f>
        <v>965</v>
      </c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"/>
      <c r="U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"/>
      <c r="U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21834800</v>
      </c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"/>
      <c r="U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"/>
      <c r="U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20306364</v>
      </c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"/>
      <c r="U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"/>
      <c r="U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"/>
      <c r="U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32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"/>
      <c r="U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0.875</v>
      </c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"/>
      <c r="U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28</v>
      </c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"/>
      <c r="U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"/>
      <c r="U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1455264</v>
      </c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"/>
      <c r="U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"/>
      <c r="U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"/>
      <c r="U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"/>
      <c r="U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"/>
      <c r="U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"/>
      <c r="U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"/>
      <c r="U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"/>
      <c r="U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"/>
      <c r="U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60"/>
      <c r="U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60"/>
      <c r="U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19</v>
      </c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"/>
      <c r="U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558000</v>
      </c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"/>
      <c r="U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3</v>
      </c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"/>
      <c r="U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88164</v>
      </c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"/>
      <c r="U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"/>
      <c r="U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"/>
      <c r="U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6</v>
      </c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"/>
      <c r="U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809100</v>
      </c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"/>
      <c r="U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"/>
      <c r="U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"/>
      <c r="U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45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0.8444444444</v>
      </c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"/>
      <c r="U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38</v>
      </c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"/>
      <c r="U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"/>
      <c r="U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1540080</v>
      </c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"/>
      <c r="U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"/>
      <c r="U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"/>
      <c r="U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"/>
      <c r="U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"/>
      <c r="U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"/>
      <c r="U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"/>
      <c r="U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"/>
      <c r="U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"/>
      <c r="U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"/>
      <c r="U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"/>
      <c r="U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25</v>
      </c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"/>
      <c r="U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627750</v>
      </c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"/>
      <c r="U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5</v>
      </c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"/>
      <c r="U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83700</v>
      </c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"/>
      <c r="U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"/>
      <c r="U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"/>
      <c r="U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8</v>
      </c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"/>
      <c r="U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828630</v>
      </c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"/>
      <c r="U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4</v>
      </c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"/>
      <c r="U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"/>
      <c r="U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216</v>
      </c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"/>
      <c r="U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0.9305555556</v>
      </c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"/>
      <c r="U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201</v>
      </c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"/>
      <c r="U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"/>
      <c r="U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5636730</v>
      </c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"/>
      <c r="U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"/>
      <c r="U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"/>
      <c r="U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"/>
      <c r="U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"/>
      <c r="U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"/>
      <c r="U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"/>
      <c r="U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"/>
      <c r="U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"/>
      <c r="U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"/>
      <c r="U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"/>
      <c r="U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120</v>
      </c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"/>
      <c r="U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2399400</v>
      </c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"/>
      <c r="U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21</v>
      </c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"/>
      <c r="U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320850</v>
      </c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"/>
      <c r="U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"/>
      <c r="U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"/>
      <c r="U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60</v>
      </c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"/>
      <c r="U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2916480</v>
      </c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"/>
      <c r="U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"/>
      <c r="U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"/>
      <c r="U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509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0.931237721</v>
      </c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"/>
      <c r="U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474</v>
      </c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"/>
      <c r="U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"/>
      <c r="U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8661090</v>
      </c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"/>
      <c r="U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"/>
      <c r="U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"/>
      <c r="U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"/>
      <c r="U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"/>
      <c r="U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"/>
      <c r="U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"/>
      <c r="U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"/>
      <c r="U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"/>
      <c r="U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"/>
      <c r="U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"/>
      <c r="U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379</v>
      </c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"/>
      <c r="U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7570200</v>
      </c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"/>
      <c r="U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95</v>
      </c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"/>
      <c r="U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1090890</v>
      </c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"/>
      <c r="U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"/>
      <c r="U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"/>
      <c r="U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"/>
      <c r="U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"/>
      <c r="U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"/>
      <c r="U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"/>
      <c r="U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240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0.9333333333</v>
      </c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"/>
      <c r="U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224</v>
      </c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"/>
      <c r="U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"/>
      <c r="U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3013200</v>
      </c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"/>
      <c r="U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"/>
      <c r="U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"/>
      <c r="U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"/>
      <c r="U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"/>
      <c r="U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"/>
      <c r="U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"/>
      <c r="U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"/>
      <c r="U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"/>
      <c r="U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"/>
      <c r="U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"/>
      <c r="U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179</v>
      </c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"/>
      <c r="U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2678400</v>
      </c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"/>
      <c r="U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45</v>
      </c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"/>
      <c r="U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334800</v>
      </c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"/>
      <c r="U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"/>
      <c r="U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"/>
      <c r="U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"/>
      <c r="U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"/>
      <c r="U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"/>
      <c r="U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"/>
      <c r="U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965</v>
      </c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"/>
      <c r="U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"/>
      <c r="U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965</v>
      </c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20306364</v>
      </c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"/>
      <c r="U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"/>
      <c r="U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20306364</v>
      </c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"/>
      <c r="U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"/>
      <c r="U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"/>
      <c r="U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"/>
      <c r="U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28</v>
      </c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"/>
      <c r="U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"/>
      <c r="U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1455264</v>
      </c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"/>
      <c r="U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"/>
      <c r="U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"/>
      <c r="U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"/>
      <c r="U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"/>
      <c r="U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"/>
      <c r="U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"/>
      <c r="U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"/>
      <c r="U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"/>
      <c r="U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"/>
      <c r="U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"/>
      <c r="U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19</v>
      </c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"/>
      <c r="U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558000</v>
      </c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"/>
      <c r="U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3</v>
      </c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"/>
      <c r="U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88164</v>
      </c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"/>
      <c r="U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"/>
      <c r="U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"/>
      <c r="U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6</v>
      </c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"/>
      <c r="U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809100</v>
      </c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"/>
      <c r="U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"/>
      <c r="U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"/>
      <c r="U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"/>
      <c r="U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38</v>
      </c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"/>
      <c r="U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"/>
      <c r="U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1540080</v>
      </c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"/>
      <c r="U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"/>
      <c r="U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"/>
      <c r="U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"/>
      <c r="U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"/>
      <c r="U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"/>
      <c r="U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"/>
      <c r="U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"/>
      <c r="U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"/>
      <c r="U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"/>
      <c r="U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"/>
      <c r="U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25</v>
      </c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"/>
      <c r="U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627750</v>
      </c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"/>
      <c r="U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5</v>
      </c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"/>
      <c r="U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83700</v>
      </c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"/>
      <c r="U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"/>
      <c r="U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"/>
      <c r="U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8</v>
      </c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"/>
      <c r="U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828630</v>
      </c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"/>
      <c r="U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4</v>
      </c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"/>
      <c r="U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"/>
      <c r="U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"/>
      <c r="U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201</v>
      </c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"/>
      <c r="U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"/>
      <c r="U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5636730</v>
      </c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"/>
      <c r="U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"/>
      <c r="U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"/>
      <c r="U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"/>
      <c r="U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"/>
      <c r="U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"/>
      <c r="U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"/>
      <c r="U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"/>
      <c r="U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"/>
      <c r="U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"/>
      <c r="U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"/>
      <c r="U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120</v>
      </c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"/>
      <c r="U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2399400</v>
      </c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"/>
      <c r="U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21</v>
      </c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"/>
      <c r="U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320850</v>
      </c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"/>
      <c r="U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"/>
      <c r="U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"/>
      <c r="U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60</v>
      </c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"/>
      <c r="U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2916480</v>
      </c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"/>
      <c r="U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"/>
      <c r="U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"/>
      <c r="U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"/>
      <c r="U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474</v>
      </c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"/>
      <c r="U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"/>
      <c r="U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8661090</v>
      </c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"/>
      <c r="U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"/>
      <c r="U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"/>
      <c r="U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"/>
      <c r="U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"/>
      <c r="U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"/>
      <c r="U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"/>
      <c r="U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"/>
      <c r="U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"/>
      <c r="U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"/>
      <c r="U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"/>
      <c r="U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379</v>
      </c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"/>
      <c r="U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7570200</v>
      </c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"/>
      <c r="U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95</v>
      </c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"/>
      <c r="U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1090890</v>
      </c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"/>
      <c r="U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"/>
      <c r="U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"/>
      <c r="U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"/>
      <c r="U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"/>
      <c r="U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"/>
      <c r="U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"/>
      <c r="U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"/>
      <c r="U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224</v>
      </c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"/>
      <c r="U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"/>
      <c r="U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3013200</v>
      </c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"/>
      <c r="U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"/>
      <c r="U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"/>
      <c r="U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"/>
      <c r="U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"/>
      <c r="U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"/>
      <c r="U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"/>
      <c r="U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"/>
      <c r="U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"/>
      <c r="U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"/>
      <c r="U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"/>
      <c r="U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179</v>
      </c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"/>
      <c r="U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2678400</v>
      </c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"/>
      <c r="U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45</v>
      </c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"/>
      <c r="U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334800</v>
      </c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"/>
      <c r="U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"/>
      <c r="U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"/>
      <c r="U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"/>
      <c r="U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"/>
      <c r="U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"/>
      <c r="U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"/>
      <c r="U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S545" si="13">SUM(H554,H588,H629,H663,H703,H737)</f>
        <v>4554210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78">
        <f t="shared" si="13"/>
        <v>0</v>
      </c>
      <c r="N545" s="178">
        <f t="shared" si="13"/>
        <v>0</v>
      </c>
      <c r="O545" s="178">
        <f t="shared" si="13"/>
        <v>0</v>
      </c>
      <c r="P545" s="178">
        <f t="shared" si="13"/>
        <v>0</v>
      </c>
      <c r="Q545" s="178">
        <f t="shared" si="13"/>
        <v>0</v>
      </c>
      <c r="R545" s="178">
        <f t="shared" si="13"/>
        <v>0</v>
      </c>
      <c r="S545" s="178">
        <f t="shared" si="13"/>
        <v>0</v>
      </c>
      <c r="T545" s="1"/>
      <c r="U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S546" si="14">SUM(H553,H587,H628,H662,H702,H735)</f>
        <v>0</v>
      </c>
      <c r="I546" s="180">
        <f t="shared" si="14"/>
        <v>120000</v>
      </c>
      <c r="J546" s="180">
        <f t="shared" si="14"/>
        <v>160000</v>
      </c>
      <c r="K546" s="180">
        <f t="shared" si="14"/>
        <v>66000</v>
      </c>
      <c r="L546" s="180">
        <f t="shared" si="14"/>
        <v>42000</v>
      </c>
      <c r="M546" s="180">
        <f t="shared" si="14"/>
        <v>384000</v>
      </c>
      <c r="N546" s="180">
        <f t="shared" si="14"/>
        <v>36000</v>
      </c>
      <c r="O546" s="180">
        <f t="shared" si="14"/>
        <v>24000</v>
      </c>
      <c r="P546" s="180">
        <f t="shared" si="14"/>
        <v>352000</v>
      </c>
      <c r="Q546" s="180">
        <f t="shared" si="14"/>
        <v>0</v>
      </c>
      <c r="R546" s="180">
        <f t="shared" si="14"/>
        <v>0</v>
      </c>
      <c r="S546" s="180">
        <f t="shared" si="14"/>
        <v>328000</v>
      </c>
      <c r="T546" s="1"/>
      <c r="U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"/>
      <c r="U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S549" si="15">SUM(H571,H605,H624,H646,H679,H698,H720,H754,H774)</f>
        <v>0</v>
      </c>
      <c r="I549" s="178">
        <f t="shared" si="15"/>
        <v>31500</v>
      </c>
      <c r="J549" s="178">
        <f t="shared" si="15"/>
        <v>34650</v>
      </c>
      <c r="K549" s="178">
        <f t="shared" si="15"/>
        <v>134115</v>
      </c>
      <c r="L549" s="178">
        <f t="shared" si="15"/>
        <v>112326.5</v>
      </c>
      <c r="M549" s="178">
        <f t="shared" si="15"/>
        <v>175719.15</v>
      </c>
      <c r="N549" s="178">
        <f t="shared" si="15"/>
        <v>140651.065</v>
      </c>
      <c r="O549" s="178">
        <f t="shared" si="15"/>
        <v>819580.1715</v>
      </c>
      <c r="P549" s="178">
        <f t="shared" si="15"/>
        <v>330120.5887</v>
      </c>
      <c r="Q549" s="178">
        <f t="shared" si="15"/>
        <v>480833.0475</v>
      </c>
      <c r="R549" s="178">
        <f t="shared" si="15"/>
        <v>443484.1523</v>
      </c>
      <c r="S549" s="178">
        <f t="shared" si="15"/>
        <v>252794.0875</v>
      </c>
      <c r="T549" s="1"/>
      <c r="U549" s="1"/>
    </row>
    <row r="550">
      <c r="A550" s="13"/>
      <c r="B550" s="1"/>
      <c r="C550" s="1"/>
      <c r="D550" s="1"/>
      <c r="E550" s="1"/>
      <c r="F550" s="1"/>
      <c r="G550" s="176"/>
      <c r="H550" s="143"/>
      <c r="I550" s="1"/>
      <c r="J550" s="181"/>
      <c r="K550" s="182"/>
      <c r="L550" s="181"/>
      <c r="M550" s="181"/>
      <c r="N550" s="1"/>
      <c r="O550" s="1"/>
      <c r="P550" s="1"/>
      <c r="Q550" s="1"/>
      <c r="R550" s="1"/>
      <c r="S550" s="1"/>
      <c r="T550" s="1"/>
      <c r="U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36"/>
      <c r="U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"/>
      <c r="U552" s="1"/>
    </row>
    <row r="553">
      <c r="A553" s="1"/>
      <c r="B553" s="1"/>
      <c r="C553" s="1"/>
      <c r="D553" s="1"/>
      <c r="E553" s="13"/>
      <c r="F553" s="1" t="str">
        <f t="shared" ref="F553:S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70">
        <f t="shared" si="16"/>
        <v>0</v>
      </c>
      <c r="N553" s="170">
        <f t="shared" si="16"/>
        <v>0</v>
      </c>
      <c r="O553" s="170">
        <f t="shared" si="16"/>
        <v>0</v>
      </c>
      <c r="P553" s="170">
        <f t="shared" si="16"/>
        <v>0</v>
      </c>
      <c r="Q553" s="170">
        <f t="shared" si="16"/>
        <v>0</v>
      </c>
      <c r="R553" s="170">
        <f t="shared" si="16"/>
        <v>0</v>
      </c>
      <c r="S553" s="170">
        <f t="shared" si="16"/>
        <v>0</v>
      </c>
      <c r="T553" s="1"/>
      <c r="U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S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84" t="str">
        <f t="shared" si="17"/>
        <v/>
      </c>
      <c r="N554" s="184" t="str">
        <f t="shared" si="17"/>
        <v/>
      </c>
      <c r="O554" s="184" t="str">
        <f t="shared" si="17"/>
        <v/>
      </c>
      <c r="P554" s="184" t="str">
        <f t="shared" si="17"/>
        <v/>
      </c>
      <c r="Q554" s="184" t="str">
        <f t="shared" si="17"/>
        <v/>
      </c>
      <c r="R554" s="184" t="str">
        <f t="shared" si="17"/>
        <v/>
      </c>
      <c r="S554" s="184" t="str">
        <f t="shared" si="17"/>
        <v/>
      </c>
      <c r="T554" s="1"/>
      <c r="U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S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84">
        <f t="shared" si="18"/>
        <v>0</v>
      </c>
      <c r="N555" s="184">
        <f t="shared" si="18"/>
        <v>0</v>
      </c>
      <c r="O555" s="184">
        <f t="shared" si="18"/>
        <v>0</v>
      </c>
      <c r="P555" s="184">
        <f t="shared" si="18"/>
        <v>0</v>
      </c>
      <c r="Q555" s="184">
        <f t="shared" si="18"/>
        <v>0</v>
      </c>
      <c r="R555" s="184">
        <f t="shared" si="18"/>
        <v>0</v>
      </c>
      <c r="S555" s="184">
        <f t="shared" si="18"/>
        <v>0</v>
      </c>
      <c r="T555" s="1"/>
      <c r="U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"/>
      <c r="U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S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86">
        <f t="shared" si="19"/>
        <v>1</v>
      </c>
      <c r="N557" s="186">
        <f t="shared" si="19"/>
        <v>0</v>
      </c>
      <c r="O557" s="186">
        <f t="shared" si="19"/>
        <v>1</v>
      </c>
      <c r="P557" s="186">
        <f t="shared" si="19"/>
        <v>0</v>
      </c>
      <c r="Q557" s="186">
        <f t="shared" si="19"/>
        <v>1</v>
      </c>
      <c r="R557" s="186">
        <f t="shared" si="19"/>
        <v>0</v>
      </c>
      <c r="S557" s="186">
        <f t="shared" si="19"/>
        <v>1</v>
      </c>
      <c r="T557" s="1"/>
      <c r="U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S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86">
        <f t="shared" si="20"/>
        <v>0</v>
      </c>
      <c r="N558" s="186">
        <f t="shared" si="20"/>
        <v>1</v>
      </c>
      <c r="O558" s="186">
        <f t="shared" si="20"/>
        <v>0</v>
      </c>
      <c r="P558" s="186">
        <f t="shared" si="20"/>
        <v>1</v>
      </c>
      <c r="Q558" s="186">
        <f t="shared" si="20"/>
        <v>0</v>
      </c>
      <c r="R558" s="186">
        <f t="shared" si="20"/>
        <v>1</v>
      </c>
      <c r="S558" s="186">
        <f t="shared" si="20"/>
        <v>0</v>
      </c>
      <c r="T558" s="1"/>
      <c r="U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S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86">
        <f t="shared" si="21"/>
        <v>1</v>
      </c>
      <c r="N559" s="186">
        <f t="shared" si="21"/>
        <v>0</v>
      </c>
      <c r="O559" s="186">
        <f t="shared" si="21"/>
        <v>1</v>
      </c>
      <c r="P559" s="186">
        <f t="shared" si="21"/>
        <v>0</v>
      </c>
      <c r="Q559" s="186">
        <f t="shared" si="21"/>
        <v>1</v>
      </c>
      <c r="R559" s="186">
        <f t="shared" si="21"/>
        <v>0</v>
      </c>
      <c r="S559" s="186">
        <f t="shared" si="21"/>
        <v>1</v>
      </c>
      <c r="T559" s="1"/>
      <c r="U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S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86">
        <f t="shared" si="22"/>
        <v>0</v>
      </c>
      <c r="N560" s="186">
        <f t="shared" si="22"/>
        <v>1</v>
      </c>
      <c r="O560" s="186">
        <f t="shared" si="22"/>
        <v>0</v>
      </c>
      <c r="P560" s="186">
        <f t="shared" si="22"/>
        <v>1</v>
      </c>
      <c r="Q560" s="186">
        <f t="shared" si="22"/>
        <v>0</v>
      </c>
      <c r="R560" s="186">
        <f t="shared" si="22"/>
        <v>1</v>
      </c>
      <c r="S560" s="186">
        <f t="shared" si="22"/>
        <v>0</v>
      </c>
      <c r="T560" s="1"/>
      <c r="U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S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86">
        <f t="shared" si="23"/>
        <v>1</v>
      </c>
      <c r="N561" s="186">
        <f t="shared" si="23"/>
        <v>0</v>
      </c>
      <c r="O561" s="186">
        <f t="shared" si="23"/>
        <v>1</v>
      </c>
      <c r="P561" s="186">
        <f t="shared" si="23"/>
        <v>0</v>
      </c>
      <c r="Q561" s="186">
        <f t="shared" si="23"/>
        <v>1</v>
      </c>
      <c r="R561" s="186">
        <f t="shared" si="23"/>
        <v>0</v>
      </c>
      <c r="S561" s="186">
        <f t="shared" si="23"/>
        <v>1</v>
      </c>
      <c r="T561" s="1"/>
      <c r="U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S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86">
        <f t="shared" si="24"/>
        <v>2</v>
      </c>
      <c r="N562" s="186">
        <f t="shared" si="24"/>
        <v>1</v>
      </c>
      <c r="O562" s="186">
        <f t="shared" si="24"/>
        <v>0</v>
      </c>
      <c r="P562" s="186">
        <f t="shared" si="24"/>
        <v>1</v>
      </c>
      <c r="Q562" s="186">
        <f t="shared" si="24"/>
        <v>0</v>
      </c>
      <c r="R562" s="186">
        <f t="shared" si="24"/>
        <v>1</v>
      </c>
      <c r="S562" s="186">
        <f t="shared" si="24"/>
        <v>0</v>
      </c>
      <c r="T562" s="1"/>
      <c r="U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S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86">
        <f t="shared" si="25"/>
        <v>0</v>
      </c>
      <c r="N563" s="186">
        <f t="shared" si="25"/>
        <v>2</v>
      </c>
      <c r="O563" s="186">
        <f t="shared" si="25"/>
        <v>1</v>
      </c>
      <c r="P563" s="186">
        <f t="shared" si="25"/>
        <v>0</v>
      </c>
      <c r="Q563" s="186">
        <f t="shared" si="25"/>
        <v>1</v>
      </c>
      <c r="R563" s="186">
        <f t="shared" si="25"/>
        <v>0</v>
      </c>
      <c r="S563" s="186">
        <f t="shared" si="25"/>
        <v>1</v>
      </c>
      <c r="T563" s="1"/>
      <c r="U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S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86">
        <f t="shared" si="26"/>
        <v>0</v>
      </c>
      <c r="N564" s="186">
        <f t="shared" si="26"/>
        <v>0</v>
      </c>
      <c r="O564" s="186">
        <f t="shared" si="26"/>
        <v>2</v>
      </c>
      <c r="P564" s="186">
        <f t="shared" si="26"/>
        <v>1</v>
      </c>
      <c r="Q564" s="186">
        <f t="shared" si="26"/>
        <v>0</v>
      </c>
      <c r="R564" s="186">
        <f t="shared" si="26"/>
        <v>1</v>
      </c>
      <c r="S564" s="186">
        <f t="shared" si="26"/>
        <v>0</v>
      </c>
      <c r="T564" s="1"/>
      <c r="U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S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86">
        <f t="shared" si="27"/>
        <v>0</v>
      </c>
      <c r="N565" s="186">
        <f t="shared" si="27"/>
        <v>0</v>
      </c>
      <c r="O565" s="186">
        <f t="shared" si="27"/>
        <v>0</v>
      </c>
      <c r="P565" s="186">
        <f t="shared" si="27"/>
        <v>2</v>
      </c>
      <c r="Q565" s="186">
        <f t="shared" si="27"/>
        <v>1</v>
      </c>
      <c r="R565" s="186">
        <f t="shared" si="27"/>
        <v>0</v>
      </c>
      <c r="S565" s="186">
        <f t="shared" si="27"/>
        <v>1</v>
      </c>
      <c r="T565" s="1"/>
      <c r="U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S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86">
        <f t="shared" si="28"/>
        <v>0</v>
      </c>
      <c r="N566" s="186">
        <f t="shared" si="28"/>
        <v>0</v>
      </c>
      <c r="O566" s="186">
        <f t="shared" si="28"/>
        <v>0</v>
      </c>
      <c r="P566" s="186">
        <f t="shared" si="28"/>
        <v>0</v>
      </c>
      <c r="Q566" s="186">
        <f t="shared" si="28"/>
        <v>2</v>
      </c>
      <c r="R566" s="186">
        <f t="shared" si="28"/>
        <v>1</v>
      </c>
      <c r="S566" s="186">
        <f t="shared" si="28"/>
        <v>0</v>
      </c>
      <c r="T566" s="1"/>
      <c r="U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S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86">
        <f t="shared" si="29"/>
        <v>0</v>
      </c>
      <c r="N567" s="186">
        <f t="shared" si="29"/>
        <v>0</v>
      </c>
      <c r="O567" s="186">
        <f t="shared" si="29"/>
        <v>0</v>
      </c>
      <c r="P567" s="186">
        <f t="shared" si="29"/>
        <v>0</v>
      </c>
      <c r="Q567" s="186">
        <f t="shared" si="29"/>
        <v>0</v>
      </c>
      <c r="R567" s="186">
        <f t="shared" si="29"/>
        <v>2</v>
      </c>
      <c r="S567" s="186">
        <f t="shared" si="29"/>
        <v>1</v>
      </c>
      <c r="T567" s="1"/>
      <c r="U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S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86">
        <f t="shared" si="30"/>
        <v>0</v>
      </c>
      <c r="N568" s="186">
        <f t="shared" si="30"/>
        <v>0</v>
      </c>
      <c r="O568" s="186">
        <f t="shared" si="30"/>
        <v>0</v>
      </c>
      <c r="P568" s="186">
        <f t="shared" si="30"/>
        <v>0</v>
      </c>
      <c r="Q568" s="186">
        <f t="shared" si="30"/>
        <v>0</v>
      </c>
      <c r="R568" s="186">
        <f t="shared" si="30"/>
        <v>0</v>
      </c>
      <c r="S568" s="186">
        <f t="shared" si="30"/>
        <v>2</v>
      </c>
      <c r="T568" s="1"/>
      <c r="U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"/>
      <c r="U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55">
        <v>0.8</v>
      </c>
      <c r="N570" s="155">
        <v>0.8</v>
      </c>
      <c r="O570" s="155">
        <v>0.8</v>
      </c>
      <c r="P570" s="155">
        <v>0.8</v>
      </c>
      <c r="Q570" s="155">
        <v>0.8</v>
      </c>
      <c r="R570" s="155">
        <v>0.8</v>
      </c>
      <c r="S570" s="155">
        <v>0.8</v>
      </c>
      <c r="T570" s="1"/>
      <c r="U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S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84">
        <f t="shared" si="31"/>
        <v>0</v>
      </c>
      <c r="N571" s="184">
        <f t="shared" si="31"/>
        <v>0</v>
      </c>
      <c r="O571" s="184">
        <f t="shared" si="31"/>
        <v>0</v>
      </c>
      <c r="P571" s="184">
        <f t="shared" si="31"/>
        <v>0</v>
      </c>
      <c r="Q571" s="184">
        <f t="shared" si="31"/>
        <v>0</v>
      </c>
      <c r="R571" s="184">
        <f t="shared" si="31"/>
        <v>0</v>
      </c>
      <c r="S571" s="184">
        <f t="shared" si="31"/>
        <v>0</v>
      </c>
      <c r="T571" s="1"/>
      <c r="U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S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84">
        <f t="shared" si="32"/>
        <v>0</v>
      </c>
      <c r="N572" s="184">
        <f t="shared" si="32"/>
        <v>0</v>
      </c>
      <c r="O572" s="184">
        <f t="shared" si="32"/>
        <v>0</v>
      </c>
      <c r="P572" s="184">
        <f t="shared" si="32"/>
        <v>0</v>
      </c>
      <c r="Q572" s="184">
        <f t="shared" si="32"/>
        <v>0</v>
      </c>
      <c r="R572" s="184">
        <f t="shared" si="32"/>
        <v>0</v>
      </c>
      <c r="S572" s="184">
        <f t="shared" si="32"/>
        <v>0</v>
      </c>
      <c r="T572" s="1"/>
      <c r="U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S573" si="33">IF(COLUMN() &lt; (COLUMN($H$573) + (ROW()-ROW($H$573))), 0, IF(COLUMN() = (COLUMN($H$573) + (ROW()-ROW($H$573))), INDEX($H$555:$S$555,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86">
        <f t="shared" si="33"/>
        <v>0</v>
      </c>
      <c r="N573" s="186">
        <f t="shared" si="33"/>
        <v>0</v>
      </c>
      <c r="O573" s="186">
        <f t="shared" si="33"/>
        <v>0</v>
      </c>
      <c r="P573" s="186">
        <f t="shared" si="33"/>
        <v>0</v>
      </c>
      <c r="Q573" s="186">
        <f t="shared" si="33"/>
        <v>0</v>
      </c>
      <c r="R573" s="186">
        <f t="shared" si="33"/>
        <v>0</v>
      </c>
      <c r="S573" s="186">
        <f t="shared" si="33"/>
        <v>0</v>
      </c>
      <c r="T573" s="1"/>
      <c r="U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S574" si="34">IF(COLUMN() &lt; (COLUMN($H$573) + (ROW()-ROW($H$573))), 0, IF(COLUMN() = (COLUMN($H$573) + (ROW()-ROW($H$573))), INDEX($H$555:$S$555,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86">
        <f t="shared" si="34"/>
        <v>0</v>
      </c>
      <c r="N574" s="186">
        <f t="shared" si="34"/>
        <v>0</v>
      </c>
      <c r="O574" s="186">
        <f t="shared" si="34"/>
        <v>0</v>
      </c>
      <c r="P574" s="186">
        <f t="shared" si="34"/>
        <v>0</v>
      </c>
      <c r="Q574" s="186">
        <f t="shared" si="34"/>
        <v>0</v>
      </c>
      <c r="R574" s="186">
        <f t="shared" si="34"/>
        <v>0</v>
      </c>
      <c r="S574" s="186">
        <f t="shared" si="34"/>
        <v>0</v>
      </c>
      <c r="T574" s="1"/>
      <c r="U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S575" si="35">IF(COLUMN() &lt; (COLUMN($H$573) + (ROW()-ROW($H$573))), 0, IF(COLUMN() = (COLUMN($H$573) + (ROW()-ROW($H$573))), INDEX($H$555:$S$555,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86">
        <f t="shared" si="35"/>
        <v>0</v>
      </c>
      <c r="N575" s="186">
        <f t="shared" si="35"/>
        <v>0</v>
      </c>
      <c r="O575" s="186">
        <f t="shared" si="35"/>
        <v>0</v>
      </c>
      <c r="P575" s="186">
        <f t="shared" si="35"/>
        <v>0</v>
      </c>
      <c r="Q575" s="186">
        <f t="shared" si="35"/>
        <v>0</v>
      </c>
      <c r="R575" s="186">
        <f t="shared" si="35"/>
        <v>0</v>
      </c>
      <c r="S575" s="186">
        <f t="shared" si="35"/>
        <v>0</v>
      </c>
      <c r="T575" s="1"/>
      <c r="U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S576" si="36">IF(COLUMN() &lt; (COLUMN($H$573) + (ROW()-ROW($H$573))), 0, IF(COLUMN() = (COLUMN($H$573) + (ROW()-ROW($H$573))), INDEX($H$555:$S$555,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86">
        <f t="shared" si="36"/>
        <v>0</v>
      </c>
      <c r="N576" s="186">
        <f t="shared" si="36"/>
        <v>0</v>
      </c>
      <c r="O576" s="186">
        <f t="shared" si="36"/>
        <v>0</v>
      </c>
      <c r="P576" s="186">
        <f t="shared" si="36"/>
        <v>0</v>
      </c>
      <c r="Q576" s="186">
        <f t="shared" si="36"/>
        <v>0</v>
      </c>
      <c r="R576" s="186">
        <f t="shared" si="36"/>
        <v>0</v>
      </c>
      <c r="S576" s="186">
        <f t="shared" si="36"/>
        <v>0</v>
      </c>
      <c r="T576" s="1"/>
      <c r="U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S577" si="37">IF(COLUMN() &lt; (COLUMN($H$573) + (ROW()-ROW($H$573))), 0, IF(COLUMN() = (COLUMN($H$573) + (ROW()-ROW($H$573))), INDEX($H$555:$S$555,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86">
        <f t="shared" si="37"/>
        <v>0</v>
      </c>
      <c r="N577" s="186">
        <f t="shared" si="37"/>
        <v>0</v>
      </c>
      <c r="O577" s="186">
        <f t="shared" si="37"/>
        <v>0</v>
      </c>
      <c r="P577" s="186">
        <f t="shared" si="37"/>
        <v>0</v>
      </c>
      <c r="Q577" s="186">
        <f t="shared" si="37"/>
        <v>0</v>
      </c>
      <c r="R577" s="186">
        <f t="shared" si="37"/>
        <v>0</v>
      </c>
      <c r="S577" s="186">
        <f t="shared" si="37"/>
        <v>0</v>
      </c>
      <c r="T577" s="1"/>
      <c r="U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S578" si="38">IF(COLUMN() &lt; (COLUMN($H$573) + (ROW()-ROW($H$573))), 0, IF(COLUMN() = (COLUMN($H$573) + (ROW()-ROW($H$573))), INDEX($H$555:$S$555,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86">
        <f t="shared" si="38"/>
        <v>0</v>
      </c>
      <c r="N578" s="186">
        <f t="shared" si="38"/>
        <v>0</v>
      </c>
      <c r="O578" s="186">
        <f t="shared" si="38"/>
        <v>0</v>
      </c>
      <c r="P578" s="186">
        <f t="shared" si="38"/>
        <v>0</v>
      </c>
      <c r="Q578" s="186">
        <f t="shared" si="38"/>
        <v>0</v>
      </c>
      <c r="R578" s="186">
        <f t="shared" si="38"/>
        <v>0</v>
      </c>
      <c r="S578" s="186">
        <f t="shared" si="38"/>
        <v>0</v>
      </c>
      <c r="T578" s="1"/>
      <c r="U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S579" si="39">IF(COLUMN() &lt; (COLUMN($H$573) + (ROW()-ROW($H$573))), 0, IF(COLUMN() = (COLUMN($H$573) + (ROW()-ROW($H$573))), INDEX($H$555:$S$555,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86">
        <f t="shared" si="39"/>
        <v>0</v>
      </c>
      <c r="N579" s="186">
        <f t="shared" si="39"/>
        <v>0</v>
      </c>
      <c r="O579" s="186">
        <f t="shared" si="39"/>
        <v>0</v>
      </c>
      <c r="P579" s="186">
        <f t="shared" si="39"/>
        <v>0</v>
      </c>
      <c r="Q579" s="186">
        <f t="shared" si="39"/>
        <v>0</v>
      </c>
      <c r="R579" s="186">
        <f t="shared" si="39"/>
        <v>0</v>
      </c>
      <c r="S579" s="186">
        <f t="shared" si="39"/>
        <v>0</v>
      </c>
      <c r="T579" s="1"/>
      <c r="U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S580" si="40">IF(COLUMN() &lt; (COLUMN($H$573) + (ROW()-ROW($H$573))), 0, IF(COLUMN() = (COLUMN($H$573) + (ROW()-ROW($H$573))), INDEX($H$555:$S$555,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86">
        <f t="shared" si="40"/>
        <v>0</v>
      </c>
      <c r="N580" s="186">
        <f t="shared" si="40"/>
        <v>0</v>
      </c>
      <c r="O580" s="186">
        <f t="shared" si="40"/>
        <v>0</v>
      </c>
      <c r="P580" s="186">
        <f t="shared" si="40"/>
        <v>0</v>
      </c>
      <c r="Q580" s="186">
        <f t="shared" si="40"/>
        <v>0</v>
      </c>
      <c r="R580" s="186">
        <f t="shared" si="40"/>
        <v>0</v>
      </c>
      <c r="S580" s="186">
        <f t="shared" si="40"/>
        <v>0</v>
      </c>
      <c r="T580" s="1"/>
      <c r="U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S581" si="41">IF(COLUMN() &lt; (COLUMN($H$573) + (ROW()-ROW($H$573))), 0, IF(COLUMN() = (COLUMN($H$573) + (ROW()-ROW($H$573))), INDEX($H$555:$S$555,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86">
        <f t="shared" si="41"/>
        <v>0</v>
      </c>
      <c r="N581" s="186">
        <f t="shared" si="41"/>
        <v>0</v>
      </c>
      <c r="O581" s="186">
        <f t="shared" si="41"/>
        <v>0</v>
      </c>
      <c r="P581" s="186">
        <f t="shared" si="41"/>
        <v>0</v>
      </c>
      <c r="Q581" s="186">
        <f t="shared" si="41"/>
        <v>0</v>
      </c>
      <c r="R581" s="186">
        <f t="shared" si="41"/>
        <v>0</v>
      </c>
      <c r="S581" s="186">
        <f t="shared" si="41"/>
        <v>0</v>
      </c>
      <c r="T581" s="1"/>
      <c r="U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S582" si="42">IF(COLUMN() &lt; (COLUMN($H$573) + (ROW()-ROW($H$573))), 0, IF(COLUMN() = (COLUMN($H$573) + (ROW()-ROW($H$573))), INDEX($H$555:$S$555,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86">
        <f t="shared" si="42"/>
        <v>0</v>
      </c>
      <c r="N582" s="186">
        <f t="shared" si="42"/>
        <v>0</v>
      </c>
      <c r="O582" s="186">
        <f t="shared" si="42"/>
        <v>0</v>
      </c>
      <c r="P582" s="186">
        <f t="shared" si="42"/>
        <v>0</v>
      </c>
      <c r="Q582" s="186">
        <f t="shared" si="42"/>
        <v>0</v>
      </c>
      <c r="R582" s="186">
        <f t="shared" si="42"/>
        <v>0</v>
      </c>
      <c r="S582" s="186">
        <f t="shared" si="42"/>
        <v>0</v>
      </c>
      <c r="T582" s="1"/>
      <c r="U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S583" si="43">IF(COLUMN() &lt; (COLUMN($H$573) + (ROW()-ROW($H$573))), 0, IF(COLUMN() = (COLUMN($H$573) + (ROW()-ROW($H$573))), INDEX($H$555:$S$555,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86">
        <f t="shared" si="43"/>
        <v>0</v>
      </c>
      <c r="N583" s="186">
        <f t="shared" si="43"/>
        <v>0</v>
      </c>
      <c r="O583" s="186">
        <f t="shared" si="43"/>
        <v>0</v>
      </c>
      <c r="P583" s="186">
        <f t="shared" si="43"/>
        <v>0</v>
      </c>
      <c r="Q583" s="186">
        <f t="shared" si="43"/>
        <v>0</v>
      </c>
      <c r="R583" s="186">
        <f t="shared" si="43"/>
        <v>0</v>
      </c>
      <c r="S583" s="186">
        <f t="shared" si="43"/>
        <v>0</v>
      </c>
      <c r="T583" s="1"/>
      <c r="U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S584" si="44">IF(COLUMN() &lt; (COLUMN($H$573) + (ROW()-ROW($H$573))), 0, IF(COLUMN() = (COLUMN($H$573) + (ROW()-ROW($H$573))), INDEX($H$555:$S$555,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86">
        <f t="shared" si="44"/>
        <v>0</v>
      </c>
      <c r="N584" s="186">
        <f t="shared" si="44"/>
        <v>0</v>
      </c>
      <c r="O584" s="186">
        <f t="shared" si="44"/>
        <v>0</v>
      </c>
      <c r="P584" s="186">
        <f t="shared" si="44"/>
        <v>0</v>
      </c>
      <c r="Q584" s="186">
        <f t="shared" si="44"/>
        <v>0</v>
      </c>
      <c r="R584" s="186">
        <f t="shared" si="44"/>
        <v>0</v>
      </c>
      <c r="S584" s="186">
        <f t="shared" si="44"/>
        <v>0</v>
      </c>
      <c r="T584" s="1"/>
      <c r="U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"/>
      <c r="U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"/>
      <c r="U586" s="1"/>
    </row>
    <row r="587">
      <c r="A587" s="1"/>
      <c r="B587" s="1"/>
      <c r="C587" s="1"/>
      <c r="D587" s="1"/>
      <c r="E587" s="13"/>
      <c r="F587" s="1" t="str">
        <f t="shared" ref="F587:S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70">
        <f t="shared" si="45"/>
        <v>0</v>
      </c>
      <c r="N587" s="170">
        <f t="shared" si="45"/>
        <v>0</v>
      </c>
      <c r="O587" s="170">
        <f t="shared" si="45"/>
        <v>0</v>
      </c>
      <c r="P587" s="170">
        <f t="shared" si="45"/>
        <v>0</v>
      </c>
      <c r="Q587" s="170">
        <f t="shared" si="45"/>
        <v>0</v>
      </c>
      <c r="R587" s="170">
        <f t="shared" si="45"/>
        <v>0</v>
      </c>
      <c r="S587" s="170">
        <f t="shared" si="45"/>
        <v>0</v>
      </c>
      <c r="T587" s="1"/>
      <c r="U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S588" si="46">H434</f>
        <v>809100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84" t="str">
        <f t="shared" si="46"/>
        <v/>
      </c>
      <c r="N588" s="184" t="str">
        <f t="shared" si="46"/>
        <v/>
      </c>
      <c r="O588" s="184" t="str">
        <f t="shared" si="46"/>
        <v/>
      </c>
      <c r="P588" s="184" t="str">
        <f t="shared" si="46"/>
        <v/>
      </c>
      <c r="Q588" s="184" t="str">
        <f t="shared" si="46"/>
        <v/>
      </c>
      <c r="R588" s="184" t="str">
        <f t="shared" si="46"/>
        <v/>
      </c>
      <c r="S588" s="184" t="str">
        <f t="shared" si="46"/>
        <v/>
      </c>
      <c r="T588" s="1"/>
      <c r="U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S589" si="47">SUM(H587:H588)</f>
        <v>809100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84">
        <f t="shared" si="47"/>
        <v>0</v>
      </c>
      <c r="N589" s="184">
        <f t="shared" si="47"/>
        <v>0</v>
      </c>
      <c r="O589" s="184">
        <f t="shared" si="47"/>
        <v>0</v>
      </c>
      <c r="P589" s="184">
        <f t="shared" si="47"/>
        <v>0</v>
      </c>
      <c r="Q589" s="184">
        <f t="shared" si="47"/>
        <v>0</v>
      </c>
      <c r="R589" s="184">
        <f t="shared" si="47"/>
        <v>0</v>
      </c>
      <c r="S589" s="184">
        <f t="shared" si="47"/>
        <v>0</v>
      </c>
      <c r="T589" s="1"/>
      <c r="U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"/>
      <c r="U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S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86">
        <f t="shared" si="48"/>
        <v>5</v>
      </c>
      <c r="N591" s="186">
        <f t="shared" si="48"/>
        <v>4</v>
      </c>
      <c r="O591" s="186">
        <f t="shared" si="48"/>
        <v>3</v>
      </c>
      <c r="P591" s="186">
        <f t="shared" si="48"/>
        <v>2</v>
      </c>
      <c r="Q591" s="186">
        <f t="shared" si="48"/>
        <v>1</v>
      </c>
      <c r="R591" s="186">
        <f t="shared" si="48"/>
        <v>0</v>
      </c>
      <c r="S591" s="186">
        <f t="shared" si="48"/>
        <v>9</v>
      </c>
      <c r="T591" s="1"/>
      <c r="U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S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86">
        <f t="shared" si="49"/>
        <v>6</v>
      </c>
      <c r="N592" s="186">
        <f t="shared" si="49"/>
        <v>5</v>
      </c>
      <c r="O592" s="186">
        <f t="shared" si="49"/>
        <v>4</v>
      </c>
      <c r="P592" s="186">
        <f t="shared" si="49"/>
        <v>3</v>
      </c>
      <c r="Q592" s="186">
        <f t="shared" si="49"/>
        <v>2</v>
      </c>
      <c r="R592" s="186">
        <f t="shared" si="49"/>
        <v>1</v>
      </c>
      <c r="S592" s="186">
        <f t="shared" si="49"/>
        <v>0</v>
      </c>
      <c r="T592" s="1"/>
      <c r="U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S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86">
        <f t="shared" si="50"/>
        <v>7</v>
      </c>
      <c r="N593" s="186">
        <f t="shared" si="50"/>
        <v>6</v>
      </c>
      <c r="O593" s="186">
        <f t="shared" si="50"/>
        <v>5</v>
      </c>
      <c r="P593" s="186">
        <f t="shared" si="50"/>
        <v>4</v>
      </c>
      <c r="Q593" s="186">
        <f t="shared" si="50"/>
        <v>3</v>
      </c>
      <c r="R593" s="186">
        <f t="shared" si="50"/>
        <v>2</v>
      </c>
      <c r="S593" s="186">
        <f t="shared" si="50"/>
        <v>1</v>
      </c>
      <c r="T593" s="1"/>
      <c r="U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S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86">
        <f t="shared" si="51"/>
        <v>8</v>
      </c>
      <c r="N594" s="186">
        <f t="shared" si="51"/>
        <v>7</v>
      </c>
      <c r="O594" s="186">
        <f t="shared" si="51"/>
        <v>6</v>
      </c>
      <c r="P594" s="186">
        <f t="shared" si="51"/>
        <v>5</v>
      </c>
      <c r="Q594" s="186">
        <f t="shared" si="51"/>
        <v>4</v>
      </c>
      <c r="R594" s="186">
        <f t="shared" si="51"/>
        <v>3</v>
      </c>
      <c r="S594" s="186">
        <f t="shared" si="51"/>
        <v>2</v>
      </c>
      <c r="T594" s="1"/>
      <c r="U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S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86">
        <f t="shared" si="52"/>
        <v>9</v>
      </c>
      <c r="N595" s="186">
        <f t="shared" si="52"/>
        <v>8</v>
      </c>
      <c r="O595" s="186">
        <f t="shared" si="52"/>
        <v>7</v>
      </c>
      <c r="P595" s="186">
        <f t="shared" si="52"/>
        <v>6</v>
      </c>
      <c r="Q595" s="186">
        <f t="shared" si="52"/>
        <v>5</v>
      </c>
      <c r="R595" s="186">
        <f t="shared" si="52"/>
        <v>4</v>
      </c>
      <c r="S595" s="186">
        <f t="shared" si="52"/>
        <v>3</v>
      </c>
      <c r="T595" s="1"/>
      <c r="U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S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86">
        <f t="shared" si="53"/>
        <v>10</v>
      </c>
      <c r="N596" s="186">
        <f t="shared" si="53"/>
        <v>9</v>
      </c>
      <c r="O596" s="186">
        <f t="shared" si="53"/>
        <v>8</v>
      </c>
      <c r="P596" s="186">
        <f t="shared" si="53"/>
        <v>7</v>
      </c>
      <c r="Q596" s="186">
        <f t="shared" si="53"/>
        <v>6</v>
      </c>
      <c r="R596" s="186">
        <f t="shared" si="53"/>
        <v>5</v>
      </c>
      <c r="S596" s="186">
        <f t="shared" si="53"/>
        <v>4</v>
      </c>
      <c r="T596" s="1"/>
      <c r="U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S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86">
        <f t="shared" si="54"/>
        <v>0</v>
      </c>
      <c r="N597" s="186">
        <f t="shared" si="54"/>
        <v>10</v>
      </c>
      <c r="O597" s="186">
        <f t="shared" si="54"/>
        <v>9</v>
      </c>
      <c r="P597" s="186">
        <f t="shared" si="54"/>
        <v>8</v>
      </c>
      <c r="Q597" s="186">
        <f t="shared" si="54"/>
        <v>7</v>
      </c>
      <c r="R597" s="186">
        <f t="shared" si="54"/>
        <v>6</v>
      </c>
      <c r="S597" s="186">
        <f t="shared" si="54"/>
        <v>5</v>
      </c>
      <c r="T597" s="1"/>
      <c r="U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S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86">
        <f t="shared" si="55"/>
        <v>0</v>
      </c>
      <c r="N598" s="186">
        <f t="shared" si="55"/>
        <v>0</v>
      </c>
      <c r="O598" s="186">
        <f t="shared" si="55"/>
        <v>10</v>
      </c>
      <c r="P598" s="186">
        <f t="shared" si="55"/>
        <v>9</v>
      </c>
      <c r="Q598" s="186">
        <f t="shared" si="55"/>
        <v>8</v>
      </c>
      <c r="R598" s="186">
        <f t="shared" si="55"/>
        <v>7</v>
      </c>
      <c r="S598" s="186">
        <f t="shared" si="55"/>
        <v>6</v>
      </c>
      <c r="T598" s="1"/>
      <c r="U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S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86">
        <f t="shared" si="56"/>
        <v>0</v>
      </c>
      <c r="N599" s="186">
        <f t="shared" si="56"/>
        <v>0</v>
      </c>
      <c r="O599" s="186">
        <f t="shared" si="56"/>
        <v>0</v>
      </c>
      <c r="P599" s="186">
        <f t="shared" si="56"/>
        <v>10</v>
      </c>
      <c r="Q599" s="186">
        <f t="shared" si="56"/>
        <v>9</v>
      </c>
      <c r="R599" s="186">
        <f t="shared" si="56"/>
        <v>8</v>
      </c>
      <c r="S599" s="186">
        <f t="shared" si="56"/>
        <v>7</v>
      </c>
      <c r="T599" s="1"/>
      <c r="U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S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86">
        <f t="shared" si="57"/>
        <v>0</v>
      </c>
      <c r="N600" s="186">
        <f t="shared" si="57"/>
        <v>0</v>
      </c>
      <c r="O600" s="186">
        <f t="shared" si="57"/>
        <v>0</v>
      </c>
      <c r="P600" s="186">
        <f t="shared" si="57"/>
        <v>0</v>
      </c>
      <c r="Q600" s="186">
        <f t="shared" si="57"/>
        <v>10</v>
      </c>
      <c r="R600" s="186">
        <f t="shared" si="57"/>
        <v>9</v>
      </c>
      <c r="S600" s="186">
        <f t="shared" si="57"/>
        <v>8</v>
      </c>
      <c r="T600" s="1"/>
      <c r="U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S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86">
        <f t="shared" si="58"/>
        <v>0</v>
      </c>
      <c r="N601" s="186">
        <f t="shared" si="58"/>
        <v>0</v>
      </c>
      <c r="O601" s="186">
        <f t="shared" si="58"/>
        <v>0</v>
      </c>
      <c r="P601" s="186">
        <f t="shared" si="58"/>
        <v>0</v>
      </c>
      <c r="Q601" s="186">
        <f t="shared" si="58"/>
        <v>0</v>
      </c>
      <c r="R601" s="186">
        <f t="shared" si="58"/>
        <v>10</v>
      </c>
      <c r="S601" s="186">
        <f t="shared" si="58"/>
        <v>9</v>
      </c>
      <c r="T601" s="1"/>
      <c r="U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S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86">
        <f t="shared" si="59"/>
        <v>0</v>
      </c>
      <c r="N602" s="186">
        <f t="shared" si="59"/>
        <v>0</v>
      </c>
      <c r="O602" s="186">
        <f t="shared" si="59"/>
        <v>0</v>
      </c>
      <c r="P602" s="186">
        <f t="shared" si="59"/>
        <v>0</v>
      </c>
      <c r="Q602" s="186">
        <f t="shared" si="59"/>
        <v>0</v>
      </c>
      <c r="R602" s="186">
        <f t="shared" si="59"/>
        <v>0</v>
      </c>
      <c r="S602" s="186">
        <f t="shared" si="59"/>
        <v>10</v>
      </c>
      <c r="T602" s="1"/>
      <c r="U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"/>
      <c r="U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"/>
      <c r="U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R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84">
        <f t="shared" si="60"/>
        <v>0</v>
      </c>
      <c r="N605" s="184">
        <f t="shared" si="60"/>
        <v>0</v>
      </c>
      <c r="O605" s="184">
        <f t="shared" si="60"/>
        <v>0</v>
      </c>
      <c r="P605" s="184">
        <f t="shared" si="60"/>
        <v>0</v>
      </c>
      <c r="Q605" s="184">
        <f t="shared" si="60"/>
        <v>0</v>
      </c>
      <c r="R605" s="184">
        <f t="shared" si="60"/>
        <v>161820</v>
      </c>
      <c r="S605" s="184">
        <f>IF(S590=0,R588*S604,0)</f>
        <v>0</v>
      </c>
      <c r="T605" s="1"/>
      <c r="U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S606" si="61">SUM(H607:H618)</f>
        <v>809100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84">
        <f t="shared" si="61"/>
        <v>0</v>
      </c>
      <c r="N606" s="184">
        <f t="shared" si="61"/>
        <v>0</v>
      </c>
      <c r="O606" s="184">
        <f t="shared" si="61"/>
        <v>0</v>
      </c>
      <c r="P606" s="184">
        <f t="shared" si="61"/>
        <v>0</v>
      </c>
      <c r="Q606" s="184">
        <f t="shared" si="61"/>
        <v>0</v>
      </c>
      <c r="R606" s="184">
        <f t="shared" si="61"/>
        <v>161820</v>
      </c>
      <c r="S606" s="184">
        <f t="shared" si="61"/>
        <v>0</v>
      </c>
      <c r="T606" s="1"/>
      <c r="U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S607" si="62">IF(COLUMN() &lt; (COLUMN($H$607) + (ROW()-ROW($H$607))), 0, IF(COLUMN() = (COLUMN($H$607) + (ROW()-ROW($H$607))), INDEX($H$589:$S$589, 1, COLUMN()-COLUMN($H$589)+1), IF(H591=0, OFFSET(H607, 0, -$H$590) * $H$604, 0)))</f>
        <v>809100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86">
        <f t="shared" si="62"/>
        <v>0</v>
      </c>
      <c r="N607" s="186">
        <f t="shared" si="62"/>
        <v>0</v>
      </c>
      <c r="O607" s="186">
        <f t="shared" si="62"/>
        <v>0</v>
      </c>
      <c r="P607" s="186">
        <f t="shared" si="62"/>
        <v>0</v>
      </c>
      <c r="Q607" s="186">
        <f t="shared" si="62"/>
        <v>0</v>
      </c>
      <c r="R607" s="186">
        <f t="shared" si="62"/>
        <v>161820</v>
      </c>
      <c r="S607" s="186">
        <f t="shared" si="62"/>
        <v>0</v>
      </c>
      <c r="T607" s="1"/>
      <c r="U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S608" si="63">IF(COLUMN() &lt; (COLUMN($H$607) + (ROW()-ROW($H$607))), 0, IF(COLUMN() = (COLUMN($H$607) + (ROW()-ROW($H$607))), INDEX($H$589:$S$589,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86">
        <f t="shared" si="63"/>
        <v>0</v>
      </c>
      <c r="N608" s="186">
        <f t="shared" si="63"/>
        <v>0</v>
      </c>
      <c r="O608" s="186">
        <f t="shared" si="63"/>
        <v>0</v>
      </c>
      <c r="P608" s="186">
        <f t="shared" si="63"/>
        <v>0</v>
      </c>
      <c r="Q608" s="186">
        <f t="shared" si="63"/>
        <v>0</v>
      </c>
      <c r="R608" s="186">
        <f t="shared" si="63"/>
        <v>0</v>
      </c>
      <c r="S608" s="186">
        <f t="shared" si="63"/>
        <v>0</v>
      </c>
      <c r="T608" s="1"/>
      <c r="U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S609" si="64">IF(COLUMN() &lt; (COLUMN($H$607) + (ROW()-ROW($H$607))), 0, IF(COLUMN() = (COLUMN($H$607) + (ROW()-ROW($H$607))), INDEX($H$589:$S$589,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86">
        <f t="shared" si="64"/>
        <v>0</v>
      </c>
      <c r="N609" s="186">
        <f t="shared" si="64"/>
        <v>0</v>
      </c>
      <c r="O609" s="186">
        <f t="shared" si="64"/>
        <v>0</v>
      </c>
      <c r="P609" s="186">
        <f t="shared" si="64"/>
        <v>0</v>
      </c>
      <c r="Q609" s="186">
        <f t="shared" si="64"/>
        <v>0</v>
      </c>
      <c r="R609" s="186">
        <f t="shared" si="64"/>
        <v>0</v>
      </c>
      <c r="S609" s="186">
        <f t="shared" si="64"/>
        <v>0</v>
      </c>
      <c r="T609" s="1"/>
      <c r="U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S610" si="65">IF(COLUMN() &lt; (COLUMN($H$607) + (ROW()-ROW($H$607))), 0, IF(COLUMN() = (COLUMN($H$607) + (ROW()-ROW($H$607))), INDEX($H$589:$S$589,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86">
        <f t="shared" si="65"/>
        <v>0</v>
      </c>
      <c r="N610" s="186">
        <f t="shared" si="65"/>
        <v>0</v>
      </c>
      <c r="O610" s="186">
        <f t="shared" si="65"/>
        <v>0</v>
      </c>
      <c r="P610" s="186">
        <f t="shared" si="65"/>
        <v>0</v>
      </c>
      <c r="Q610" s="186">
        <f t="shared" si="65"/>
        <v>0</v>
      </c>
      <c r="R610" s="186">
        <f t="shared" si="65"/>
        <v>0</v>
      </c>
      <c r="S610" s="186">
        <f t="shared" si="65"/>
        <v>0</v>
      </c>
      <c r="T610" s="1"/>
      <c r="U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S611" si="66">IF(COLUMN() &lt; (COLUMN($H$607) + (ROW()-ROW($H$607))), 0, IF(COLUMN() = (COLUMN($H$607) + (ROW()-ROW($H$607))), INDEX($H$589:$S$589,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86">
        <f t="shared" si="66"/>
        <v>0</v>
      </c>
      <c r="N611" s="186">
        <f t="shared" si="66"/>
        <v>0</v>
      </c>
      <c r="O611" s="186">
        <f t="shared" si="66"/>
        <v>0</v>
      </c>
      <c r="P611" s="186">
        <f t="shared" si="66"/>
        <v>0</v>
      </c>
      <c r="Q611" s="186">
        <f t="shared" si="66"/>
        <v>0</v>
      </c>
      <c r="R611" s="186">
        <f t="shared" si="66"/>
        <v>0</v>
      </c>
      <c r="S611" s="186">
        <f t="shared" si="66"/>
        <v>0</v>
      </c>
      <c r="T611" s="1"/>
      <c r="U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S612" si="67">IF(COLUMN() &lt; (COLUMN($H$607) + (ROW()-ROW($H$607))), 0, IF(COLUMN() = (COLUMN($H$607) + (ROW()-ROW($H$607))), INDEX($H$589:$S$589,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86">
        <f t="shared" si="67"/>
        <v>0</v>
      </c>
      <c r="N612" s="186">
        <f t="shared" si="67"/>
        <v>0</v>
      </c>
      <c r="O612" s="186">
        <f t="shared" si="67"/>
        <v>0</v>
      </c>
      <c r="P612" s="186">
        <f t="shared" si="67"/>
        <v>0</v>
      </c>
      <c r="Q612" s="186">
        <f t="shared" si="67"/>
        <v>0</v>
      </c>
      <c r="R612" s="186">
        <f t="shared" si="67"/>
        <v>0</v>
      </c>
      <c r="S612" s="186">
        <f t="shared" si="67"/>
        <v>0</v>
      </c>
      <c r="T612" s="1"/>
      <c r="U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S613" si="68">IF(COLUMN() &lt; (COLUMN($H$607) + (ROW()-ROW($H$607))), 0, IF(COLUMN() = (COLUMN($H$607) + (ROW()-ROW($H$607))), INDEX($H$589:$S$589,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86">
        <f t="shared" si="68"/>
        <v>0</v>
      </c>
      <c r="N613" s="186">
        <f t="shared" si="68"/>
        <v>0</v>
      </c>
      <c r="O613" s="186">
        <f t="shared" si="68"/>
        <v>0</v>
      </c>
      <c r="P613" s="186">
        <f t="shared" si="68"/>
        <v>0</v>
      </c>
      <c r="Q613" s="186">
        <f t="shared" si="68"/>
        <v>0</v>
      </c>
      <c r="R613" s="186">
        <f t="shared" si="68"/>
        <v>0</v>
      </c>
      <c r="S613" s="186">
        <f t="shared" si="68"/>
        <v>0</v>
      </c>
      <c r="T613" s="1"/>
      <c r="U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S614" si="69">IF(COLUMN() &lt; (COLUMN($H$607) + (ROW()-ROW($H$607))), 0, IF(COLUMN() = (COLUMN($H$607) + (ROW()-ROW($H$607))), INDEX($H$589:$S$589,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86">
        <f t="shared" si="69"/>
        <v>0</v>
      </c>
      <c r="N614" s="186">
        <f t="shared" si="69"/>
        <v>0</v>
      </c>
      <c r="O614" s="186">
        <f t="shared" si="69"/>
        <v>0</v>
      </c>
      <c r="P614" s="186">
        <f t="shared" si="69"/>
        <v>0</v>
      </c>
      <c r="Q614" s="186">
        <f t="shared" si="69"/>
        <v>0</v>
      </c>
      <c r="R614" s="186">
        <f t="shared" si="69"/>
        <v>0</v>
      </c>
      <c r="S614" s="186">
        <f t="shared" si="69"/>
        <v>0</v>
      </c>
      <c r="T614" s="1"/>
      <c r="U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S615" si="70">IF(COLUMN() &lt; (COLUMN($H$607) + (ROW()-ROW($H$607))), 0, IF(COLUMN() = (COLUMN($H$607) + (ROW()-ROW($H$607))), INDEX($H$589:$S$589,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86">
        <f t="shared" si="70"/>
        <v>0</v>
      </c>
      <c r="N615" s="186">
        <f t="shared" si="70"/>
        <v>0</v>
      </c>
      <c r="O615" s="186">
        <f t="shared" si="70"/>
        <v>0</v>
      </c>
      <c r="P615" s="186">
        <f t="shared" si="70"/>
        <v>0</v>
      </c>
      <c r="Q615" s="186">
        <f t="shared" si="70"/>
        <v>0</v>
      </c>
      <c r="R615" s="186">
        <f t="shared" si="70"/>
        <v>0</v>
      </c>
      <c r="S615" s="186">
        <f t="shared" si="70"/>
        <v>0</v>
      </c>
      <c r="T615" s="1"/>
      <c r="U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S616" si="71">IF(COLUMN() &lt; (COLUMN($H$607) + (ROW()-ROW($H$607))), 0, IF(COLUMN() = (COLUMN($H$607) + (ROW()-ROW($H$607))), INDEX($H$589:$S$589,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86">
        <f t="shared" si="71"/>
        <v>0</v>
      </c>
      <c r="N616" s="186">
        <f t="shared" si="71"/>
        <v>0</v>
      </c>
      <c r="O616" s="186">
        <f t="shared" si="71"/>
        <v>0</v>
      </c>
      <c r="P616" s="186">
        <f t="shared" si="71"/>
        <v>0</v>
      </c>
      <c r="Q616" s="186">
        <f t="shared" si="71"/>
        <v>0</v>
      </c>
      <c r="R616" s="186">
        <f t="shared" si="71"/>
        <v>0</v>
      </c>
      <c r="S616" s="186">
        <f t="shared" si="71"/>
        <v>0</v>
      </c>
      <c r="T616" s="1"/>
      <c r="U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S617" si="72">IF(COLUMN() &lt; (COLUMN($H$607) + (ROW()-ROW($H$607))), 0, IF(COLUMN() = (COLUMN($H$607) + (ROW()-ROW($H$607))), INDEX($H$589:$S$589,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86">
        <f t="shared" si="72"/>
        <v>0</v>
      </c>
      <c r="N617" s="186">
        <f t="shared" si="72"/>
        <v>0</v>
      </c>
      <c r="O617" s="186">
        <f t="shared" si="72"/>
        <v>0</v>
      </c>
      <c r="P617" s="186">
        <f t="shared" si="72"/>
        <v>0</v>
      </c>
      <c r="Q617" s="186">
        <f t="shared" si="72"/>
        <v>0</v>
      </c>
      <c r="R617" s="186">
        <f t="shared" si="72"/>
        <v>0</v>
      </c>
      <c r="S617" s="186">
        <f t="shared" si="72"/>
        <v>0</v>
      </c>
      <c r="T617" s="1"/>
      <c r="U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S618" si="73">IF(COLUMN() &lt; (COLUMN($H$607) + (ROW()-ROW($H$607))), 0, IF(COLUMN() = (COLUMN($H$607) + (ROW()-ROW($H$607))), INDEX($H$589:$S$589,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86">
        <f t="shared" si="73"/>
        <v>0</v>
      </c>
      <c r="N618" s="186">
        <f t="shared" si="73"/>
        <v>0</v>
      </c>
      <c r="O618" s="186">
        <f t="shared" si="73"/>
        <v>0</v>
      </c>
      <c r="P618" s="186">
        <f t="shared" si="73"/>
        <v>0</v>
      </c>
      <c r="Q618" s="186">
        <f t="shared" si="73"/>
        <v>0</v>
      </c>
      <c r="R618" s="186">
        <f t="shared" si="73"/>
        <v>0</v>
      </c>
      <c r="S618" s="186">
        <f t="shared" si="73"/>
        <v>0</v>
      </c>
      <c r="T618" s="1"/>
      <c r="U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"/>
      <c r="U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"/>
      <c r="U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S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86">
        <f t="shared" si="74"/>
        <v>3</v>
      </c>
      <c r="N621" s="186">
        <f t="shared" si="74"/>
        <v>3</v>
      </c>
      <c r="O621" s="186">
        <f t="shared" si="74"/>
        <v>3</v>
      </c>
      <c r="P621" s="186">
        <f t="shared" si="74"/>
        <v>3</v>
      </c>
      <c r="Q621" s="186">
        <f t="shared" si="74"/>
        <v>3</v>
      </c>
      <c r="R621" s="186">
        <f t="shared" si="74"/>
        <v>3</v>
      </c>
      <c r="S621" s="186">
        <f t="shared" si="74"/>
        <v>3</v>
      </c>
      <c r="T621" s="1"/>
      <c r="U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S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84">
        <f t="shared" si="75"/>
        <v>7247.295</v>
      </c>
      <c r="N622" s="184">
        <f t="shared" si="75"/>
        <v>7972.0245</v>
      </c>
      <c r="O622" s="184">
        <f t="shared" si="75"/>
        <v>8769.22695</v>
      </c>
      <c r="P622" s="184">
        <f t="shared" si="75"/>
        <v>9646.149645</v>
      </c>
      <c r="Q622" s="184">
        <f t="shared" si="75"/>
        <v>10610.76461</v>
      </c>
      <c r="R622" s="184">
        <f t="shared" si="75"/>
        <v>11671.84107</v>
      </c>
      <c r="S622" s="184">
        <f t="shared" si="75"/>
        <v>12839.02518</v>
      </c>
      <c r="T622" s="1"/>
      <c r="U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55">
        <v>1.1</v>
      </c>
      <c r="N623" s="155">
        <v>1.1</v>
      </c>
      <c r="O623" s="155">
        <v>1.1</v>
      </c>
      <c r="P623" s="155">
        <v>1.1</v>
      </c>
      <c r="Q623" s="155">
        <v>1.1</v>
      </c>
      <c r="R623" s="155">
        <v>1.1</v>
      </c>
      <c r="S623" s="155">
        <v>1.1</v>
      </c>
      <c r="T623" s="1"/>
      <c r="U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S624" si="76">H621*G622</f>
        <v>0</v>
      </c>
      <c r="I624" s="184">
        <f t="shared" si="76"/>
        <v>13500</v>
      </c>
      <c r="J624" s="184">
        <f t="shared" si="76"/>
        <v>14850</v>
      </c>
      <c r="K624" s="184">
        <f t="shared" si="76"/>
        <v>16335</v>
      </c>
      <c r="L624" s="184">
        <f t="shared" si="76"/>
        <v>17968.5</v>
      </c>
      <c r="M624" s="184">
        <f t="shared" si="76"/>
        <v>19765.35</v>
      </c>
      <c r="N624" s="184">
        <f t="shared" si="76"/>
        <v>21741.885</v>
      </c>
      <c r="O624" s="184">
        <f t="shared" si="76"/>
        <v>23916.0735</v>
      </c>
      <c r="P624" s="184">
        <f t="shared" si="76"/>
        <v>26307.68085</v>
      </c>
      <c r="Q624" s="184">
        <f t="shared" si="76"/>
        <v>28938.44894</v>
      </c>
      <c r="R624" s="184">
        <f t="shared" si="76"/>
        <v>31832.29383</v>
      </c>
      <c r="S624" s="184">
        <f t="shared" si="76"/>
        <v>35015.52321</v>
      </c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"/>
      <c r="U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36"/>
      <c r="U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"/>
      <c r="U627" s="1"/>
    </row>
    <row r="628">
      <c r="A628" s="1"/>
      <c r="B628" s="1"/>
      <c r="C628" s="1"/>
      <c r="D628" s="1"/>
      <c r="E628" s="13"/>
      <c r="F628" s="1" t="str">
        <f t="shared" ref="F628:S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16000</v>
      </c>
      <c r="K628" s="178">
        <f t="shared" si="77"/>
        <v>0</v>
      </c>
      <c r="L628" s="178">
        <f t="shared" si="77"/>
        <v>0</v>
      </c>
      <c r="M628" s="178">
        <f t="shared" si="77"/>
        <v>48000</v>
      </c>
      <c r="N628" s="178">
        <f t="shared" si="77"/>
        <v>0</v>
      </c>
      <c r="O628" s="178">
        <f t="shared" si="77"/>
        <v>0</v>
      </c>
      <c r="P628" s="178">
        <f t="shared" si="77"/>
        <v>40000</v>
      </c>
      <c r="Q628" s="178">
        <f t="shared" si="77"/>
        <v>0</v>
      </c>
      <c r="R628" s="178">
        <f t="shared" si="77"/>
        <v>0</v>
      </c>
      <c r="S628" s="178">
        <f t="shared" si="77"/>
        <v>40000</v>
      </c>
      <c r="T628" s="1"/>
      <c r="U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S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84" t="str">
        <f t="shared" si="78"/>
        <v/>
      </c>
      <c r="N629" s="184" t="str">
        <f t="shared" si="78"/>
        <v/>
      </c>
      <c r="O629" s="184" t="str">
        <f t="shared" si="78"/>
        <v/>
      </c>
      <c r="P629" s="184" t="str">
        <f t="shared" si="78"/>
        <v/>
      </c>
      <c r="Q629" s="184" t="str">
        <f t="shared" si="78"/>
        <v/>
      </c>
      <c r="R629" s="184" t="str">
        <f t="shared" si="78"/>
        <v/>
      </c>
      <c r="S629" s="184" t="str">
        <f t="shared" si="78"/>
        <v/>
      </c>
      <c r="T629" s="1"/>
      <c r="U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S630" si="79">SUM(H628:H629)</f>
        <v>0</v>
      </c>
      <c r="I630" s="184">
        <f t="shared" si="79"/>
        <v>0</v>
      </c>
      <c r="J630" s="184">
        <f t="shared" si="79"/>
        <v>16000</v>
      </c>
      <c r="K630" s="184">
        <f t="shared" si="79"/>
        <v>0</v>
      </c>
      <c r="L630" s="184">
        <f t="shared" si="79"/>
        <v>0</v>
      </c>
      <c r="M630" s="184">
        <f t="shared" si="79"/>
        <v>48000</v>
      </c>
      <c r="N630" s="184">
        <f t="shared" si="79"/>
        <v>0</v>
      </c>
      <c r="O630" s="184">
        <f t="shared" si="79"/>
        <v>0</v>
      </c>
      <c r="P630" s="184">
        <f t="shared" si="79"/>
        <v>40000</v>
      </c>
      <c r="Q630" s="184">
        <f t="shared" si="79"/>
        <v>0</v>
      </c>
      <c r="R630" s="184">
        <f t="shared" si="79"/>
        <v>0</v>
      </c>
      <c r="S630" s="184">
        <f t="shared" si="79"/>
        <v>40000</v>
      </c>
      <c r="T630" s="1"/>
      <c r="U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"/>
      <c r="U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S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86">
        <f t="shared" si="80"/>
        <v>1</v>
      </c>
      <c r="N632" s="186">
        <f t="shared" si="80"/>
        <v>0</v>
      </c>
      <c r="O632" s="186">
        <f t="shared" si="80"/>
        <v>1</v>
      </c>
      <c r="P632" s="186">
        <f t="shared" si="80"/>
        <v>0</v>
      </c>
      <c r="Q632" s="186">
        <f t="shared" si="80"/>
        <v>1</v>
      </c>
      <c r="R632" s="186">
        <f t="shared" si="80"/>
        <v>0</v>
      </c>
      <c r="S632" s="186">
        <f t="shared" si="80"/>
        <v>1</v>
      </c>
      <c r="T632" s="1"/>
      <c r="U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S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86">
        <f t="shared" si="81"/>
        <v>0</v>
      </c>
      <c r="N633" s="186">
        <f t="shared" si="81"/>
        <v>1</v>
      </c>
      <c r="O633" s="186">
        <f t="shared" si="81"/>
        <v>0</v>
      </c>
      <c r="P633" s="186">
        <f t="shared" si="81"/>
        <v>1</v>
      </c>
      <c r="Q633" s="186">
        <f t="shared" si="81"/>
        <v>0</v>
      </c>
      <c r="R633" s="186">
        <f t="shared" si="81"/>
        <v>1</v>
      </c>
      <c r="S633" s="186">
        <f t="shared" si="81"/>
        <v>0</v>
      </c>
      <c r="T633" s="1"/>
      <c r="U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S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86">
        <f t="shared" si="82"/>
        <v>1</v>
      </c>
      <c r="N634" s="186">
        <f t="shared" si="82"/>
        <v>0</v>
      </c>
      <c r="O634" s="186">
        <f t="shared" si="82"/>
        <v>1</v>
      </c>
      <c r="P634" s="186">
        <f t="shared" si="82"/>
        <v>0</v>
      </c>
      <c r="Q634" s="186">
        <f t="shared" si="82"/>
        <v>1</v>
      </c>
      <c r="R634" s="186">
        <f t="shared" si="82"/>
        <v>0</v>
      </c>
      <c r="S634" s="186">
        <f t="shared" si="82"/>
        <v>1</v>
      </c>
      <c r="T634" s="1"/>
      <c r="U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S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86">
        <f t="shared" si="83"/>
        <v>0</v>
      </c>
      <c r="N635" s="186">
        <f t="shared" si="83"/>
        <v>1</v>
      </c>
      <c r="O635" s="186">
        <f t="shared" si="83"/>
        <v>0</v>
      </c>
      <c r="P635" s="186">
        <f t="shared" si="83"/>
        <v>1</v>
      </c>
      <c r="Q635" s="186">
        <f t="shared" si="83"/>
        <v>0</v>
      </c>
      <c r="R635" s="186">
        <f t="shared" si="83"/>
        <v>1</v>
      </c>
      <c r="S635" s="186">
        <f t="shared" si="83"/>
        <v>0</v>
      </c>
      <c r="T635" s="1"/>
      <c r="U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S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86">
        <f t="shared" si="84"/>
        <v>1</v>
      </c>
      <c r="N636" s="186">
        <f t="shared" si="84"/>
        <v>0</v>
      </c>
      <c r="O636" s="186">
        <f t="shared" si="84"/>
        <v>1</v>
      </c>
      <c r="P636" s="186">
        <f t="shared" si="84"/>
        <v>0</v>
      </c>
      <c r="Q636" s="186">
        <f t="shared" si="84"/>
        <v>1</v>
      </c>
      <c r="R636" s="186">
        <f t="shared" si="84"/>
        <v>0</v>
      </c>
      <c r="S636" s="186">
        <f t="shared" si="84"/>
        <v>1</v>
      </c>
      <c r="T636" s="1"/>
      <c r="U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S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86">
        <f t="shared" si="85"/>
        <v>2</v>
      </c>
      <c r="N637" s="186">
        <f t="shared" si="85"/>
        <v>1</v>
      </c>
      <c r="O637" s="186">
        <f t="shared" si="85"/>
        <v>0</v>
      </c>
      <c r="P637" s="186">
        <f t="shared" si="85"/>
        <v>1</v>
      </c>
      <c r="Q637" s="186">
        <f t="shared" si="85"/>
        <v>0</v>
      </c>
      <c r="R637" s="186">
        <f t="shared" si="85"/>
        <v>1</v>
      </c>
      <c r="S637" s="186">
        <f t="shared" si="85"/>
        <v>0</v>
      </c>
      <c r="T637" s="1"/>
      <c r="U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S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86">
        <f t="shared" si="86"/>
        <v>0</v>
      </c>
      <c r="N638" s="186">
        <f t="shared" si="86"/>
        <v>2</v>
      </c>
      <c r="O638" s="186">
        <f t="shared" si="86"/>
        <v>1</v>
      </c>
      <c r="P638" s="186">
        <f t="shared" si="86"/>
        <v>0</v>
      </c>
      <c r="Q638" s="186">
        <f t="shared" si="86"/>
        <v>1</v>
      </c>
      <c r="R638" s="186">
        <f t="shared" si="86"/>
        <v>0</v>
      </c>
      <c r="S638" s="186">
        <f t="shared" si="86"/>
        <v>1</v>
      </c>
      <c r="T638" s="1"/>
      <c r="U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S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86">
        <f t="shared" si="87"/>
        <v>0</v>
      </c>
      <c r="N639" s="186">
        <f t="shared" si="87"/>
        <v>0</v>
      </c>
      <c r="O639" s="186">
        <f t="shared" si="87"/>
        <v>2</v>
      </c>
      <c r="P639" s="186">
        <f t="shared" si="87"/>
        <v>1</v>
      </c>
      <c r="Q639" s="186">
        <f t="shared" si="87"/>
        <v>0</v>
      </c>
      <c r="R639" s="186">
        <f t="shared" si="87"/>
        <v>1</v>
      </c>
      <c r="S639" s="186">
        <f t="shared" si="87"/>
        <v>0</v>
      </c>
      <c r="T639" s="1"/>
      <c r="U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S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86">
        <f t="shared" si="88"/>
        <v>0</v>
      </c>
      <c r="N640" s="186">
        <f t="shared" si="88"/>
        <v>0</v>
      </c>
      <c r="O640" s="186">
        <f t="shared" si="88"/>
        <v>0</v>
      </c>
      <c r="P640" s="186">
        <f t="shared" si="88"/>
        <v>2</v>
      </c>
      <c r="Q640" s="186">
        <f t="shared" si="88"/>
        <v>1</v>
      </c>
      <c r="R640" s="186">
        <f t="shared" si="88"/>
        <v>0</v>
      </c>
      <c r="S640" s="186">
        <f t="shared" si="88"/>
        <v>1</v>
      </c>
      <c r="T640" s="1"/>
      <c r="U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S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86">
        <f t="shared" si="89"/>
        <v>0</v>
      </c>
      <c r="N641" s="186">
        <f t="shared" si="89"/>
        <v>0</v>
      </c>
      <c r="O641" s="186">
        <f t="shared" si="89"/>
        <v>0</v>
      </c>
      <c r="P641" s="186">
        <f t="shared" si="89"/>
        <v>0</v>
      </c>
      <c r="Q641" s="186">
        <f t="shared" si="89"/>
        <v>2</v>
      </c>
      <c r="R641" s="186">
        <f t="shared" si="89"/>
        <v>1</v>
      </c>
      <c r="S641" s="186">
        <f t="shared" si="89"/>
        <v>0</v>
      </c>
      <c r="T641" s="1"/>
      <c r="U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S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86">
        <f t="shared" si="90"/>
        <v>0</v>
      </c>
      <c r="N642" s="186">
        <f t="shared" si="90"/>
        <v>0</v>
      </c>
      <c r="O642" s="186">
        <f t="shared" si="90"/>
        <v>0</v>
      </c>
      <c r="P642" s="186">
        <f t="shared" si="90"/>
        <v>0</v>
      </c>
      <c r="Q642" s="186">
        <f t="shared" si="90"/>
        <v>0</v>
      </c>
      <c r="R642" s="186">
        <f t="shared" si="90"/>
        <v>2</v>
      </c>
      <c r="S642" s="186">
        <f t="shared" si="90"/>
        <v>1</v>
      </c>
      <c r="T642" s="1"/>
      <c r="U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S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86">
        <f t="shared" si="91"/>
        <v>0</v>
      </c>
      <c r="N643" s="186">
        <f t="shared" si="91"/>
        <v>0</v>
      </c>
      <c r="O643" s="186">
        <f t="shared" si="91"/>
        <v>0</v>
      </c>
      <c r="P643" s="186">
        <f t="shared" si="91"/>
        <v>0</v>
      </c>
      <c r="Q643" s="186">
        <f t="shared" si="91"/>
        <v>0</v>
      </c>
      <c r="R643" s="186">
        <f t="shared" si="91"/>
        <v>0</v>
      </c>
      <c r="S643" s="186">
        <f t="shared" si="91"/>
        <v>2</v>
      </c>
      <c r="T643" s="1"/>
      <c r="U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"/>
      <c r="U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55">
        <v>0.8</v>
      </c>
      <c r="N645" s="155">
        <v>0.8</v>
      </c>
      <c r="O645" s="155">
        <v>0.8</v>
      </c>
      <c r="P645" s="155">
        <v>0.8</v>
      </c>
      <c r="Q645" s="155">
        <v>0.8</v>
      </c>
      <c r="R645" s="155">
        <v>0.8</v>
      </c>
      <c r="S645" s="155">
        <v>0.8</v>
      </c>
      <c r="T645" s="1"/>
      <c r="U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R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12800</v>
      </c>
      <c r="M646" s="184">
        <f t="shared" si="92"/>
        <v>0</v>
      </c>
      <c r="N646" s="184">
        <f t="shared" si="92"/>
        <v>10240</v>
      </c>
      <c r="O646" s="184">
        <f t="shared" si="92"/>
        <v>38400</v>
      </c>
      <c r="P646" s="184">
        <f t="shared" si="92"/>
        <v>8192</v>
      </c>
      <c r="Q646" s="184">
        <f t="shared" si="92"/>
        <v>30720</v>
      </c>
      <c r="R646" s="184">
        <f t="shared" si="92"/>
        <v>38553.6</v>
      </c>
      <c r="S646" s="184">
        <f>IF(S631=0,R629*S645,0)</f>
        <v>0</v>
      </c>
      <c r="T646" s="1"/>
      <c r="U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S647" si="93">SUM(H648:H659)</f>
        <v>0</v>
      </c>
      <c r="I647" s="184">
        <f t="shared" si="93"/>
        <v>0</v>
      </c>
      <c r="J647" s="184">
        <f t="shared" si="93"/>
        <v>16000</v>
      </c>
      <c r="K647" s="184">
        <f t="shared" si="93"/>
        <v>0</v>
      </c>
      <c r="L647" s="184">
        <f t="shared" si="93"/>
        <v>12800</v>
      </c>
      <c r="M647" s="184">
        <f t="shared" si="93"/>
        <v>48000</v>
      </c>
      <c r="N647" s="184">
        <f t="shared" si="93"/>
        <v>10240</v>
      </c>
      <c r="O647" s="184">
        <f t="shared" si="93"/>
        <v>38400</v>
      </c>
      <c r="P647" s="184">
        <f t="shared" si="93"/>
        <v>48192</v>
      </c>
      <c r="Q647" s="184">
        <f t="shared" si="93"/>
        <v>30720</v>
      </c>
      <c r="R647" s="184">
        <f t="shared" si="93"/>
        <v>38553.6</v>
      </c>
      <c r="S647" s="184">
        <f t="shared" si="93"/>
        <v>64576</v>
      </c>
      <c r="T647" s="1"/>
      <c r="U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S648" si="94">IF(COLUMN() &lt; (COLUMN($H$648) + (ROW()-ROW($H$648))), 0, IF(COLUMN() = (COLUMN($H$648) + (ROW()-ROW($H$648))), INDEX($H$630:$S$630,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86">
        <f t="shared" si="94"/>
        <v>0</v>
      </c>
      <c r="N648" s="186">
        <f t="shared" si="94"/>
        <v>0</v>
      </c>
      <c r="O648" s="186">
        <f t="shared" si="94"/>
        <v>0</v>
      </c>
      <c r="P648" s="186">
        <f t="shared" si="94"/>
        <v>0</v>
      </c>
      <c r="Q648" s="186">
        <f t="shared" si="94"/>
        <v>0</v>
      </c>
      <c r="R648" s="186">
        <f t="shared" si="94"/>
        <v>0</v>
      </c>
      <c r="S648" s="186">
        <f t="shared" si="94"/>
        <v>0</v>
      </c>
      <c r="T648" s="1"/>
      <c r="U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S649" si="95">IF(COLUMN() &lt; (COLUMN($H$648) + (ROW()-ROW($H$648))), 0, IF(COLUMN() = (COLUMN($H$648) + (ROW()-ROW($H$648))), INDEX($H$630:$S$630,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86">
        <f t="shared" si="95"/>
        <v>0</v>
      </c>
      <c r="N649" s="186">
        <f t="shared" si="95"/>
        <v>0</v>
      </c>
      <c r="O649" s="186">
        <f t="shared" si="95"/>
        <v>0</v>
      </c>
      <c r="P649" s="186">
        <f t="shared" si="95"/>
        <v>0</v>
      </c>
      <c r="Q649" s="186">
        <f t="shared" si="95"/>
        <v>0</v>
      </c>
      <c r="R649" s="186">
        <f t="shared" si="95"/>
        <v>0</v>
      </c>
      <c r="S649" s="186">
        <f t="shared" si="95"/>
        <v>0</v>
      </c>
      <c r="T649" s="1"/>
      <c r="U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S650" si="96">IF(COLUMN() &lt; (COLUMN($H$648) + (ROW()-ROW($H$648))), 0, IF(COLUMN() = (COLUMN($H$648) + (ROW()-ROW($H$648))), INDEX($H$630:$S$630, 1, COLUMN()-COLUMN($H$630)+1), IF(H634=0, OFFSET(H650, 0, -$H$631) * $H$645, 0)))</f>
        <v>0</v>
      </c>
      <c r="I650" s="186">
        <f t="shared" si="96"/>
        <v>0</v>
      </c>
      <c r="J650" s="186">
        <f t="shared" si="96"/>
        <v>16000</v>
      </c>
      <c r="K650" s="186">
        <f t="shared" si="96"/>
        <v>0</v>
      </c>
      <c r="L650" s="186">
        <f t="shared" si="96"/>
        <v>12800</v>
      </c>
      <c r="M650" s="186">
        <f t="shared" si="96"/>
        <v>0</v>
      </c>
      <c r="N650" s="186">
        <f t="shared" si="96"/>
        <v>10240</v>
      </c>
      <c r="O650" s="186">
        <f t="shared" si="96"/>
        <v>0</v>
      </c>
      <c r="P650" s="186">
        <f t="shared" si="96"/>
        <v>8192</v>
      </c>
      <c r="Q650" s="186">
        <f t="shared" si="96"/>
        <v>0</v>
      </c>
      <c r="R650" s="186">
        <f t="shared" si="96"/>
        <v>6553.6</v>
      </c>
      <c r="S650" s="186">
        <f t="shared" si="96"/>
        <v>0</v>
      </c>
      <c r="T650" s="1"/>
      <c r="U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S651" si="97">IF(COLUMN() &lt; (COLUMN($H$648) + (ROW()-ROW($H$648))), 0, IF(COLUMN() = (COLUMN($H$648) + (ROW()-ROW($H$648))), INDEX($H$630:$S$630,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86">
        <f t="shared" si="97"/>
        <v>0</v>
      </c>
      <c r="N651" s="186">
        <f t="shared" si="97"/>
        <v>0</v>
      </c>
      <c r="O651" s="186">
        <f t="shared" si="97"/>
        <v>0</v>
      </c>
      <c r="P651" s="186">
        <f t="shared" si="97"/>
        <v>0</v>
      </c>
      <c r="Q651" s="186">
        <f t="shared" si="97"/>
        <v>0</v>
      </c>
      <c r="R651" s="186">
        <f t="shared" si="97"/>
        <v>0</v>
      </c>
      <c r="S651" s="186">
        <f t="shared" si="97"/>
        <v>0</v>
      </c>
      <c r="T651" s="1"/>
      <c r="U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S652" si="98">IF(COLUMN() &lt; (COLUMN($H$648) + (ROW()-ROW($H$648))), 0, IF(COLUMN() = (COLUMN($H$648) + (ROW()-ROW($H$648))), INDEX($H$630:$S$630,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86">
        <f t="shared" si="98"/>
        <v>0</v>
      </c>
      <c r="N652" s="186">
        <f t="shared" si="98"/>
        <v>0</v>
      </c>
      <c r="O652" s="186">
        <f t="shared" si="98"/>
        <v>0</v>
      </c>
      <c r="P652" s="186">
        <f t="shared" si="98"/>
        <v>0</v>
      </c>
      <c r="Q652" s="186">
        <f t="shared" si="98"/>
        <v>0</v>
      </c>
      <c r="R652" s="186">
        <f t="shared" si="98"/>
        <v>0</v>
      </c>
      <c r="S652" s="186">
        <f t="shared" si="98"/>
        <v>0</v>
      </c>
      <c r="T652" s="1"/>
      <c r="U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S653" si="99">IF(COLUMN() &lt; (COLUMN($H$648) + (ROW()-ROW($H$648))), 0, IF(COLUMN() = (COLUMN($H$648) + (ROW()-ROW($H$648))), INDEX($H$630:$S$630,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86">
        <f t="shared" si="99"/>
        <v>48000</v>
      </c>
      <c r="N653" s="186">
        <f t="shared" si="99"/>
        <v>0</v>
      </c>
      <c r="O653" s="186">
        <f t="shared" si="99"/>
        <v>38400</v>
      </c>
      <c r="P653" s="186">
        <f t="shared" si="99"/>
        <v>0</v>
      </c>
      <c r="Q653" s="186">
        <f t="shared" si="99"/>
        <v>30720</v>
      </c>
      <c r="R653" s="186">
        <f t="shared" si="99"/>
        <v>0</v>
      </c>
      <c r="S653" s="186">
        <f t="shared" si="99"/>
        <v>24576</v>
      </c>
      <c r="T653" s="1"/>
      <c r="U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S654" si="100">IF(COLUMN() &lt; (COLUMN($H$648) + (ROW()-ROW($H$648))), 0, IF(COLUMN() = (COLUMN($H$648) + (ROW()-ROW($H$648))), INDEX($H$630:$S$630,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86">
        <f t="shared" si="100"/>
        <v>0</v>
      </c>
      <c r="N654" s="186">
        <f t="shared" si="100"/>
        <v>0</v>
      </c>
      <c r="O654" s="186">
        <f t="shared" si="100"/>
        <v>0</v>
      </c>
      <c r="P654" s="186">
        <f t="shared" si="100"/>
        <v>0</v>
      </c>
      <c r="Q654" s="186">
        <f t="shared" si="100"/>
        <v>0</v>
      </c>
      <c r="R654" s="186">
        <f t="shared" si="100"/>
        <v>0</v>
      </c>
      <c r="S654" s="186">
        <f t="shared" si="100"/>
        <v>0</v>
      </c>
      <c r="T654" s="1"/>
      <c r="U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S655" si="101">IF(COLUMN() &lt; (COLUMN($H$648) + (ROW()-ROW($H$648))), 0, IF(COLUMN() = (COLUMN($H$648) + (ROW()-ROW($H$648))), INDEX($H$630:$S$630,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86">
        <f t="shared" si="101"/>
        <v>0</v>
      </c>
      <c r="N655" s="186">
        <f t="shared" si="101"/>
        <v>0</v>
      </c>
      <c r="O655" s="186">
        <f t="shared" si="101"/>
        <v>0</v>
      </c>
      <c r="P655" s="186">
        <f t="shared" si="101"/>
        <v>0</v>
      </c>
      <c r="Q655" s="186">
        <f t="shared" si="101"/>
        <v>0</v>
      </c>
      <c r="R655" s="186">
        <f t="shared" si="101"/>
        <v>0</v>
      </c>
      <c r="S655" s="186">
        <f t="shared" si="101"/>
        <v>0</v>
      </c>
      <c r="T655" s="1"/>
      <c r="U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S656" si="102">IF(COLUMN() &lt; (COLUMN($H$648) + (ROW()-ROW($H$648))), 0, IF(COLUMN() = (COLUMN($H$648) + (ROW()-ROW($H$648))), INDEX($H$630:$S$630,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86">
        <f t="shared" si="102"/>
        <v>0</v>
      </c>
      <c r="N656" s="186">
        <f t="shared" si="102"/>
        <v>0</v>
      </c>
      <c r="O656" s="186">
        <f t="shared" si="102"/>
        <v>0</v>
      </c>
      <c r="P656" s="186">
        <f t="shared" si="102"/>
        <v>40000</v>
      </c>
      <c r="Q656" s="186">
        <f t="shared" si="102"/>
        <v>0</v>
      </c>
      <c r="R656" s="186">
        <f t="shared" si="102"/>
        <v>32000</v>
      </c>
      <c r="S656" s="186">
        <f t="shared" si="102"/>
        <v>0</v>
      </c>
      <c r="T656" s="1"/>
      <c r="U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S657" si="103">IF(COLUMN() &lt; (COLUMN($H$648) + (ROW()-ROW($H$648))), 0, IF(COLUMN() = (COLUMN($H$648) + (ROW()-ROW($H$648))), INDEX($H$630:$S$630,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86">
        <f t="shared" si="103"/>
        <v>0</v>
      </c>
      <c r="N657" s="186">
        <f t="shared" si="103"/>
        <v>0</v>
      </c>
      <c r="O657" s="186">
        <f t="shared" si="103"/>
        <v>0</v>
      </c>
      <c r="P657" s="186">
        <f t="shared" si="103"/>
        <v>0</v>
      </c>
      <c r="Q657" s="186">
        <f t="shared" si="103"/>
        <v>0</v>
      </c>
      <c r="R657" s="186">
        <f t="shared" si="103"/>
        <v>0</v>
      </c>
      <c r="S657" s="186">
        <f t="shared" si="103"/>
        <v>0</v>
      </c>
      <c r="T657" s="1"/>
      <c r="U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S658" si="104">IF(COLUMN() &lt; (COLUMN($H$648) + (ROW()-ROW($H$648))), 0, IF(COLUMN() = (COLUMN($H$648) + (ROW()-ROW($H$648))), INDEX($H$630:$S$630,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86">
        <f t="shared" si="104"/>
        <v>0</v>
      </c>
      <c r="N658" s="186">
        <f t="shared" si="104"/>
        <v>0</v>
      </c>
      <c r="O658" s="186">
        <f t="shared" si="104"/>
        <v>0</v>
      </c>
      <c r="P658" s="186">
        <f t="shared" si="104"/>
        <v>0</v>
      </c>
      <c r="Q658" s="186">
        <f t="shared" si="104"/>
        <v>0</v>
      </c>
      <c r="R658" s="186">
        <f t="shared" si="104"/>
        <v>0</v>
      </c>
      <c r="S658" s="186">
        <f t="shared" si="104"/>
        <v>0</v>
      </c>
      <c r="T658" s="1"/>
      <c r="U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S659" si="105">IF(COLUMN() &lt; (COLUMN($H$648) + (ROW()-ROW($H$648))), 0, IF(COLUMN() = (COLUMN($H$648) + (ROW()-ROW($H$648))), INDEX($H$630:$S$630,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86">
        <f t="shared" si="105"/>
        <v>0</v>
      </c>
      <c r="N659" s="186">
        <f t="shared" si="105"/>
        <v>0</v>
      </c>
      <c r="O659" s="186">
        <f t="shared" si="105"/>
        <v>0</v>
      </c>
      <c r="P659" s="186">
        <f t="shared" si="105"/>
        <v>0</v>
      </c>
      <c r="Q659" s="186">
        <f t="shared" si="105"/>
        <v>0</v>
      </c>
      <c r="R659" s="186">
        <f t="shared" si="105"/>
        <v>0</v>
      </c>
      <c r="S659" s="186">
        <f t="shared" si="105"/>
        <v>40000</v>
      </c>
      <c r="T659" s="1"/>
      <c r="U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"/>
      <c r="U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"/>
      <c r="U661" s="1"/>
    </row>
    <row r="662">
      <c r="A662" s="1"/>
      <c r="B662" s="1"/>
      <c r="C662" s="1"/>
      <c r="D662" s="1"/>
      <c r="E662" s="13"/>
      <c r="F662" s="1" t="str">
        <f t="shared" ref="F662:S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72000</v>
      </c>
      <c r="K662" s="178">
        <f t="shared" si="106"/>
        <v>0</v>
      </c>
      <c r="L662" s="178">
        <f t="shared" si="106"/>
        <v>0</v>
      </c>
      <c r="M662" s="178">
        <f t="shared" si="106"/>
        <v>288000</v>
      </c>
      <c r="N662" s="178">
        <f t="shared" si="106"/>
        <v>0</v>
      </c>
      <c r="O662" s="178">
        <f t="shared" si="106"/>
        <v>0</v>
      </c>
      <c r="P662" s="178">
        <f t="shared" si="106"/>
        <v>288000</v>
      </c>
      <c r="Q662" s="178">
        <f t="shared" si="106"/>
        <v>0</v>
      </c>
      <c r="R662" s="178">
        <f t="shared" si="106"/>
        <v>0</v>
      </c>
      <c r="S662" s="178">
        <f t="shared" si="106"/>
        <v>288000</v>
      </c>
      <c r="T662" s="1"/>
      <c r="U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S663" si="107">H460</f>
        <v>828630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84" t="str">
        <f t="shared" si="107"/>
        <v/>
      </c>
      <c r="N663" s="184" t="str">
        <f t="shared" si="107"/>
        <v/>
      </c>
      <c r="O663" s="184" t="str">
        <f t="shared" si="107"/>
        <v/>
      </c>
      <c r="P663" s="184" t="str">
        <f t="shared" si="107"/>
        <v/>
      </c>
      <c r="Q663" s="184" t="str">
        <f t="shared" si="107"/>
        <v/>
      </c>
      <c r="R663" s="184" t="str">
        <f t="shared" si="107"/>
        <v/>
      </c>
      <c r="S663" s="184" t="str">
        <f t="shared" si="107"/>
        <v/>
      </c>
      <c r="T663" s="1"/>
      <c r="U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S664" si="108">SUM(H662:H663)</f>
        <v>828630</v>
      </c>
      <c r="I664" s="184">
        <f t="shared" si="108"/>
        <v>0</v>
      </c>
      <c r="J664" s="184">
        <f t="shared" si="108"/>
        <v>72000</v>
      </c>
      <c r="K664" s="184">
        <f t="shared" si="108"/>
        <v>0</v>
      </c>
      <c r="L664" s="184">
        <f t="shared" si="108"/>
        <v>0</v>
      </c>
      <c r="M664" s="184">
        <f t="shared" si="108"/>
        <v>288000</v>
      </c>
      <c r="N664" s="184">
        <f t="shared" si="108"/>
        <v>0</v>
      </c>
      <c r="O664" s="184">
        <f t="shared" si="108"/>
        <v>0</v>
      </c>
      <c r="P664" s="184">
        <f t="shared" si="108"/>
        <v>288000</v>
      </c>
      <c r="Q664" s="184">
        <f t="shared" si="108"/>
        <v>0</v>
      </c>
      <c r="R664" s="184">
        <f t="shared" si="108"/>
        <v>0</v>
      </c>
      <c r="S664" s="184">
        <f t="shared" si="108"/>
        <v>288000</v>
      </c>
      <c r="T664" s="1"/>
      <c r="U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"/>
      <c r="U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S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86">
        <f t="shared" si="109"/>
        <v>4</v>
      </c>
      <c r="N666" s="186">
        <f t="shared" si="109"/>
        <v>3</v>
      </c>
      <c r="O666" s="186">
        <f t="shared" si="109"/>
        <v>2</v>
      </c>
      <c r="P666" s="186">
        <f t="shared" si="109"/>
        <v>1</v>
      </c>
      <c r="Q666" s="186">
        <f t="shared" si="109"/>
        <v>0</v>
      </c>
      <c r="R666" s="186">
        <f t="shared" si="109"/>
        <v>8</v>
      </c>
      <c r="S666" s="186">
        <f t="shared" si="109"/>
        <v>7</v>
      </c>
      <c r="T666" s="1"/>
      <c r="U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S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86">
        <f t="shared" si="110"/>
        <v>5</v>
      </c>
      <c r="N667" s="186">
        <f t="shared" si="110"/>
        <v>4</v>
      </c>
      <c r="O667" s="186">
        <f t="shared" si="110"/>
        <v>3</v>
      </c>
      <c r="P667" s="186">
        <f t="shared" si="110"/>
        <v>2</v>
      </c>
      <c r="Q667" s="186">
        <f t="shared" si="110"/>
        <v>1</v>
      </c>
      <c r="R667" s="186">
        <f t="shared" si="110"/>
        <v>0</v>
      </c>
      <c r="S667" s="186">
        <f t="shared" si="110"/>
        <v>8</v>
      </c>
      <c r="T667" s="1"/>
      <c r="U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S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86">
        <f t="shared" si="111"/>
        <v>6</v>
      </c>
      <c r="N668" s="186">
        <f t="shared" si="111"/>
        <v>5</v>
      </c>
      <c r="O668" s="186">
        <f t="shared" si="111"/>
        <v>4</v>
      </c>
      <c r="P668" s="186">
        <f t="shared" si="111"/>
        <v>3</v>
      </c>
      <c r="Q668" s="186">
        <f t="shared" si="111"/>
        <v>2</v>
      </c>
      <c r="R668" s="186">
        <f t="shared" si="111"/>
        <v>1</v>
      </c>
      <c r="S668" s="186">
        <f t="shared" si="111"/>
        <v>0</v>
      </c>
      <c r="T668" s="1"/>
      <c r="U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S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86">
        <f t="shared" si="112"/>
        <v>7</v>
      </c>
      <c r="N669" s="186">
        <f t="shared" si="112"/>
        <v>6</v>
      </c>
      <c r="O669" s="186">
        <f t="shared" si="112"/>
        <v>5</v>
      </c>
      <c r="P669" s="186">
        <f t="shared" si="112"/>
        <v>4</v>
      </c>
      <c r="Q669" s="186">
        <f t="shared" si="112"/>
        <v>3</v>
      </c>
      <c r="R669" s="186">
        <f t="shared" si="112"/>
        <v>2</v>
      </c>
      <c r="S669" s="186">
        <f t="shared" si="112"/>
        <v>1</v>
      </c>
      <c r="T669" s="1"/>
      <c r="U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S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86">
        <f t="shared" si="113"/>
        <v>8</v>
      </c>
      <c r="N670" s="186">
        <f t="shared" si="113"/>
        <v>7</v>
      </c>
      <c r="O670" s="186">
        <f t="shared" si="113"/>
        <v>6</v>
      </c>
      <c r="P670" s="186">
        <f t="shared" si="113"/>
        <v>5</v>
      </c>
      <c r="Q670" s="186">
        <f t="shared" si="113"/>
        <v>4</v>
      </c>
      <c r="R670" s="186">
        <f t="shared" si="113"/>
        <v>3</v>
      </c>
      <c r="S670" s="186">
        <f t="shared" si="113"/>
        <v>2</v>
      </c>
      <c r="T670" s="1"/>
      <c r="U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S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86">
        <f t="shared" si="114"/>
        <v>9</v>
      </c>
      <c r="N671" s="186">
        <f t="shared" si="114"/>
        <v>8</v>
      </c>
      <c r="O671" s="186">
        <f t="shared" si="114"/>
        <v>7</v>
      </c>
      <c r="P671" s="186">
        <f t="shared" si="114"/>
        <v>6</v>
      </c>
      <c r="Q671" s="186">
        <f t="shared" si="114"/>
        <v>5</v>
      </c>
      <c r="R671" s="186">
        <f t="shared" si="114"/>
        <v>4</v>
      </c>
      <c r="S671" s="186">
        <f t="shared" si="114"/>
        <v>3</v>
      </c>
      <c r="T671" s="1"/>
      <c r="U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S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86">
        <f t="shared" si="115"/>
        <v>0</v>
      </c>
      <c r="N672" s="186">
        <f t="shared" si="115"/>
        <v>9</v>
      </c>
      <c r="O672" s="186">
        <f t="shared" si="115"/>
        <v>8</v>
      </c>
      <c r="P672" s="186">
        <f t="shared" si="115"/>
        <v>7</v>
      </c>
      <c r="Q672" s="186">
        <f t="shared" si="115"/>
        <v>6</v>
      </c>
      <c r="R672" s="186">
        <f t="shared" si="115"/>
        <v>5</v>
      </c>
      <c r="S672" s="186">
        <f t="shared" si="115"/>
        <v>4</v>
      </c>
      <c r="T672" s="1"/>
      <c r="U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S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86">
        <f t="shared" si="116"/>
        <v>0</v>
      </c>
      <c r="N673" s="186">
        <f t="shared" si="116"/>
        <v>0</v>
      </c>
      <c r="O673" s="186">
        <f t="shared" si="116"/>
        <v>9</v>
      </c>
      <c r="P673" s="186">
        <f t="shared" si="116"/>
        <v>8</v>
      </c>
      <c r="Q673" s="186">
        <f t="shared" si="116"/>
        <v>7</v>
      </c>
      <c r="R673" s="186">
        <f t="shared" si="116"/>
        <v>6</v>
      </c>
      <c r="S673" s="186">
        <f t="shared" si="116"/>
        <v>5</v>
      </c>
      <c r="T673" s="1"/>
      <c r="U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S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86">
        <f t="shared" si="117"/>
        <v>0</v>
      </c>
      <c r="N674" s="186">
        <f t="shared" si="117"/>
        <v>0</v>
      </c>
      <c r="O674" s="186">
        <f t="shared" si="117"/>
        <v>0</v>
      </c>
      <c r="P674" s="186">
        <f t="shared" si="117"/>
        <v>9</v>
      </c>
      <c r="Q674" s="186">
        <f t="shared" si="117"/>
        <v>8</v>
      </c>
      <c r="R674" s="186">
        <f t="shared" si="117"/>
        <v>7</v>
      </c>
      <c r="S674" s="186">
        <f t="shared" si="117"/>
        <v>6</v>
      </c>
      <c r="T674" s="1"/>
      <c r="U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S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86">
        <f t="shared" si="118"/>
        <v>0</v>
      </c>
      <c r="N675" s="186">
        <f t="shared" si="118"/>
        <v>0</v>
      </c>
      <c r="O675" s="186">
        <f t="shared" si="118"/>
        <v>0</v>
      </c>
      <c r="P675" s="186">
        <f t="shared" si="118"/>
        <v>0</v>
      </c>
      <c r="Q675" s="186">
        <f t="shared" si="118"/>
        <v>9</v>
      </c>
      <c r="R675" s="186">
        <f t="shared" si="118"/>
        <v>8</v>
      </c>
      <c r="S675" s="186">
        <f t="shared" si="118"/>
        <v>7</v>
      </c>
      <c r="T675" s="1"/>
      <c r="U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S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86">
        <f t="shared" si="119"/>
        <v>0</v>
      </c>
      <c r="N676" s="186">
        <f t="shared" si="119"/>
        <v>0</v>
      </c>
      <c r="O676" s="186">
        <f t="shared" si="119"/>
        <v>0</v>
      </c>
      <c r="P676" s="186">
        <f t="shared" si="119"/>
        <v>0</v>
      </c>
      <c r="Q676" s="186">
        <f t="shared" si="119"/>
        <v>0</v>
      </c>
      <c r="R676" s="186">
        <f t="shared" si="119"/>
        <v>9</v>
      </c>
      <c r="S676" s="186">
        <f t="shared" si="119"/>
        <v>8</v>
      </c>
      <c r="T676" s="1"/>
      <c r="U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S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86">
        <f t="shared" si="120"/>
        <v>0</v>
      </c>
      <c r="N677" s="186">
        <f t="shared" si="120"/>
        <v>0</v>
      </c>
      <c r="O677" s="186">
        <f t="shared" si="120"/>
        <v>0</v>
      </c>
      <c r="P677" s="186">
        <f t="shared" si="120"/>
        <v>0</v>
      </c>
      <c r="Q677" s="186">
        <f t="shared" si="120"/>
        <v>0</v>
      </c>
      <c r="R677" s="186">
        <f t="shared" si="120"/>
        <v>0</v>
      </c>
      <c r="S677" s="186">
        <f t="shared" si="120"/>
        <v>9</v>
      </c>
      <c r="T677" s="1"/>
      <c r="U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"/>
      <c r="U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S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84">
        <f t="shared" si="121"/>
        <v>0</v>
      </c>
      <c r="N679" s="184">
        <f t="shared" si="121"/>
        <v>0</v>
      </c>
      <c r="O679" s="184">
        <f t="shared" si="121"/>
        <v>0</v>
      </c>
      <c r="P679" s="184">
        <f t="shared" si="121"/>
        <v>0</v>
      </c>
      <c r="Q679" s="184">
        <f t="shared" si="121"/>
        <v>165726</v>
      </c>
      <c r="R679" s="184">
        <f t="shared" si="121"/>
        <v>0</v>
      </c>
      <c r="S679" s="184">
        <f t="shared" si="121"/>
        <v>14400</v>
      </c>
      <c r="T679" s="1"/>
      <c r="U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S680" si="122">SUM(H681:H692)</f>
        <v>828630</v>
      </c>
      <c r="I680" s="184">
        <f t="shared" si="122"/>
        <v>0</v>
      </c>
      <c r="J680" s="184">
        <f t="shared" si="122"/>
        <v>72000</v>
      </c>
      <c r="K680" s="184">
        <f t="shared" si="122"/>
        <v>0</v>
      </c>
      <c r="L680" s="184">
        <f t="shared" si="122"/>
        <v>0</v>
      </c>
      <c r="M680" s="184">
        <f t="shared" si="122"/>
        <v>288000</v>
      </c>
      <c r="N680" s="184">
        <f t="shared" si="122"/>
        <v>0</v>
      </c>
      <c r="O680" s="184">
        <f t="shared" si="122"/>
        <v>0</v>
      </c>
      <c r="P680" s="184">
        <f t="shared" si="122"/>
        <v>288000</v>
      </c>
      <c r="Q680" s="184">
        <f t="shared" si="122"/>
        <v>165726</v>
      </c>
      <c r="R680" s="184">
        <f t="shared" si="122"/>
        <v>0</v>
      </c>
      <c r="S680" s="184">
        <f t="shared" si="122"/>
        <v>302400</v>
      </c>
      <c r="T680" s="1"/>
      <c r="U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S681" si="123">IF(COLUMN() &lt; (COLUMN($H681) + (ROW()-ROW($H$681))), 0, IF(COLUMN() = (COLUMN($H$681) + (ROW()-ROW($H$681))), INDEX($H$664:$S$664, 1, COLUMN()-COLUMN($H$664)+1), IF(H666=0, OFFSET(H681, 0, -$H$665) * $H$678, 0)))</f>
        <v>828630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86">
        <f t="shared" si="123"/>
        <v>0</v>
      </c>
      <c r="N681" s="186">
        <f t="shared" si="123"/>
        <v>0</v>
      </c>
      <c r="O681" s="186">
        <f t="shared" si="123"/>
        <v>0</v>
      </c>
      <c r="P681" s="186">
        <f t="shared" si="123"/>
        <v>0</v>
      </c>
      <c r="Q681" s="186">
        <f t="shared" si="123"/>
        <v>165726</v>
      </c>
      <c r="R681" s="186">
        <f t="shared" si="123"/>
        <v>0</v>
      </c>
      <c r="S681" s="186">
        <f t="shared" si="123"/>
        <v>0</v>
      </c>
      <c r="T681" s="1"/>
      <c r="U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S682" si="124">IF(COLUMN() &lt; (COLUMN($H682) + (ROW()-ROW($H$681))), 0, IF(COLUMN() = (COLUMN($H$681) + (ROW()-ROW($H$681))), INDEX($H$664:$S$664,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86">
        <f t="shared" si="124"/>
        <v>0</v>
      </c>
      <c r="N682" s="186">
        <f t="shared" si="124"/>
        <v>0</v>
      </c>
      <c r="O682" s="186">
        <f t="shared" si="124"/>
        <v>0</v>
      </c>
      <c r="P682" s="186">
        <f t="shared" si="124"/>
        <v>0</v>
      </c>
      <c r="Q682" s="186">
        <f t="shared" si="124"/>
        <v>0</v>
      </c>
      <c r="R682" s="186">
        <f t="shared" si="124"/>
        <v>0</v>
      </c>
      <c r="S682" s="186">
        <f t="shared" si="124"/>
        <v>0</v>
      </c>
      <c r="T682" s="1"/>
      <c r="U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S683" si="125">IF(COLUMN() &lt; (COLUMN($H683) + (ROW()-ROW($H$681))), 0, IF(COLUMN() = (COLUMN($H$681) + (ROW()-ROW($H$681))), INDEX($H$664:$S$664, 1, COLUMN()-COLUMN($H$664)+1), IF(H668=0, OFFSET(H683, 0, -$H$665) * $H$678, 0)))</f>
        <v>0</v>
      </c>
      <c r="I683" s="186">
        <f t="shared" si="125"/>
        <v>0</v>
      </c>
      <c r="J683" s="186">
        <f t="shared" si="125"/>
        <v>72000</v>
      </c>
      <c r="K683" s="186">
        <f t="shared" si="125"/>
        <v>0</v>
      </c>
      <c r="L683" s="186">
        <f t="shared" si="125"/>
        <v>0</v>
      </c>
      <c r="M683" s="186">
        <f t="shared" si="125"/>
        <v>0</v>
      </c>
      <c r="N683" s="186">
        <f t="shared" si="125"/>
        <v>0</v>
      </c>
      <c r="O683" s="186">
        <f t="shared" si="125"/>
        <v>0</v>
      </c>
      <c r="P683" s="186">
        <f t="shared" si="125"/>
        <v>0</v>
      </c>
      <c r="Q683" s="186">
        <f t="shared" si="125"/>
        <v>0</v>
      </c>
      <c r="R683" s="186">
        <f t="shared" si="125"/>
        <v>0</v>
      </c>
      <c r="S683" s="186">
        <f t="shared" si="125"/>
        <v>14400</v>
      </c>
      <c r="T683" s="1"/>
      <c r="U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S684" si="126">IF(COLUMN() &lt; (COLUMN($H684) + (ROW()-ROW($H$681))), 0, IF(COLUMN() = (COLUMN($H$681) + (ROW()-ROW($H$681))), INDEX($H$664:$S$664,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86">
        <f t="shared" si="126"/>
        <v>0</v>
      </c>
      <c r="N684" s="186">
        <f t="shared" si="126"/>
        <v>0</v>
      </c>
      <c r="O684" s="186">
        <f t="shared" si="126"/>
        <v>0</v>
      </c>
      <c r="P684" s="186">
        <f t="shared" si="126"/>
        <v>0</v>
      </c>
      <c r="Q684" s="186">
        <f t="shared" si="126"/>
        <v>0</v>
      </c>
      <c r="R684" s="186">
        <f t="shared" si="126"/>
        <v>0</v>
      </c>
      <c r="S684" s="186">
        <f t="shared" si="126"/>
        <v>0</v>
      </c>
      <c r="T684" s="1"/>
      <c r="U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S685" si="127">IF(COLUMN() &lt; (COLUMN($H685) + (ROW()-ROW($H$681))), 0, IF(COLUMN() = (COLUMN($H$681) + (ROW()-ROW($H$681))), INDEX($H$664:$S$664,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86">
        <f t="shared" si="127"/>
        <v>0</v>
      </c>
      <c r="N685" s="186">
        <f t="shared" si="127"/>
        <v>0</v>
      </c>
      <c r="O685" s="186">
        <f t="shared" si="127"/>
        <v>0</v>
      </c>
      <c r="P685" s="186">
        <f t="shared" si="127"/>
        <v>0</v>
      </c>
      <c r="Q685" s="186">
        <f t="shared" si="127"/>
        <v>0</v>
      </c>
      <c r="R685" s="186">
        <f t="shared" si="127"/>
        <v>0</v>
      </c>
      <c r="S685" s="186">
        <f t="shared" si="127"/>
        <v>0</v>
      </c>
      <c r="T685" s="1"/>
      <c r="U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S686" si="128">IF(COLUMN() &lt; (COLUMN($H686) + (ROW()-ROW($H$681))), 0, IF(COLUMN() = (COLUMN($H$681) + (ROW()-ROW($H$681))), INDEX($H$664:$S$664,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86">
        <f t="shared" si="128"/>
        <v>288000</v>
      </c>
      <c r="N686" s="186">
        <f t="shared" si="128"/>
        <v>0</v>
      </c>
      <c r="O686" s="186">
        <f t="shared" si="128"/>
        <v>0</v>
      </c>
      <c r="P686" s="186">
        <f t="shared" si="128"/>
        <v>0</v>
      </c>
      <c r="Q686" s="186">
        <f t="shared" si="128"/>
        <v>0</v>
      </c>
      <c r="R686" s="186">
        <f t="shared" si="128"/>
        <v>0</v>
      </c>
      <c r="S686" s="186">
        <f t="shared" si="128"/>
        <v>0</v>
      </c>
      <c r="T686" s="1"/>
      <c r="U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S687" si="129">IF(COLUMN() &lt; (COLUMN($H687) + (ROW()-ROW($H$681))), 0, IF(COLUMN() = (COLUMN($H$681) + (ROW()-ROW($H$681))), INDEX($H$664:$S$664,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86">
        <f t="shared" si="129"/>
        <v>0</v>
      </c>
      <c r="N687" s="186">
        <f t="shared" si="129"/>
        <v>0</v>
      </c>
      <c r="O687" s="186">
        <f t="shared" si="129"/>
        <v>0</v>
      </c>
      <c r="P687" s="186">
        <f t="shared" si="129"/>
        <v>0</v>
      </c>
      <c r="Q687" s="186">
        <f t="shared" si="129"/>
        <v>0</v>
      </c>
      <c r="R687" s="186">
        <f t="shared" si="129"/>
        <v>0</v>
      </c>
      <c r="S687" s="186">
        <f t="shared" si="129"/>
        <v>0</v>
      </c>
      <c r="T687" s="1"/>
      <c r="U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S688" si="130">IF(COLUMN() &lt; (COLUMN($H688) + (ROW()-ROW($H$681))), 0, IF(COLUMN() = (COLUMN($H$681) + (ROW()-ROW($H$681))), INDEX($H$664:$S$664,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86">
        <f t="shared" si="130"/>
        <v>0</v>
      </c>
      <c r="N688" s="186">
        <f t="shared" si="130"/>
        <v>0</v>
      </c>
      <c r="O688" s="186">
        <f t="shared" si="130"/>
        <v>0</v>
      </c>
      <c r="P688" s="186">
        <f t="shared" si="130"/>
        <v>0</v>
      </c>
      <c r="Q688" s="186">
        <f t="shared" si="130"/>
        <v>0</v>
      </c>
      <c r="R688" s="186">
        <f t="shared" si="130"/>
        <v>0</v>
      </c>
      <c r="S688" s="186">
        <f t="shared" si="130"/>
        <v>0</v>
      </c>
      <c r="T688" s="1"/>
      <c r="U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S689" si="131">IF(COLUMN() &lt; (COLUMN($H689) + (ROW()-ROW($H$681))), 0, IF(COLUMN() = (COLUMN($H$681) + (ROW()-ROW($H$681))), INDEX($H$664:$S$664,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86">
        <f t="shared" si="131"/>
        <v>0</v>
      </c>
      <c r="N689" s="186">
        <f t="shared" si="131"/>
        <v>0</v>
      </c>
      <c r="O689" s="186">
        <f t="shared" si="131"/>
        <v>0</v>
      </c>
      <c r="P689" s="186">
        <f t="shared" si="131"/>
        <v>288000</v>
      </c>
      <c r="Q689" s="186">
        <f t="shared" si="131"/>
        <v>0</v>
      </c>
      <c r="R689" s="186">
        <f t="shared" si="131"/>
        <v>0</v>
      </c>
      <c r="S689" s="186">
        <f t="shared" si="131"/>
        <v>0</v>
      </c>
      <c r="T689" s="1"/>
      <c r="U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S690" si="132">IF(COLUMN() &lt; (COLUMN($H690) + (ROW()-ROW($H$681))), 0, IF(COLUMN() = (COLUMN($H$681) + (ROW()-ROW($H$681))), INDEX($H$664:$S$664,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86">
        <f t="shared" si="132"/>
        <v>0</v>
      </c>
      <c r="N690" s="186">
        <f t="shared" si="132"/>
        <v>0</v>
      </c>
      <c r="O690" s="186">
        <f t="shared" si="132"/>
        <v>0</v>
      </c>
      <c r="P690" s="186">
        <f t="shared" si="132"/>
        <v>0</v>
      </c>
      <c r="Q690" s="186">
        <f t="shared" si="132"/>
        <v>0</v>
      </c>
      <c r="R690" s="186">
        <f t="shared" si="132"/>
        <v>0</v>
      </c>
      <c r="S690" s="186">
        <f t="shared" si="132"/>
        <v>0</v>
      </c>
      <c r="T690" s="1"/>
      <c r="U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S691" si="133">IF(COLUMN() &lt; (COLUMN($H691) + (ROW()-ROW($H$681))), 0, IF(COLUMN() = (COLUMN($H$681) + (ROW()-ROW($H$681))), INDEX($H$664:$S$664,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86">
        <f t="shared" si="133"/>
        <v>0</v>
      </c>
      <c r="N691" s="186">
        <f t="shared" si="133"/>
        <v>0</v>
      </c>
      <c r="O691" s="186">
        <f t="shared" si="133"/>
        <v>0</v>
      </c>
      <c r="P691" s="186">
        <f t="shared" si="133"/>
        <v>0</v>
      </c>
      <c r="Q691" s="186">
        <f t="shared" si="133"/>
        <v>0</v>
      </c>
      <c r="R691" s="186">
        <f t="shared" si="133"/>
        <v>0</v>
      </c>
      <c r="S691" s="186">
        <f t="shared" si="133"/>
        <v>0</v>
      </c>
      <c r="T691" s="1"/>
      <c r="U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S692" si="134">IF(COLUMN() &lt; (COLUMN($H692) + (ROW()-ROW($H$681))), 0, IF(COLUMN() = (COLUMN($H$681) + (ROW()-ROW($H$681))), INDEX($H$664:$S$664,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86">
        <f t="shared" si="134"/>
        <v>0</v>
      </c>
      <c r="N692" s="186">
        <f t="shared" si="134"/>
        <v>0</v>
      </c>
      <c r="O692" s="186">
        <f t="shared" si="134"/>
        <v>0</v>
      </c>
      <c r="P692" s="186">
        <f t="shared" si="134"/>
        <v>0</v>
      </c>
      <c r="Q692" s="186">
        <f t="shared" si="134"/>
        <v>0</v>
      </c>
      <c r="R692" s="186">
        <f t="shared" si="134"/>
        <v>0</v>
      </c>
      <c r="S692" s="186">
        <f t="shared" si="134"/>
        <v>288000</v>
      </c>
      <c r="T692" s="1"/>
      <c r="U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"/>
      <c r="U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S694" si="135">H698</f>
        <v>0</v>
      </c>
      <c r="I694" s="188">
        <f t="shared" si="135"/>
        <v>18000</v>
      </c>
      <c r="J694" s="188">
        <f t="shared" si="135"/>
        <v>19800</v>
      </c>
      <c r="K694" s="188">
        <f t="shared" si="135"/>
        <v>21780</v>
      </c>
      <c r="L694" s="188">
        <f t="shared" si="135"/>
        <v>23958</v>
      </c>
      <c r="M694" s="188">
        <f t="shared" si="135"/>
        <v>26353.8</v>
      </c>
      <c r="N694" s="188">
        <f t="shared" si="135"/>
        <v>28989.18</v>
      </c>
      <c r="O694" s="188">
        <f t="shared" si="135"/>
        <v>31888.098</v>
      </c>
      <c r="P694" s="188">
        <f t="shared" si="135"/>
        <v>35076.9078</v>
      </c>
      <c r="Q694" s="188">
        <f t="shared" si="135"/>
        <v>38584.59858</v>
      </c>
      <c r="R694" s="188">
        <f t="shared" si="135"/>
        <v>42443.05844</v>
      </c>
      <c r="S694" s="188">
        <f t="shared" si="135"/>
        <v>46687.36428</v>
      </c>
      <c r="T694" s="16"/>
      <c r="U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4</v>
      </c>
      <c r="I695" s="190">
        <f t="shared" ref="I695:S695" si="136">H695</f>
        <v>4</v>
      </c>
      <c r="J695" s="190">
        <f t="shared" si="136"/>
        <v>4</v>
      </c>
      <c r="K695" s="190">
        <f t="shared" si="136"/>
        <v>4</v>
      </c>
      <c r="L695" s="190">
        <f t="shared" si="136"/>
        <v>4</v>
      </c>
      <c r="M695" s="190">
        <f t="shared" si="136"/>
        <v>4</v>
      </c>
      <c r="N695" s="190">
        <f t="shared" si="136"/>
        <v>4</v>
      </c>
      <c r="O695" s="190">
        <f t="shared" si="136"/>
        <v>4</v>
      </c>
      <c r="P695" s="190">
        <f t="shared" si="136"/>
        <v>4</v>
      </c>
      <c r="Q695" s="190">
        <f t="shared" si="136"/>
        <v>4</v>
      </c>
      <c r="R695" s="190">
        <f t="shared" si="136"/>
        <v>4</v>
      </c>
      <c r="S695" s="190">
        <f t="shared" si="136"/>
        <v>4</v>
      </c>
      <c r="T695" s="16"/>
      <c r="U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S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88">
        <f t="shared" si="137"/>
        <v>7247.295</v>
      </c>
      <c r="N696" s="188">
        <f t="shared" si="137"/>
        <v>7972.0245</v>
      </c>
      <c r="O696" s="188">
        <f t="shared" si="137"/>
        <v>8769.22695</v>
      </c>
      <c r="P696" s="188">
        <f t="shared" si="137"/>
        <v>9646.149645</v>
      </c>
      <c r="Q696" s="188">
        <f t="shared" si="137"/>
        <v>10610.76461</v>
      </c>
      <c r="R696" s="188">
        <f t="shared" si="137"/>
        <v>11671.84107</v>
      </c>
      <c r="S696" s="188">
        <f t="shared" si="137"/>
        <v>12839.02518</v>
      </c>
      <c r="T696" s="16"/>
      <c r="U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54">
        <v>1.1</v>
      </c>
      <c r="N697" s="154">
        <v>1.1</v>
      </c>
      <c r="O697" s="154">
        <v>1.1</v>
      </c>
      <c r="P697" s="154">
        <v>1.1</v>
      </c>
      <c r="Q697" s="152">
        <v>1.1</v>
      </c>
      <c r="R697" s="152">
        <v>1.1</v>
      </c>
      <c r="S697" s="152">
        <v>1.1</v>
      </c>
      <c r="T697" s="16"/>
      <c r="U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4">
        <f t="shared" ref="H698:S698" si="138">H695*G696</f>
        <v>0</v>
      </c>
      <c r="I698" s="184">
        <f t="shared" si="138"/>
        <v>18000</v>
      </c>
      <c r="J698" s="184">
        <f t="shared" si="138"/>
        <v>19800</v>
      </c>
      <c r="K698" s="184">
        <f t="shared" si="138"/>
        <v>21780</v>
      </c>
      <c r="L698" s="184">
        <f t="shared" si="138"/>
        <v>23958</v>
      </c>
      <c r="M698" s="184">
        <f t="shared" si="138"/>
        <v>26353.8</v>
      </c>
      <c r="N698" s="184">
        <f t="shared" si="138"/>
        <v>28989.18</v>
      </c>
      <c r="O698" s="184">
        <f t="shared" si="138"/>
        <v>31888.098</v>
      </c>
      <c r="P698" s="184">
        <f t="shared" si="138"/>
        <v>35076.9078</v>
      </c>
      <c r="Q698" s="184">
        <f t="shared" si="138"/>
        <v>38584.59858</v>
      </c>
      <c r="R698" s="184">
        <f t="shared" si="138"/>
        <v>42443.05844</v>
      </c>
      <c r="S698" s="184">
        <f t="shared" si="138"/>
        <v>46687.36428</v>
      </c>
      <c r="T698" s="16"/>
      <c r="U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6"/>
      <c r="U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36"/>
      <c r="U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"/>
      <c r="U701" s="1"/>
    </row>
    <row r="702">
      <c r="A702" s="1"/>
      <c r="B702" s="1"/>
      <c r="C702" s="1"/>
      <c r="D702" s="1"/>
      <c r="E702" s="127"/>
      <c r="F702" s="13" t="str">
        <f t="shared" ref="F702:S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120000</v>
      </c>
      <c r="J702" s="180">
        <f t="shared" si="139"/>
        <v>72000</v>
      </c>
      <c r="K702" s="180">
        <f t="shared" si="139"/>
        <v>66000</v>
      </c>
      <c r="L702" s="180">
        <f t="shared" si="139"/>
        <v>42000</v>
      </c>
      <c r="M702" s="180">
        <f t="shared" si="139"/>
        <v>48000</v>
      </c>
      <c r="N702" s="180">
        <f t="shared" si="139"/>
        <v>36000</v>
      </c>
      <c r="O702" s="180">
        <f t="shared" si="139"/>
        <v>24000</v>
      </c>
      <c r="P702" s="180">
        <f t="shared" si="139"/>
        <v>24000</v>
      </c>
      <c r="Q702" s="180">
        <f t="shared" si="139"/>
        <v>0</v>
      </c>
      <c r="R702" s="180">
        <f t="shared" si="139"/>
        <v>0</v>
      </c>
      <c r="S702" s="180">
        <f t="shared" si="139"/>
        <v>0</v>
      </c>
      <c r="T702" s="1"/>
      <c r="U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S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84" t="str">
        <f t="shared" si="140"/>
        <v/>
      </c>
      <c r="N703" s="184" t="str">
        <f t="shared" si="140"/>
        <v/>
      </c>
      <c r="O703" s="184" t="str">
        <f t="shared" si="140"/>
        <v/>
      </c>
      <c r="P703" s="184" t="str">
        <f t="shared" si="140"/>
        <v/>
      </c>
      <c r="Q703" s="184" t="str">
        <f t="shared" si="140"/>
        <v/>
      </c>
      <c r="R703" s="184" t="str">
        <f t="shared" si="140"/>
        <v/>
      </c>
      <c r="S703" s="184" t="str">
        <f t="shared" si="140"/>
        <v/>
      </c>
      <c r="T703" s="1"/>
      <c r="U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S704" si="141">SUM(H702:H703)</f>
        <v>0</v>
      </c>
      <c r="I704" s="184">
        <f t="shared" si="141"/>
        <v>120000</v>
      </c>
      <c r="J704" s="184">
        <f t="shared" si="141"/>
        <v>72000</v>
      </c>
      <c r="K704" s="184">
        <f t="shared" si="141"/>
        <v>66000</v>
      </c>
      <c r="L704" s="184">
        <f t="shared" si="141"/>
        <v>42000</v>
      </c>
      <c r="M704" s="184">
        <f t="shared" si="141"/>
        <v>48000</v>
      </c>
      <c r="N704" s="184">
        <f t="shared" si="141"/>
        <v>36000</v>
      </c>
      <c r="O704" s="184">
        <f t="shared" si="141"/>
        <v>24000</v>
      </c>
      <c r="P704" s="184">
        <f t="shared" si="141"/>
        <v>24000</v>
      </c>
      <c r="Q704" s="184">
        <f t="shared" si="141"/>
        <v>0</v>
      </c>
      <c r="R704" s="184">
        <f t="shared" si="141"/>
        <v>0</v>
      </c>
      <c r="S704" s="184">
        <f t="shared" si="141"/>
        <v>0</v>
      </c>
      <c r="T704" s="1"/>
      <c r="U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"/>
      <c r="U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S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86">
        <f t="shared" si="142"/>
        <v>1</v>
      </c>
      <c r="N706" s="186">
        <f t="shared" si="142"/>
        <v>0</v>
      </c>
      <c r="O706" s="186">
        <f t="shared" si="142"/>
        <v>1</v>
      </c>
      <c r="P706" s="186">
        <f t="shared" si="142"/>
        <v>0</v>
      </c>
      <c r="Q706" s="186">
        <f t="shared" si="142"/>
        <v>1</v>
      </c>
      <c r="R706" s="186">
        <f t="shared" si="142"/>
        <v>0</v>
      </c>
      <c r="S706" s="186">
        <f t="shared" si="142"/>
        <v>1</v>
      </c>
      <c r="T706" s="1"/>
      <c r="U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S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86">
        <f t="shared" si="143"/>
        <v>0</v>
      </c>
      <c r="N707" s="186">
        <f t="shared" si="143"/>
        <v>1</v>
      </c>
      <c r="O707" s="186">
        <f t="shared" si="143"/>
        <v>0</v>
      </c>
      <c r="P707" s="186">
        <f t="shared" si="143"/>
        <v>1</v>
      </c>
      <c r="Q707" s="186">
        <f t="shared" si="143"/>
        <v>0</v>
      </c>
      <c r="R707" s="186">
        <f t="shared" si="143"/>
        <v>1</v>
      </c>
      <c r="S707" s="186">
        <f t="shared" si="143"/>
        <v>0</v>
      </c>
      <c r="T707" s="1"/>
      <c r="U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S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86">
        <f t="shared" si="144"/>
        <v>1</v>
      </c>
      <c r="N708" s="186">
        <f t="shared" si="144"/>
        <v>0</v>
      </c>
      <c r="O708" s="186">
        <f t="shared" si="144"/>
        <v>1</v>
      </c>
      <c r="P708" s="186">
        <f t="shared" si="144"/>
        <v>0</v>
      </c>
      <c r="Q708" s="186">
        <f t="shared" si="144"/>
        <v>1</v>
      </c>
      <c r="R708" s="186">
        <f t="shared" si="144"/>
        <v>0</v>
      </c>
      <c r="S708" s="186">
        <f t="shared" si="144"/>
        <v>1</v>
      </c>
      <c r="T708" s="1"/>
      <c r="U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S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86">
        <f t="shared" si="145"/>
        <v>0</v>
      </c>
      <c r="N709" s="186">
        <f t="shared" si="145"/>
        <v>1</v>
      </c>
      <c r="O709" s="186">
        <f t="shared" si="145"/>
        <v>0</v>
      </c>
      <c r="P709" s="186">
        <f t="shared" si="145"/>
        <v>1</v>
      </c>
      <c r="Q709" s="186">
        <f t="shared" si="145"/>
        <v>0</v>
      </c>
      <c r="R709" s="186">
        <f t="shared" si="145"/>
        <v>1</v>
      </c>
      <c r="S709" s="186">
        <f t="shared" si="145"/>
        <v>0</v>
      </c>
      <c r="T709" s="1"/>
      <c r="U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S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86">
        <f t="shared" si="146"/>
        <v>1</v>
      </c>
      <c r="N710" s="186">
        <f t="shared" si="146"/>
        <v>0</v>
      </c>
      <c r="O710" s="186">
        <f t="shared" si="146"/>
        <v>1</v>
      </c>
      <c r="P710" s="186">
        <f t="shared" si="146"/>
        <v>0</v>
      </c>
      <c r="Q710" s="186">
        <f t="shared" si="146"/>
        <v>1</v>
      </c>
      <c r="R710" s="186">
        <f t="shared" si="146"/>
        <v>0</v>
      </c>
      <c r="S710" s="186">
        <f t="shared" si="146"/>
        <v>1</v>
      </c>
      <c r="T710" s="1"/>
      <c r="U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S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86">
        <f t="shared" si="147"/>
        <v>2</v>
      </c>
      <c r="N711" s="186">
        <f t="shared" si="147"/>
        <v>1</v>
      </c>
      <c r="O711" s="186">
        <f t="shared" si="147"/>
        <v>0</v>
      </c>
      <c r="P711" s="186">
        <f t="shared" si="147"/>
        <v>1</v>
      </c>
      <c r="Q711" s="186">
        <f t="shared" si="147"/>
        <v>0</v>
      </c>
      <c r="R711" s="186">
        <f t="shared" si="147"/>
        <v>1</v>
      </c>
      <c r="S711" s="186">
        <f t="shared" si="147"/>
        <v>0</v>
      </c>
      <c r="T711" s="1"/>
      <c r="U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S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86">
        <f t="shared" si="148"/>
        <v>0</v>
      </c>
      <c r="N712" s="186">
        <f t="shared" si="148"/>
        <v>2</v>
      </c>
      <c r="O712" s="186">
        <f t="shared" si="148"/>
        <v>1</v>
      </c>
      <c r="P712" s="186">
        <f t="shared" si="148"/>
        <v>0</v>
      </c>
      <c r="Q712" s="186">
        <f t="shared" si="148"/>
        <v>1</v>
      </c>
      <c r="R712" s="186">
        <f t="shared" si="148"/>
        <v>0</v>
      </c>
      <c r="S712" s="186">
        <f t="shared" si="148"/>
        <v>1</v>
      </c>
      <c r="T712" s="1"/>
      <c r="U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S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86">
        <f t="shared" si="149"/>
        <v>0</v>
      </c>
      <c r="N713" s="186">
        <f t="shared" si="149"/>
        <v>0</v>
      </c>
      <c r="O713" s="186">
        <f t="shared" si="149"/>
        <v>2</v>
      </c>
      <c r="P713" s="186">
        <f t="shared" si="149"/>
        <v>1</v>
      </c>
      <c r="Q713" s="186">
        <f t="shared" si="149"/>
        <v>0</v>
      </c>
      <c r="R713" s="186">
        <f t="shared" si="149"/>
        <v>1</v>
      </c>
      <c r="S713" s="186">
        <f t="shared" si="149"/>
        <v>0</v>
      </c>
      <c r="T713" s="1"/>
      <c r="U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S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86">
        <f t="shared" si="150"/>
        <v>0</v>
      </c>
      <c r="N714" s="186">
        <f t="shared" si="150"/>
        <v>0</v>
      </c>
      <c r="O714" s="186">
        <f t="shared" si="150"/>
        <v>0</v>
      </c>
      <c r="P714" s="186">
        <f t="shared" si="150"/>
        <v>2</v>
      </c>
      <c r="Q714" s="186">
        <f t="shared" si="150"/>
        <v>1</v>
      </c>
      <c r="R714" s="186">
        <f t="shared" si="150"/>
        <v>0</v>
      </c>
      <c r="S714" s="186">
        <f t="shared" si="150"/>
        <v>1</v>
      </c>
      <c r="T714" s="1"/>
      <c r="U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S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86">
        <f t="shared" si="151"/>
        <v>0</v>
      </c>
      <c r="N715" s="186">
        <f t="shared" si="151"/>
        <v>0</v>
      </c>
      <c r="O715" s="186">
        <f t="shared" si="151"/>
        <v>0</v>
      </c>
      <c r="P715" s="186">
        <f t="shared" si="151"/>
        <v>0</v>
      </c>
      <c r="Q715" s="186">
        <f t="shared" si="151"/>
        <v>2</v>
      </c>
      <c r="R715" s="186">
        <f t="shared" si="151"/>
        <v>1</v>
      </c>
      <c r="S715" s="186">
        <f t="shared" si="151"/>
        <v>0</v>
      </c>
      <c r="T715" s="1"/>
      <c r="U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S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86">
        <f t="shared" si="152"/>
        <v>0</v>
      </c>
      <c r="N716" s="186">
        <f t="shared" si="152"/>
        <v>0</v>
      </c>
      <c r="O716" s="186">
        <f t="shared" si="152"/>
        <v>0</v>
      </c>
      <c r="P716" s="186">
        <f t="shared" si="152"/>
        <v>0</v>
      </c>
      <c r="Q716" s="186">
        <f t="shared" si="152"/>
        <v>0</v>
      </c>
      <c r="R716" s="186">
        <f t="shared" si="152"/>
        <v>2</v>
      </c>
      <c r="S716" s="186">
        <f t="shared" si="152"/>
        <v>1</v>
      </c>
      <c r="T716" s="1"/>
      <c r="U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S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86">
        <f t="shared" si="153"/>
        <v>0</v>
      </c>
      <c r="N717" s="186">
        <f t="shared" si="153"/>
        <v>0</v>
      </c>
      <c r="O717" s="186">
        <f t="shared" si="153"/>
        <v>0</v>
      </c>
      <c r="P717" s="186">
        <f t="shared" si="153"/>
        <v>0</v>
      </c>
      <c r="Q717" s="186">
        <f t="shared" si="153"/>
        <v>0</v>
      </c>
      <c r="R717" s="186">
        <f t="shared" si="153"/>
        <v>0</v>
      </c>
      <c r="S717" s="186">
        <f t="shared" si="153"/>
        <v>2</v>
      </c>
      <c r="T717" s="1"/>
      <c r="U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"/>
      <c r="U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"/>
      <c r="U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S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96000</v>
      </c>
      <c r="L720" s="184">
        <f t="shared" si="154"/>
        <v>57600</v>
      </c>
      <c r="M720" s="184">
        <f t="shared" si="154"/>
        <v>129600</v>
      </c>
      <c r="N720" s="184">
        <f t="shared" si="154"/>
        <v>79680</v>
      </c>
      <c r="O720" s="184">
        <f t="shared" si="154"/>
        <v>142080</v>
      </c>
      <c r="P720" s="184">
        <f t="shared" si="154"/>
        <v>92544</v>
      </c>
      <c r="Q720" s="184">
        <f t="shared" si="154"/>
        <v>132864</v>
      </c>
      <c r="R720" s="184">
        <f t="shared" si="154"/>
        <v>93235.2</v>
      </c>
      <c r="S720" s="184">
        <f t="shared" si="154"/>
        <v>106291.2</v>
      </c>
      <c r="T720" s="1"/>
      <c r="U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S721" si="155">SUM(H722:H733)</f>
        <v>0</v>
      </c>
      <c r="I721" s="184">
        <f t="shared" si="155"/>
        <v>120000</v>
      </c>
      <c r="J721" s="184">
        <f t="shared" si="155"/>
        <v>72000</v>
      </c>
      <c r="K721" s="184">
        <f t="shared" si="155"/>
        <v>162000</v>
      </c>
      <c r="L721" s="184">
        <f t="shared" si="155"/>
        <v>99600</v>
      </c>
      <c r="M721" s="184">
        <f t="shared" si="155"/>
        <v>177600</v>
      </c>
      <c r="N721" s="184">
        <f t="shared" si="155"/>
        <v>115680</v>
      </c>
      <c r="O721" s="184">
        <f t="shared" si="155"/>
        <v>166080</v>
      </c>
      <c r="P721" s="184">
        <f t="shared" si="155"/>
        <v>116544</v>
      </c>
      <c r="Q721" s="184">
        <f t="shared" si="155"/>
        <v>132864</v>
      </c>
      <c r="R721" s="184">
        <f t="shared" si="155"/>
        <v>93235.2</v>
      </c>
      <c r="S721" s="184">
        <f t="shared" si="155"/>
        <v>106291.2</v>
      </c>
      <c r="T721" s="1"/>
      <c r="U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S722" si="156">IF(COLUMN() &lt; (COLUMN($H$722) + (ROW()-ROW($H$722))), 0, IF(COLUMN() = (COLUMN($H$722) + (ROW()-ROW($H$722))), INDEX($H$704:$S$704,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86">
        <f t="shared" si="156"/>
        <v>0</v>
      </c>
      <c r="N722" s="186">
        <f t="shared" si="156"/>
        <v>0</v>
      </c>
      <c r="O722" s="186">
        <f t="shared" si="156"/>
        <v>0</v>
      </c>
      <c r="P722" s="186">
        <f t="shared" si="156"/>
        <v>0</v>
      </c>
      <c r="Q722" s="186">
        <f t="shared" si="156"/>
        <v>0</v>
      </c>
      <c r="R722" s="186">
        <f t="shared" si="156"/>
        <v>0</v>
      </c>
      <c r="S722" s="186">
        <f t="shared" si="156"/>
        <v>0</v>
      </c>
      <c r="T722" s="1"/>
      <c r="U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S723" si="157">IF(COLUMN() &lt; (COLUMN($H$722) + (ROW()-ROW($H$722))), 0, IF(COLUMN() = (COLUMN($H$722) + (ROW()-ROW($H$722))), INDEX($H$704:$S$704, 1, COLUMN()-COLUMN($H$704)+1), IF(H707=0, OFFSET(H723, 0, -$H$705) * $H$719, 0)))</f>
        <v>0</v>
      </c>
      <c r="I723" s="186">
        <f t="shared" si="157"/>
        <v>120000</v>
      </c>
      <c r="J723" s="186">
        <f t="shared" si="157"/>
        <v>0</v>
      </c>
      <c r="K723" s="186">
        <f t="shared" si="157"/>
        <v>96000</v>
      </c>
      <c r="L723" s="186">
        <f t="shared" si="157"/>
        <v>0</v>
      </c>
      <c r="M723" s="186">
        <f t="shared" si="157"/>
        <v>76800</v>
      </c>
      <c r="N723" s="186">
        <f t="shared" si="157"/>
        <v>0</v>
      </c>
      <c r="O723" s="186">
        <f t="shared" si="157"/>
        <v>61440</v>
      </c>
      <c r="P723" s="186">
        <f t="shared" si="157"/>
        <v>0</v>
      </c>
      <c r="Q723" s="186">
        <f t="shared" si="157"/>
        <v>49152</v>
      </c>
      <c r="R723" s="186">
        <f t="shared" si="157"/>
        <v>0</v>
      </c>
      <c r="S723" s="186">
        <f t="shared" si="157"/>
        <v>39321.6</v>
      </c>
      <c r="T723" s="1"/>
      <c r="U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S724" si="158">IF(COLUMN() &lt; (COLUMN($H$722) + (ROW()-ROW($H$722))), 0, IF(COLUMN() = (COLUMN($H$722) + (ROW()-ROW($H$722))), INDEX($H$704:$S$704, 1, COLUMN()-COLUMN($H$704)+1), IF(H708=0, OFFSET(H724, 0, -$H$705) * $H$719, 0)))</f>
        <v>0</v>
      </c>
      <c r="I724" s="186">
        <f t="shared" si="158"/>
        <v>0</v>
      </c>
      <c r="J724" s="186">
        <f t="shared" si="158"/>
        <v>72000</v>
      </c>
      <c r="K724" s="186">
        <f t="shared" si="158"/>
        <v>0</v>
      </c>
      <c r="L724" s="186">
        <f t="shared" si="158"/>
        <v>57600</v>
      </c>
      <c r="M724" s="186">
        <f t="shared" si="158"/>
        <v>0</v>
      </c>
      <c r="N724" s="186">
        <f t="shared" si="158"/>
        <v>46080</v>
      </c>
      <c r="O724" s="186">
        <f t="shared" si="158"/>
        <v>0</v>
      </c>
      <c r="P724" s="186">
        <f t="shared" si="158"/>
        <v>36864</v>
      </c>
      <c r="Q724" s="186">
        <f t="shared" si="158"/>
        <v>0</v>
      </c>
      <c r="R724" s="186">
        <f t="shared" si="158"/>
        <v>29491.2</v>
      </c>
      <c r="S724" s="186">
        <f t="shared" si="158"/>
        <v>0</v>
      </c>
      <c r="T724" s="1"/>
      <c r="U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S725" si="159">IF(COLUMN() &lt; (COLUMN($H$722) + (ROW()-ROW($H$722))), 0, IF(COLUMN() = (COLUMN($H$722) + (ROW()-ROW($H$722))), INDEX($H$704:$S$704,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66000</v>
      </c>
      <c r="L725" s="186">
        <f t="shared" si="159"/>
        <v>0</v>
      </c>
      <c r="M725" s="186">
        <f t="shared" si="159"/>
        <v>52800</v>
      </c>
      <c r="N725" s="186">
        <f t="shared" si="159"/>
        <v>0</v>
      </c>
      <c r="O725" s="186">
        <f t="shared" si="159"/>
        <v>42240</v>
      </c>
      <c r="P725" s="186">
        <f t="shared" si="159"/>
        <v>0</v>
      </c>
      <c r="Q725" s="186">
        <f t="shared" si="159"/>
        <v>33792</v>
      </c>
      <c r="R725" s="186">
        <f t="shared" si="159"/>
        <v>0</v>
      </c>
      <c r="S725" s="186">
        <f t="shared" si="159"/>
        <v>27033.6</v>
      </c>
      <c r="T725" s="1"/>
      <c r="U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S726" si="160">IF(COLUMN() &lt; (COLUMN($H$722) + (ROW()-ROW($H$722))), 0, IF(COLUMN() = (COLUMN($H$722) + (ROW()-ROW($H$722))), INDEX($H$704:$S$704,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42000</v>
      </c>
      <c r="M726" s="186">
        <f t="shared" si="160"/>
        <v>0</v>
      </c>
      <c r="N726" s="186">
        <f t="shared" si="160"/>
        <v>33600</v>
      </c>
      <c r="O726" s="186">
        <f t="shared" si="160"/>
        <v>0</v>
      </c>
      <c r="P726" s="186">
        <f t="shared" si="160"/>
        <v>26880</v>
      </c>
      <c r="Q726" s="186">
        <f t="shared" si="160"/>
        <v>0</v>
      </c>
      <c r="R726" s="186">
        <f t="shared" si="160"/>
        <v>21504</v>
      </c>
      <c r="S726" s="186">
        <f t="shared" si="160"/>
        <v>0</v>
      </c>
      <c r="T726" s="1"/>
      <c r="U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S727" si="161">IF(COLUMN() &lt; (COLUMN($H$722) + (ROW()-ROW($H$722))), 0, IF(COLUMN() = (COLUMN($H$722) + (ROW()-ROW($H$722))), INDEX($H$704:$S$704,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86">
        <f t="shared" si="161"/>
        <v>48000</v>
      </c>
      <c r="N727" s="186">
        <f t="shared" si="161"/>
        <v>0</v>
      </c>
      <c r="O727" s="186">
        <f t="shared" si="161"/>
        <v>38400</v>
      </c>
      <c r="P727" s="186">
        <f t="shared" si="161"/>
        <v>0</v>
      </c>
      <c r="Q727" s="186">
        <f t="shared" si="161"/>
        <v>30720</v>
      </c>
      <c r="R727" s="186">
        <f t="shared" si="161"/>
        <v>0</v>
      </c>
      <c r="S727" s="186">
        <f t="shared" si="161"/>
        <v>24576</v>
      </c>
      <c r="T727" s="1"/>
      <c r="U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S728" si="162">IF(COLUMN() &lt; (COLUMN($H$722) + (ROW()-ROW($H$722))), 0, IF(COLUMN() = (COLUMN($H$722) + (ROW()-ROW($H$722))), INDEX($H$704:$S$704,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86">
        <f t="shared" si="162"/>
        <v>0</v>
      </c>
      <c r="N728" s="186">
        <f t="shared" si="162"/>
        <v>36000</v>
      </c>
      <c r="O728" s="186">
        <f t="shared" si="162"/>
        <v>0</v>
      </c>
      <c r="P728" s="186">
        <f t="shared" si="162"/>
        <v>28800</v>
      </c>
      <c r="Q728" s="186">
        <f t="shared" si="162"/>
        <v>0</v>
      </c>
      <c r="R728" s="186">
        <f t="shared" si="162"/>
        <v>23040</v>
      </c>
      <c r="S728" s="186">
        <f t="shared" si="162"/>
        <v>0</v>
      </c>
      <c r="T728" s="1"/>
      <c r="U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S729" si="163">IF(COLUMN() &lt; (COLUMN($H$722) + (ROW()-ROW($H$722))), 0, IF(COLUMN() = (COLUMN($H$722) + (ROW()-ROW($H$722))), INDEX($H$704:$S$704,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86">
        <f t="shared" si="163"/>
        <v>0</v>
      </c>
      <c r="N729" s="186">
        <f t="shared" si="163"/>
        <v>0</v>
      </c>
      <c r="O729" s="186">
        <f t="shared" si="163"/>
        <v>24000</v>
      </c>
      <c r="P729" s="186">
        <f t="shared" si="163"/>
        <v>0</v>
      </c>
      <c r="Q729" s="186">
        <f t="shared" si="163"/>
        <v>19200</v>
      </c>
      <c r="R729" s="186">
        <f t="shared" si="163"/>
        <v>0</v>
      </c>
      <c r="S729" s="186">
        <f t="shared" si="163"/>
        <v>15360</v>
      </c>
      <c r="T729" s="1"/>
      <c r="U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S730" si="164">IF(COLUMN() &lt; (COLUMN($H$722) + (ROW()-ROW($H$722))), 0, IF(COLUMN() = (COLUMN($H$722) + (ROW()-ROW($H$722))), INDEX($H$704:$S$704,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86">
        <f t="shared" si="164"/>
        <v>0</v>
      </c>
      <c r="N730" s="186">
        <f t="shared" si="164"/>
        <v>0</v>
      </c>
      <c r="O730" s="186">
        <f t="shared" si="164"/>
        <v>0</v>
      </c>
      <c r="P730" s="186">
        <f t="shared" si="164"/>
        <v>24000</v>
      </c>
      <c r="Q730" s="186">
        <f t="shared" si="164"/>
        <v>0</v>
      </c>
      <c r="R730" s="186">
        <f t="shared" si="164"/>
        <v>19200</v>
      </c>
      <c r="S730" s="186">
        <f t="shared" si="164"/>
        <v>0</v>
      </c>
      <c r="T730" s="1"/>
      <c r="U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S731" si="165">IF(COLUMN() &lt; (COLUMN($H$722) + (ROW()-ROW($H$722))), 0, IF(COLUMN() = (COLUMN($H$722) + (ROW()-ROW($H$722))), INDEX($H$704:$S$704,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86">
        <f t="shared" si="165"/>
        <v>0</v>
      </c>
      <c r="N731" s="186">
        <f t="shared" si="165"/>
        <v>0</v>
      </c>
      <c r="O731" s="186">
        <f t="shared" si="165"/>
        <v>0</v>
      </c>
      <c r="P731" s="186">
        <f t="shared" si="165"/>
        <v>0</v>
      </c>
      <c r="Q731" s="186">
        <f t="shared" si="165"/>
        <v>0</v>
      </c>
      <c r="R731" s="186">
        <f t="shared" si="165"/>
        <v>0</v>
      </c>
      <c r="S731" s="186">
        <f t="shared" si="165"/>
        <v>0</v>
      </c>
      <c r="T731" s="1"/>
      <c r="U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S732" si="166">IF(COLUMN() &lt; (COLUMN($H$722) + (ROW()-ROW($H$722))), 0, IF(COLUMN() = (COLUMN($H$722) + (ROW()-ROW($H$722))), INDEX($H$704:$S$704,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86">
        <f t="shared" si="166"/>
        <v>0</v>
      </c>
      <c r="N732" s="186">
        <f t="shared" si="166"/>
        <v>0</v>
      </c>
      <c r="O732" s="186">
        <f t="shared" si="166"/>
        <v>0</v>
      </c>
      <c r="P732" s="186">
        <f t="shared" si="166"/>
        <v>0</v>
      </c>
      <c r="Q732" s="186">
        <f t="shared" si="166"/>
        <v>0</v>
      </c>
      <c r="R732" s="186">
        <f t="shared" si="166"/>
        <v>0</v>
      </c>
      <c r="S732" s="186">
        <f t="shared" si="166"/>
        <v>0</v>
      </c>
      <c r="T732" s="1"/>
      <c r="U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S733" si="167">IF(COLUMN() &lt; (COLUMN($H$722) + (ROW()-ROW($H$722))), 0, IF(COLUMN() = (COLUMN($H$722) + (ROW()-ROW($H$722))), INDEX($H$704:$S$704,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86">
        <f t="shared" si="167"/>
        <v>0</v>
      </c>
      <c r="N733" s="186">
        <f t="shared" si="167"/>
        <v>0</v>
      </c>
      <c r="O733" s="186">
        <f t="shared" si="167"/>
        <v>0</v>
      </c>
      <c r="P733" s="186">
        <f t="shared" si="167"/>
        <v>0</v>
      </c>
      <c r="Q733" s="186">
        <f t="shared" si="167"/>
        <v>0</v>
      </c>
      <c r="R733" s="186">
        <f t="shared" si="167"/>
        <v>0</v>
      </c>
      <c r="S733" s="186">
        <f t="shared" si="167"/>
        <v>0</v>
      </c>
      <c r="T733" s="1"/>
      <c r="U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"/>
      <c r="U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>H754</f>
        <v>0</v>
      </c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"/>
      <c r="U735" s="1"/>
    </row>
    <row r="736">
      <c r="A736" s="1"/>
      <c r="B736" s="1"/>
      <c r="C736" s="1"/>
      <c r="D736" s="1"/>
      <c r="E736" s="1"/>
      <c r="F736" s="13" t="str">
        <f t="shared" ref="F736:S736" si="168">F926</f>
        <v>$ [Executar-loyalty] Revenue Expansion</v>
      </c>
      <c r="G736" s="171" t="str">
        <f t="shared" si="168"/>
        <v/>
      </c>
      <c r="H736" s="180">
        <f t="shared" si="168"/>
        <v>0</v>
      </c>
      <c r="I736" s="180">
        <f t="shared" si="168"/>
        <v>840000</v>
      </c>
      <c r="J736" s="180">
        <f t="shared" si="168"/>
        <v>420000</v>
      </c>
      <c r="K736" s="180">
        <f t="shared" si="168"/>
        <v>378000</v>
      </c>
      <c r="L736" s="180">
        <f t="shared" si="168"/>
        <v>252000</v>
      </c>
      <c r="M736" s="180">
        <f t="shared" si="168"/>
        <v>252000</v>
      </c>
      <c r="N736" s="180">
        <f t="shared" si="168"/>
        <v>168000</v>
      </c>
      <c r="O736" s="179">
        <f t="shared" si="168"/>
        <v>126000</v>
      </c>
      <c r="P736" s="180">
        <f t="shared" si="168"/>
        <v>84000</v>
      </c>
      <c r="Q736" s="180">
        <f t="shared" si="168"/>
        <v>0</v>
      </c>
      <c r="R736" s="180">
        <f t="shared" si="168"/>
        <v>0</v>
      </c>
      <c r="S736" s="180">
        <f t="shared" si="168"/>
        <v>0</v>
      </c>
      <c r="T736" s="1"/>
      <c r="U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S737" si="169">H486</f>
        <v>2916480</v>
      </c>
      <c r="I737" s="184" t="str">
        <f t="shared" si="169"/>
        <v/>
      </c>
      <c r="J737" s="184" t="str">
        <f t="shared" si="169"/>
        <v/>
      </c>
      <c r="K737" s="184" t="str">
        <f t="shared" si="169"/>
        <v/>
      </c>
      <c r="L737" s="184" t="str">
        <f t="shared" si="169"/>
        <v/>
      </c>
      <c r="M737" s="184" t="str">
        <f t="shared" si="169"/>
        <v/>
      </c>
      <c r="N737" s="184" t="str">
        <f t="shared" si="169"/>
        <v/>
      </c>
      <c r="O737" s="184" t="str">
        <f t="shared" si="169"/>
        <v/>
      </c>
      <c r="P737" s="184" t="str">
        <f t="shared" si="169"/>
        <v/>
      </c>
      <c r="Q737" s="184" t="str">
        <f t="shared" si="169"/>
        <v/>
      </c>
      <c r="R737" s="184" t="str">
        <f t="shared" si="169"/>
        <v/>
      </c>
      <c r="S737" s="184" t="str">
        <f t="shared" si="169"/>
        <v/>
      </c>
      <c r="T737" s="1"/>
      <c r="U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S738" si="170">SUM(H736:H737)</f>
        <v>2916480</v>
      </c>
      <c r="I738" s="184">
        <f t="shared" si="170"/>
        <v>840000</v>
      </c>
      <c r="J738" s="184">
        <f t="shared" si="170"/>
        <v>420000</v>
      </c>
      <c r="K738" s="184">
        <f t="shared" si="170"/>
        <v>378000</v>
      </c>
      <c r="L738" s="184">
        <f t="shared" si="170"/>
        <v>252000</v>
      </c>
      <c r="M738" s="184">
        <f t="shared" si="170"/>
        <v>252000</v>
      </c>
      <c r="N738" s="184">
        <f t="shared" si="170"/>
        <v>168000</v>
      </c>
      <c r="O738" s="184">
        <f t="shared" si="170"/>
        <v>126000</v>
      </c>
      <c r="P738" s="184">
        <f t="shared" si="170"/>
        <v>84000</v>
      </c>
      <c r="Q738" s="184">
        <f t="shared" si="170"/>
        <v>0</v>
      </c>
      <c r="R738" s="184">
        <f t="shared" si="170"/>
        <v>0</v>
      </c>
      <c r="S738" s="184">
        <f t="shared" si="170"/>
        <v>0</v>
      </c>
      <c r="T738" s="1"/>
      <c r="U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"/>
      <c r="U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S740" si="171">IF(COLUMN() &lt; (COLUMN($H$740) + (ROW()-ROW($H$740))), 0, IF(COLUMN() = (COLUMN($H$740) + (ROW()-ROW($H$740))), $H$739, IF(G740&gt;0, G740-1, $H$739-1)))</f>
        <v>7</v>
      </c>
      <c r="I740" s="186">
        <f t="shared" si="171"/>
        <v>6</v>
      </c>
      <c r="J740" s="186">
        <f t="shared" si="171"/>
        <v>5</v>
      </c>
      <c r="K740" s="186">
        <f t="shared" si="171"/>
        <v>4</v>
      </c>
      <c r="L740" s="186">
        <f t="shared" si="171"/>
        <v>3</v>
      </c>
      <c r="M740" s="186">
        <f t="shared" si="171"/>
        <v>2</v>
      </c>
      <c r="N740" s="186">
        <f t="shared" si="171"/>
        <v>1</v>
      </c>
      <c r="O740" s="186">
        <f t="shared" si="171"/>
        <v>0</v>
      </c>
      <c r="P740" s="186">
        <f t="shared" si="171"/>
        <v>6</v>
      </c>
      <c r="Q740" s="186">
        <f t="shared" si="171"/>
        <v>5</v>
      </c>
      <c r="R740" s="186">
        <f t="shared" si="171"/>
        <v>4</v>
      </c>
      <c r="S740" s="186">
        <f t="shared" si="171"/>
        <v>3</v>
      </c>
      <c r="T740" s="1"/>
      <c r="U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S741" si="172">IF(COLUMN() &lt; (COLUMN($H$740) + (ROW()-ROW($H$740))), 0, IF(COLUMN() = (COLUMN($H$740) + (ROW()-ROW($H$740))), $H$739, IF(G741&gt;0, G741-1, $H$739-1)))</f>
        <v>0</v>
      </c>
      <c r="I741" s="186">
        <f t="shared" si="172"/>
        <v>7</v>
      </c>
      <c r="J741" s="186">
        <f t="shared" si="172"/>
        <v>6</v>
      </c>
      <c r="K741" s="186">
        <f t="shared" si="172"/>
        <v>5</v>
      </c>
      <c r="L741" s="186">
        <f t="shared" si="172"/>
        <v>4</v>
      </c>
      <c r="M741" s="186">
        <f t="shared" si="172"/>
        <v>3</v>
      </c>
      <c r="N741" s="186">
        <f t="shared" si="172"/>
        <v>2</v>
      </c>
      <c r="O741" s="186">
        <f t="shared" si="172"/>
        <v>1</v>
      </c>
      <c r="P741" s="186">
        <f t="shared" si="172"/>
        <v>0</v>
      </c>
      <c r="Q741" s="186">
        <f t="shared" si="172"/>
        <v>6</v>
      </c>
      <c r="R741" s="186">
        <f t="shared" si="172"/>
        <v>5</v>
      </c>
      <c r="S741" s="186">
        <f t="shared" si="172"/>
        <v>4</v>
      </c>
      <c r="T741" s="1"/>
      <c r="U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S742" si="173">IF(COLUMN() &lt; (COLUMN($H$740) + (ROW()-ROW($H$740))), 0, IF(COLUMN() = (COLUMN($H$740) + (ROW()-ROW($H$740))), $H$739, IF(G742&gt;0, G742-1, $H$739-1)))</f>
        <v>0</v>
      </c>
      <c r="I742" s="186">
        <f t="shared" si="173"/>
        <v>0</v>
      </c>
      <c r="J742" s="186">
        <f t="shared" si="173"/>
        <v>7</v>
      </c>
      <c r="K742" s="186">
        <f t="shared" si="173"/>
        <v>6</v>
      </c>
      <c r="L742" s="186">
        <f t="shared" si="173"/>
        <v>5</v>
      </c>
      <c r="M742" s="186">
        <f t="shared" si="173"/>
        <v>4</v>
      </c>
      <c r="N742" s="186">
        <f t="shared" si="173"/>
        <v>3</v>
      </c>
      <c r="O742" s="186">
        <f t="shared" si="173"/>
        <v>2</v>
      </c>
      <c r="P742" s="186">
        <f t="shared" si="173"/>
        <v>1</v>
      </c>
      <c r="Q742" s="186">
        <f t="shared" si="173"/>
        <v>0</v>
      </c>
      <c r="R742" s="186">
        <f t="shared" si="173"/>
        <v>6</v>
      </c>
      <c r="S742" s="186">
        <f t="shared" si="173"/>
        <v>5</v>
      </c>
      <c r="T742" s="1"/>
      <c r="U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S743" si="174">IF(COLUMN() &lt; (COLUMN($H$740) + (ROW()-ROW($H$740))), 0, IF(COLUMN() = (COLUMN($H$740) + (ROW()-ROW($H$740))), $H$739, IF(G743&gt;0, G743-1, $H$739-1)))</f>
        <v>0</v>
      </c>
      <c r="I743" s="186">
        <f t="shared" si="174"/>
        <v>0</v>
      </c>
      <c r="J743" s="186">
        <f t="shared" si="174"/>
        <v>0</v>
      </c>
      <c r="K743" s="186">
        <f t="shared" si="174"/>
        <v>7</v>
      </c>
      <c r="L743" s="186">
        <f t="shared" si="174"/>
        <v>6</v>
      </c>
      <c r="M743" s="186">
        <f t="shared" si="174"/>
        <v>5</v>
      </c>
      <c r="N743" s="186">
        <f t="shared" si="174"/>
        <v>4</v>
      </c>
      <c r="O743" s="186">
        <f t="shared" si="174"/>
        <v>3</v>
      </c>
      <c r="P743" s="186">
        <f t="shared" si="174"/>
        <v>2</v>
      </c>
      <c r="Q743" s="186">
        <f t="shared" si="174"/>
        <v>1</v>
      </c>
      <c r="R743" s="186">
        <f t="shared" si="174"/>
        <v>0</v>
      </c>
      <c r="S743" s="186">
        <f t="shared" si="174"/>
        <v>6</v>
      </c>
      <c r="T743" s="1"/>
      <c r="U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S744" si="175">IF(COLUMN() &lt; (COLUMN($H$740) + (ROW()-ROW($H$740))), 0, IF(COLUMN() = (COLUMN($H$740) + (ROW()-ROW($H$740))), $H$739, IF(G744&gt;0, G744-1, $H$739-1)))</f>
        <v>0</v>
      </c>
      <c r="I744" s="186">
        <f t="shared" si="175"/>
        <v>0</v>
      </c>
      <c r="J744" s="186">
        <f t="shared" si="175"/>
        <v>0</v>
      </c>
      <c r="K744" s="186">
        <f t="shared" si="175"/>
        <v>0</v>
      </c>
      <c r="L744" s="186">
        <f t="shared" si="175"/>
        <v>7</v>
      </c>
      <c r="M744" s="186">
        <f t="shared" si="175"/>
        <v>6</v>
      </c>
      <c r="N744" s="186">
        <f t="shared" si="175"/>
        <v>5</v>
      </c>
      <c r="O744" s="186">
        <f t="shared" si="175"/>
        <v>4</v>
      </c>
      <c r="P744" s="186">
        <f t="shared" si="175"/>
        <v>3</v>
      </c>
      <c r="Q744" s="186">
        <f t="shared" si="175"/>
        <v>2</v>
      </c>
      <c r="R744" s="186">
        <f t="shared" si="175"/>
        <v>1</v>
      </c>
      <c r="S744" s="186">
        <f t="shared" si="175"/>
        <v>0</v>
      </c>
      <c r="T744" s="1"/>
      <c r="U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S745" si="176">IF(COLUMN() &lt; (COLUMN($H$740) + (ROW()-ROW($H$740))), 0, IF(COLUMN() = (COLUMN($H$740) + (ROW()-ROW($H$740))), $H$739, IF(G745&gt;0, G745-1, $H$739-1)))</f>
        <v>0</v>
      </c>
      <c r="I745" s="186">
        <f t="shared" si="176"/>
        <v>0</v>
      </c>
      <c r="J745" s="186">
        <f t="shared" si="176"/>
        <v>0</v>
      </c>
      <c r="K745" s="186">
        <f t="shared" si="176"/>
        <v>0</v>
      </c>
      <c r="L745" s="186">
        <f t="shared" si="176"/>
        <v>0</v>
      </c>
      <c r="M745" s="186">
        <f t="shared" si="176"/>
        <v>7</v>
      </c>
      <c r="N745" s="186">
        <f t="shared" si="176"/>
        <v>6</v>
      </c>
      <c r="O745" s="186">
        <f t="shared" si="176"/>
        <v>5</v>
      </c>
      <c r="P745" s="186">
        <f t="shared" si="176"/>
        <v>4</v>
      </c>
      <c r="Q745" s="186">
        <f t="shared" si="176"/>
        <v>3</v>
      </c>
      <c r="R745" s="186">
        <f t="shared" si="176"/>
        <v>2</v>
      </c>
      <c r="S745" s="186">
        <f t="shared" si="176"/>
        <v>1</v>
      </c>
      <c r="T745" s="1"/>
      <c r="U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S746" si="177">IF(COLUMN() &lt; (COLUMN($H$740) + (ROW()-ROW($H$740))), 0, IF(COLUMN() = (COLUMN($H$740) + (ROW()-ROW($H$740))), $H$739, IF(G746&gt;0, G746-1, $H$739-1)))</f>
        <v>0</v>
      </c>
      <c r="I746" s="186">
        <f t="shared" si="177"/>
        <v>0</v>
      </c>
      <c r="J746" s="186">
        <f t="shared" si="177"/>
        <v>0</v>
      </c>
      <c r="K746" s="186">
        <f t="shared" si="177"/>
        <v>0</v>
      </c>
      <c r="L746" s="186">
        <f t="shared" si="177"/>
        <v>0</v>
      </c>
      <c r="M746" s="186">
        <f t="shared" si="177"/>
        <v>0</v>
      </c>
      <c r="N746" s="186">
        <f t="shared" si="177"/>
        <v>7</v>
      </c>
      <c r="O746" s="186">
        <f t="shared" si="177"/>
        <v>6</v>
      </c>
      <c r="P746" s="186">
        <f t="shared" si="177"/>
        <v>5</v>
      </c>
      <c r="Q746" s="186">
        <f t="shared" si="177"/>
        <v>4</v>
      </c>
      <c r="R746" s="186">
        <f t="shared" si="177"/>
        <v>3</v>
      </c>
      <c r="S746" s="186">
        <f t="shared" si="177"/>
        <v>2</v>
      </c>
      <c r="T746" s="1"/>
      <c r="U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S747" si="178">IF(COLUMN() &lt; (COLUMN($H$740) + (ROW()-ROW($H$740))), 0, IF(COLUMN() = (COLUMN($H$740) + (ROW()-ROW($H$740))), $H$739, IF(G747&gt;0, G747-1, $H$739-1)))</f>
        <v>0</v>
      </c>
      <c r="I747" s="186">
        <f t="shared" si="178"/>
        <v>0</v>
      </c>
      <c r="J747" s="186">
        <f t="shared" si="178"/>
        <v>0</v>
      </c>
      <c r="K747" s="186">
        <f t="shared" si="178"/>
        <v>0</v>
      </c>
      <c r="L747" s="186">
        <f t="shared" si="178"/>
        <v>0</v>
      </c>
      <c r="M747" s="186">
        <f t="shared" si="178"/>
        <v>0</v>
      </c>
      <c r="N747" s="186">
        <f t="shared" si="178"/>
        <v>0</v>
      </c>
      <c r="O747" s="186">
        <f t="shared" si="178"/>
        <v>7</v>
      </c>
      <c r="P747" s="186">
        <f t="shared" si="178"/>
        <v>6</v>
      </c>
      <c r="Q747" s="186">
        <f t="shared" si="178"/>
        <v>5</v>
      </c>
      <c r="R747" s="186">
        <f t="shared" si="178"/>
        <v>4</v>
      </c>
      <c r="S747" s="186">
        <f t="shared" si="178"/>
        <v>3</v>
      </c>
      <c r="T747" s="1"/>
      <c r="U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S748" si="179">IF(COLUMN() &lt; (COLUMN($H$740) + (ROW()-ROW($H$740))), 0, IF(COLUMN() = (COLUMN($H$740) + (ROW()-ROW($H$740))), $H$739, IF(G748&gt;0, G748-1, $H$739-1)))</f>
        <v>0</v>
      </c>
      <c r="I748" s="186">
        <f t="shared" si="179"/>
        <v>0</v>
      </c>
      <c r="J748" s="186">
        <f t="shared" si="179"/>
        <v>0</v>
      </c>
      <c r="K748" s="186">
        <f t="shared" si="179"/>
        <v>0</v>
      </c>
      <c r="L748" s="186">
        <f t="shared" si="179"/>
        <v>0</v>
      </c>
      <c r="M748" s="186">
        <f t="shared" si="179"/>
        <v>0</v>
      </c>
      <c r="N748" s="186">
        <f t="shared" si="179"/>
        <v>0</v>
      </c>
      <c r="O748" s="186">
        <f t="shared" si="179"/>
        <v>0</v>
      </c>
      <c r="P748" s="186">
        <f t="shared" si="179"/>
        <v>7</v>
      </c>
      <c r="Q748" s="186">
        <f t="shared" si="179"/>
        <v>6</v>
      </c>
      <c r="R748" s="186">
        <f t="shared" si="179"/>
        <v>5</v>
      </c>
      <c r="S748" s="186">
        <f t="shared" si="179"/>
        <v>4</v>
      </c>
      <c r="T748" s="1"/>
      <c r="U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S749" si="180">IF(COLUMN() &lt; (COLUMN($H$740) + (ROW()-ROW($H$740))), 0, IF(COLUMN() = (COLUMN($H$740) + (ROW()-ROW($H$740))), $H$739, IF(G749&gt;0, G749-1, $H$739-1)))</f>
        <v>0</v>
      </c>
      <c r="I749" s="186">
        <f t="shared" si="180"/>
        <v>0</v>
      </c>
      <c r="J749" s="186">
        <f t="shared" si="180"/>
        <v>0</v>
      </c>
      <c r="K749" s="186">
        <f t="shared" si="180"/>
        <v>0</v>
      </c>
      <c r="L749" s="186">
        <f t="shared" si="180"/>
        <v>0</v>
      </c>
      <c r="M749" s="186">
        <f t="shared" si="180"/>
        <v>0</v>
      </c>
      <c r="N749" s="186">
        <f t="shared" si="180"/>
        <v>0</v>
      </c>
      <c r="O749" s="186">
        <f t="shared" si="180"/>
        <v>0</v>
      </c>
      <c r="P749" s="186">
        <f t="shared" si="180"/>
        <v>0</v>
      </c>
      <c r="Q749" s="186">
        <f t="shared" si="180"/>
        <v>7</v>
      </c>
      <c r="R749" s="186">
        <f t="shared" si="180"/>
        <v>6</v>
      </c>
      <c r="S749" s="186">
        <f t="shared" si="180"/>
        <v>5</v>
      </c>
      <c r="T749" s="1"/>
      <c r="U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S750" si="181">IF(COLUMN() &lt; (COLUMN($H$740) + (ROW()-ROW($H$740))), 0, IF(COLUMN() = (COLUMN($H$740) + (ROW()-ROW($H$740))), $H$739, IF(G750&gt;0, G750-1, $H$739-1)))</f>
        <v>0</v>
      </c>
      <c r="I750" s="186">
        <f t="shared" si="181"/>
        <v>0</v>
      </c>
      <c r="J750" s="186">
        <f t="shared" si="181"/>
        <v>0</v>
      </c>
      <c r="K750" s="186">
        <f t="shared" si="181"/>
        <v>0</v>
      </c>
      <c r="L750" s="186">
        <f t="shared" si="181"/>
        <v>0</v>
      </c>
      <c r="M750" s="186">
        <f t="shared" si="181"/>
        <v>0</v>
      </c>
      <c r="N750" s="186">
        <f t="shared" si="181"/>
        <v>0</v>
      </c>
      <c r="O750" s="186">
        <f t="shared" si="181"/>
        <v>0</v>
      </c>
      <c r="P750" s="186">
        <f t="shared" si="181"/>
        <v>0</v>
      </c>
      <c r="Q750" s="186">
        <f t="shared" si="181"/>
        <v>0</v>
      </c>
      <c r="R750" s="186">
        <f t="shared" si="181"/>
        <v>7</v>
      </c>
      <c r="S750" s="186">
        <f t="shared" si="181"/>
        <v>6</v>
      </c>
      <c r="T750" s="1"/>
      <c r="U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S751" si="182">IF(COLUMN() &lt; (COLUMN($H$740) + (ROW()-ROW($H$740))), 0, IF(COLUMN() = (COLUMN($H$740) + (ROW()-ROW($H$740))), $H$739, IF(G751&gt;0, G751-1, $H$739-1)))</f>
        <v>0</v>
      </c>
      <c r="I751" s="186">
        <f t="shared" si="182"/>
        <v>0</v>
      </c>
      <c r="J751" s="186">
        <f t="shared" si="182"/>
        <v>0</v>
      </c>
      <c r="K751" s="186">
        <f t="shared" si="182"/>
        <v>0</v>
      </c>
      <c r="L751" s="186">
        <f t="shared" si="182"/>
        <v>0</v>
      </c>
      <c r="M751" s="186">
        <f t="shared" si="182"/>
        <v>0</v>
      </c>
      <c r="N751" s="186">
        <f t="shared" si="182"/>
        <v>0</v>
      </c>
      <c r="O751" s="186">
        <f t="shared" si="182"/>
        <v>0</v>
      </c>
      <c r="P751" s="186">
        <f t="shared" si="182"/>
        <v>0</v>
      </c>
      <c r="Q751" s="186">
        <f t="shared" si="182"/>
        <v>0</v>
      </c>
      <c r="R751" s="186">
        <f t="shared" si="182"/>
        <v>0</v>
      </c>
      <c r="S751" s="186">
        <f t="shared" si="182"/>
        <v>7</v>
      </c>
      <c r="T751" s="1"/>
      <c r="U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"/>
      <c r="U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"/>
      <c r="U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S754" si="183">H755-H738</f>
        <v>0</v>
      </c>
      <c r="I754" s="184">
        <f t="shared" si="183"/>
        <v>0</v>
      </c>
      <c r="J754" s="184">
        <f t="shared" si="183"/>
        <v>0</v>
      </c>
      <c r="K754" s="184">
        <f t="shared" si="183"/>
        <v>0</v>
      </c>
      <c r="L754" s="184">
        <f t="shared" si="183"/>
        <v>0</v>
      </c>
      <c r="M754" s="184">
        <f t="shared" si="183"/>
        <v>0</v>
      </c>
      <c r="N754" s="184">
        <f t="shared" si="183"/>
        <v>0</v>
      </c>
      <c r="O754" s="184">
        <f t="shared" si="183"/>
        <v>583296</v>
      </c>
      <c r="P754" s="184">
        <f t="shared" si="183"/>
        <v>168000</v>
      </c>
      <c r="Q754" s="184">
        <f t="shared" si="183"/>
        <v>84000</v>
      </c>
      <c r="R754" s="184">
        <f t="shared" si="183"/>
        <v>75600</v>
      </c>
      <c r="S754" s="184">
        <f t="shared" si="183"/>
        <v>50400</v>
      </c>
      <c r="T754" s="1"/>
      <c r="U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S755" si="184">SUM(H756:H767)</f>
        <v>2916480</v>
      </c>
      <c r="I755" s="184">
        <f t="shared" si="184"/>
        <v>840000</v>
      </c>
      <c r="J755" s="184">
        <f t="shared" si="184"/>
        <v>420000</v>
      </c>
      <c r="K755" s="184">
        <f t="shared" si="184"/>
        <v>378000</v>
      </c>
      <c r="L755" s="184">
        <f t="shared" si="184"/>
        <v>252000</v>
      </c>
      <c r="M755" s="184">
        <f t="shared" si="184"/>
        <v>252000</v>
      </c>
      <c r="N755" s="184">
        <f t="shared" si="184"/>
        <v>168000</v>
      </c>
      <c r="O755" s="184">
        <f t="shared" si="184"/>
        <v>709296</v>
      </c>
      <c r="P755" s="184">
        <f t="shared" si="184"/>
        <v>252000</v>
      </c>
      <c r="Q755" s="184">
        <f t="shared" si="184"/>
        <v>84000</v>
      </c>
      <c r="R755" s="184">
        <f t="shared" si="184"/>
        <v>75600</v>
      </c>
      <c r="S755" s="184">
        <f t="shared" si="184"/>
        <v>50400</v>
      </c>
      <c r="T755" s="1"/>
      <c r="U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S756" si="185">IF(COLUMN() &lt; (COLUMN($H$756) + (ROW()-ROW($H$756))), 0, IF(COLUMN() = (COLUMN($H$756) + (ROW()-ROW($H$756))), INDEX($H$738:$S$738, 1, COLUMN()-COLUMN($H$738)+1), IF(H740=0, OFFSET(H756, 0, -$H$739) * $H$753, 0)))</f>
        <v>2916480</v>
      </c>
      <c r="I756" s="186">
        <f t="shared" si="185"/>
        <v>0</v>
      </c>
      <c r="J756" s="186">
        <f t="shared" si="185"/>
        <v>0</v>
      </c>
      <c r="K756" s="186">
        <f t="shared" si="185"/>
        <v>0</v>
      </c>
      <c r="L756" s="186">
        <f t="shared" si="185"/>
        <v>0</v>
      </c>
      <c r="M756" s="186">
        <f t="shared" si="185"/>
        <v>0</v>
      </c>
      <c r="N756" s="186">
        <f t="shared" si="185"/>
        <v>0</v>
      </c>
      <c r="O756" s="186">
        <f t="shared" si="185"/>
        <v>583296</v>
      </c>
      <c r="P756" s="186">
        <f t="shared" si="185"/>
        <v>0</v>
      </c>
      <c r="Q756" s="186">
        <f t="shared" si="185"/>
        <v>0</v>
      </c>
      <c r="R756" s="186">
        <f t="shared" si="185"/>
        <v>0</v>
      </c>
      <c r="S756" s="186">
        <f t="shared" si="185"/>
        <v>0</v>
      </c>
      <c r="T756" s="1"/>
      <c r="U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S757" si="186">IF(COLUMN() &lt; (COLUMN($H$756) + (ROW()-ROW($H$756))), 0, IF(COLUMN() = (COLUMN($H$756) + (ROW()-ROW($H$756))), INDEX($H$738:$S$738, 1, COLUMN()-COLUMN($H$738)+1), IF(H741=0, OFFSET(H757, 0, -$H$739) * $H$753, 0)))</f>
        <v>0</v>
      </c>
      <c r="I757" s="186">
        <f t="shared" si="186"/>
        <v>840000</v>
      </c>
      <c r="J757" s="186">
        <f t="shared" si="186"/>
        <v>0</v>
      </c>
      <c r="K757" s="186">
        <f t="shared" si="186"/>
        <v>0</v>
      </c>
      <c r="L757" s="186">
        <f t="shared" si="186"/>
        <v>0</v>
      </c>
      <c r="M757" s="186">
        <f t="shared" si="186"/>
        <v>0</v>
      </c>
      <c r="N757" s="186">
        <f t="shared" si="186"/>
        <v>0</v>
      </c>
      <c r="O757" s="186">
        <f t="shared" si="186"/>
        <v>0</v>
      </c>
      <c r="P757" s="186">
        <f t="shared" si="186"/>
        <v>168000</v>
      </c>
      <c r="Q757" s="186">
        <f t="shared" si="186"/>
        <v>0</v>
      </c>
      <c r="R757" s="186">
        <f t="shared" si="186"/>
        <v>0</v>
      </c>
      <c r="S757" s="186">
        <f t="shared" si="186"/>
        <v>0</v>
      </c>
      <c r="T757" s="1"/>
      <c r="U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S758" si="187">IF(COLUMN() &lt; (COLUMN($H$756) + (ROW()-ROW($H$756))), 0, IF(COLUMN() = (COLUMN($H$756) + (ROW()-ROW($H$756))), INDEX($H$738:$S$738, 1, COLUMN()-COLUMN($H$738)+1), IF(H742=0, OFFSET(H758, 0, -$H$739) * $H$753, 0)))</f>
        <v>0</v>
      </c>
      <c r="I758" s="186">
        <f t="shared" si="187"/>
        <v>0</v>
      </c>
      <c r="J758" s="186">
        <f t="shared" si="187"/>
        <v>420000</v>
      </c>
      <c r="K758" s="186">
        <f t="shared" si="187"/>
        <v>0</v>
      </c>
      <c r="L758" s="186">
        <f t="shared" si="187"/>
        <v>0</v>
      </c>
      <c r="M758" s="186">
        <f t="shared" si="187"/>
        <v>0</v>
      </c>
      <c r="N758" s="186">
        <f t="shared" si="187"/>
        <v>0</v>
      </c>
      <c r="O758" s="186">
        <f t="shared" si="187"/>
        <v>0</v>
      </c>
      <c r="P758" s="186">
        <f t="shared" si="187"/>
        <v>0</v>
      </c>
      <c r="Q758" s="186">
        <f t="shared" si="187"/>
        <v>84000</v>
      </c>
      <c r="R758" s="186">
        <f t="shared" si="187"/>
        <v>0</v>
      </c>
      <c r="S758" s="186">
        <f t="shared" si="187"/>
        <v>0</v>
      </c>
      <c r="T758" s="1"/>
      <c r="U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S759" si="188">IF(COLUMN() &lt; (COLUMN($H$756) + (ROW()-ROW($H$756))), 0, IF(COLUMN() = (COLUMN($H$756) + (ROW()-ROW($H$756))), INDEX($H$738:$S$738, 1, COLUMN()-COLUMN($H$738)+1), IF(H743=0, OFFSET(H759, 0, -$H$739) * $H$753, 0)))</f>
        <v>0</v>
      </c>
      <c r="I759" s="186">
        <f t="shared" si="188"/>
        <v>0</v>
      </c>
      <c r="J759" s="186">
        <f t="shared" si="188"/>
        <v>0</v>
      </c>
      <c r="K759" s="186">
        <f t="shared" si="188"/>
        <v>378000</v>
      </c>
      <c r="L759" s="186">
        <f t="shared" si="188"/>
        <v>0</v>
      </c>
      <c r="M759" s="186">
        <f t="shared" si="188"/>
        <v>0</v>
      </c>
      <c r="N759" s="186">
        <f t="shared" si="188"/>
        <v>0</v>
      </c>
      <c r="O759" s="186">
        <f t="shared" si="188"/>
        <v>0</v>
      </c>
      <c r="P759" s="186">
        <f t="shared" si="188"/>
        <v>0</v>
      </c>
      <c r="Q759" s="186">
        <f t="shared" si="188"/>
        <v>0</v>
      </c>
      <c r="R759" s="186">
        <f t="shared" si="188"/>
        <v>75600</v>
      </c>
      <c r="S759" s="186">
        <f t="shared" si="188"/>
        <v>0</v>
      </c>
      <c r="T759" s="1"/>
      <c r="U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S760" si="189">IF(COLUMN() &lt; (COLUMN($H$756) + (ROW()-ROW($H$756))), 0, IF(COLUMN() = (COLUMN($H$756) + (ROW()-ROW($H$756))), INDEX($H$738:$S$738, 1, COLUMN()-COLUMN($H$738)+1), IF(H744=0, OFFSET(H760, 0, -$H$739) * $H$753, 0)))</f>
        <v>0</v>
      </c>
      <c r="I760" s="186">
        <f t="shared" si="189"/>
        <v>0</v>
      </c>
      <c r="J760" s="186">
        <f t="shared" si="189"/>
        <v>0</v>
      </c>
      <c r="K760" s="186">
        <f t="shared" si="189"/>
        <v>0</v>
      </c>
      <c r="L760" s="186">
        <f t="shared" si="189"/>
        <v>252000</v>
      </c>
      <c r="M760" s="186">
        <f t="shared" si="189"/>
        <v>0</v>
      </c>
      <c r="N760" s="186">
        <f t="shared" si="189"/>
        <v>0</v>
      </c>
      <c r="O760" s="186">
        <f t="shared" si="189"/>
        <v>0</v>
      </c>
      <c r="P760" s="186">
        <f t="shared" si="189"/>
        <v>0</v>
      </c>
      <c r="Q760" s="186">
        <f t="shared" si="189"/>
        <v>0</v>
      </c>
      <c r="R760" s="186">
        <f t="shared" si="189"/>
        <v>0</v>
      </c>
      <c r="S760" s="186">
        <f t="shared" si="189"/>
        <v>50400</v>
      </c>
      <c r="T760" s="1"/>
      <c r="U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S761" si="190">IF(COLUMN() &lt; (COLUMN($H$756) + (ROW()-ROW($H$756))), 0, IF(COLUMN() = (COLUMN($H$756) + (ROW()-ROW($H$756))), INDEX($H$738:$S$738, 1, COLUMN()-COLUMN($H$738)+1), IF(H745=0, OFFSET(H761, 0, -$H$739) * $H$753, 0)))</f>
        <v>0</v>
      </c>
      <c r="I761" s="186">
        <f t="shared" si="190"/>
        <v>0</v>
      </c>
      <c r="J761" s="186">
        <f t="shared" si="190"/>
        <v>0</v>
      </c>
      <c r="K761" s="186">
        <f t="shared" si="190"/>
        <v>0</v>
      </c>
      <c r="L761" s="186">
        <f t="shared" si="190"/>
        <v>0</v>
      </c>
      <c r="M761" s="186">
        <f t="shared" si="190"/>
        <v>252000</v>
      </c>
      <c r="N761" s="186">
        <f t="shared" si="190"/>
        <v>0</v>
      </c>
      <c r="O761" s="186">
        <f t="shared" si="190"/>
        <v>0</v>
      </c>
      <c r="P761" s="186">
        <f t="shared" si="190"/>
        <v>0</v>
      </c>
      <c r="Q761" s="186">
        <f t="shared" si="190"/>
        <v>0</v>
      </c>
      <c r="R761" s="186">
        <f t="shared" si="190"/>
        <v>0</v>
      </c>
      <c r="S761" s="186">
        <f t="shared" si="190"/>
        <v>0</v>
      </c>
      <c r="T761" s="1"/>
      <c r="U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S762" si="191">IF(COLUMN() &lt; (COLUMN($H$756) + (ROW()-ROW($H$756))), 0, IF(COLUMN() = (COLUMN($H$756) + (ROW()-ROW($H$756))), INDEX($H$738:$S$738, 1, COLUMN()-COLUMN($H$738)+1), IF(H746=0, OFFSET(H762, 0, -$H$739) * $H$753, 0)))</f>
        <v>0</v>
      </c>
      <c r="I762" s="186">
        <f t="shared" si="191"/>
        <v>0</v>
      </c>
      <c r="J762" s="186">
        <f t="shared" si="191"/>
        <v>0</v>
      </c>
      <c r="K762" s="186">
        <f t="shared" si="191"/>
        <v>0</v>
      </c>
      <c r="L762" s="186">
        <f t="shared" si="191"/>
        <v>0</v>
      </c>
      <c r="M762" s="186">
        <f t="shared" si="191"/>
        <v>0</v>
      </c>
      <c r="N762" s="186">
        <f t="shared" si="191"/>
        <v>168000</v>
      </c>
      <c r="O762" s="186">
        <f t="shared" si="191"/>
        <v>0</v>
      </c>
      <c r="P762" s="186">
        <f t="shared" si="191"/>
        <v>0</v>
      </c>
      <c r="Q762" s="186">
        <f t="shared" si="191"/>
        <v>0</v>
      </c>
      <c r="R762" s="186">
        <f t="shared" si="191"/>
        <v>0</v>
      </c>
      <c r="S762" s="186">
        <f t="shared" si="191"/>
        <v>0</v>
      </c>
      <c r="T762" s="1"/>
      <c r="U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S763" si="192">IF(COLUMN() &lt; (COLUMN($H$756) + (ROW()-ROW($H$756))), 0, IF(COLUMN() = (COLUMN($H$756) + (ROW()-ROW($H$756))), INDEX($H$738:$S$738, 1, COLUMN()-COLUMN($H$738)+1), IF(H747=0, OFFSET(H763, 0, -$H$739) * $H$753, 0)))</f>
        <v>0</v>
      </c>
      <c r="I763" s="186">
        <f t="shared" si="192"/>
        <v>0</v>
      </c>
      <c r="J763" s="186">
        <f t="shared" si="192"/>
        <v>0</v>
      </c>
      <c r="K763" s="186">
        <f t="shared" si="192"/>
        <v>0</v>
      </c>
      <c r="L763" s="186">
        <f t="shared" si="192"/>
        <v>0</v>
      </c>
      <c r="M763" s="186">
        <f t="shared" si="192"/>
        <v>0</v>
      </c>
      <c r="N763" s="186">
        <f t="shared" si="192"/>
        <v>0</v>
      </c>
      <c r="O763" s="186">
        <f t="shared" si="192"/>
        <v>126000</v>
      </c>
      <c r="P763" s="186">
        <f t="shared" si="192"/>
        <v>0</v>
      </c>
      <c r="Q763" s="186">
        <f t="shared" si="192"/>
        <v>0</v>
      </c>
      <c r="R763" s="186">
        <f t="shared" si="192"/>
        <v>0</v>
      </c>
      <c r="S763" s="186">
        <f t="shared" si="192"/>
        <v>0</v>
      </c>
      <c r="T763" s="1"/>
      <c r="U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S764" si="193">IF(COLUMN() &lt; (COLUMN($H$756) + (ROW()-ROW($H$756))), 0, IF(COLUMN() = (COLUMN($H$756) + (ROW()-ROW($H$756))), INDEX($H$738:$S$738, 1, COLUMN()-COLUMN($H$738)+1), IF(H748=0, OFFSET(H764, 0, -$H$739) * $H$753, 0)))</f>
        <v>0</v>
      </c>
      <c r="I764" s="186">
        <f t="shared" si="193"/>
        <v>0</v>
      </c>
      <c r="J764" s="186">
        <f t="shared" si="193"/>
        <v>0</v>
      </c>
      <c r="K764" s="186">
        <f t="shared" si="193"/>
        <v>0</v>
      </c>
      <c r="L764" s="186">
        <f t="shared" si="193"/>
        <v>0</v>
      </c>
      <c r="M764" s="186">
        <f t="shared" si="193"/>
        <v>0</v>
      </c>
      <c r="N764" s="186">
        <f t="shared" si="193"/>
        <v>0</v>
      </c>
      <c r="O764" s="186">
        <f t="shared" si="193"/>
        <v>0</v>
      </c>
      <c r="P764" s="186">
        <f t="shared" si="193"/>
        <v>84000</v>
      </c>
      <c r="Q764" s="186">
        <f t="shared" si="193"/>
        <v>0</v>
      </c>
      <c r="R764" s="186">
        <f t="shared" si="193"/>
        <v>0</v>
      </c>
      <c r="S764" s="186">
        <f t="shared" si="193"/>
        <v>0</v>
      </c>
      <c r="T764" s="1"/>
      <c r="U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S765" si="194">IF(COLUMN() &lt; (COLUMN($H$756) + (ROW()-ROW($H$756))), 0, IF(COLUMN() = (COLUMN($H$756) + (ROW()-ROW($H$756))), INDEX($H$738:$S$738, 1, COLUMN()-COLUMN($H$738)+1), IF(H749=0, OFFSET(H765, 0, -$H$739) * $H$753, 0)))</f>
        <v>0</v>
      </c>
      <c r="I765" s="186">
        <f t="shared" si="194"/>
        <v>0</v>
      </c>
      <c r="J765" s="186">
        <f t="shared" si="194"/>
        <v>0</v>
      </c>
      <c r="K765" s="186">
        <f t="shared" si="194"/>
        <v>0</v>
      </c>
      <c r="L765" s="186">
        <f t="shared" si="194"/>
        <v>0</v>
      </c>
      <c r="M765" s="186">
        <f t="shared" si="194"/>
        <v>0</v>
      </c>
      <c r="N765" s="186">
        <f t="shared" si="194"/>
        <v>0</v>
      </c>
      <c r="O765" s="186">
        <f t="shared" si="194"/>
        <v>0</v>
      </c>
      <c r="P765" s="186">
        <f t="shared" si="194"/>
        <v>0</v>
      </c>
      <c r="Q765" s="186">
        <f t="shared" si="194"/>
        <v>0</v>
      </c>
      <c r="R765" s="186">
        <f t="shared" si="194"/>
        <v>0</v>
      </c>
      <c r="S765" s="186">
        <f t="shared" si="194"/>
        <v>0</v>
      </c>
      <c r="T765" s="1"/>
      <c r="U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S766" si="195">IF(COLUMN() &lt; (COLUMN($H$756) + (ROW()-ROW($H$756))), 0, IF(COLUMN() = (COLUMN($H$756) + (ROW()-ROW($H$756))), INDEX($H$738:$S$738, 1, COLUMN()-COLUMN($H$738)+1), IF(H750=0, OFFSET(H766, 0, -$H$739) * $H$753, 0)))</f>
        <v>0</v>
      </c>
      <c r="I766" s="186">
        <f t="shared" si="195"/>
        <v>0</v>
      </c>
      <c r="J766" s="186">
        <f t="shared" si="195"/>
        <v>0</v>
      </c>
      <c r="K766" s="186">
        <f t="shared" si="195"/>
        <v>0</v>
      </c>
      <c r="L766" s="186">
        <f t="shared" si="195"/>
        <v>0</v>
      </c>
      <c r="M766" s="186">
        <f t="shared" si="195"/>
        <v>0</v>
      </c>
      <c r="N766" s="186">
        <f t="shared" si="195"/>
        <v>0</v>
      </c>
      <c r="O766" s="186">
        <f t="shared" si="195"/>
        <v>0</v>
      </c>
      <c r="P766" s="186">
        <f t="shared" si="195"/>
        <v>0</v>
      </c>
      <c r="Q766" s="186">
        <f t="shared" si="195"/>
        <v>0</v>
      </c>
      <c r="R766" s="186">
        <f t="shared" si="195"/>
        <v>0</v>
      </c>
      <c r="S766" s="186">
        <f t="shared" si="195"/>
        <v>0</v>
      </c>
      <c r="T766" s="1"/>
      <c r="U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S767" si="196">IF(COLUMN() &lt; (COLUMN($H$756) + (ROW()-ROW($H$756))), 0, IF(COLUMN() = (COLUMN($H$756) + (ROW()-ROW($H$756))), INDEX($H$738:$S$738, 1, COLUMN()-COLUMN($H$738)+1), IF(H751=0, OFFSET(H767, 0, -$H$739) * $H$753, 0)))</f>
        <v>0</v>
      </c>
      <c r="I767" s="186">
        <f t="shared" si="196"/>
        <v>0</v>
      </c>
      <c r="J767" s="186">
        <f t="shared" si="196"/>
        <v>0</v>
      </c>
      <c r="K767" s="186">
        <f t="shared" si="196"/>
        <v>0</v>
      </c>
      <c r="L767" s="186">
        <f t="shared" si="196"/>
        <v>0</v>
      </c>
      <c r="M767" s="186">
        <f t="shared" si="196"/>
        <v>0</v>
      </c>
      <c r="N767" s="186">
        <f t="shared" si="196"/>
        <v>0</v>
      </c>
      <c r="O767" s="186">
        <f t="shared" si="196"/>
        <v>0</v>
      </c>
      <c r="P767" s="186">
        <f t="shared" si="196"/>
        <v>0</v>
      </c>
      <c r="Q767" s="186">
        <f t="shared" si="196"/>
        <v>0</v>
      </c>
      <c r="R767" s="186">
        <f t="shared" si="196"/>
        <v>0</v>
      </c>
      <c r="S767" s="186">
        <f t="shared" si="196"/>
        <v>0</v>
      </c>
      <c r="T767" s="1"/>
      <c r="U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S768" si="197">IF(COLUMN() &lt; (COLUMN($H$756) + (ROW()-ROW($H$756))), 0, IF(COLUMN() = (COLUMN($H$756) + (ROW()-ROW($H$756))), INDEX($H$738:$S$738, 1, COLUMN()-COLUMN($H$738)+1), IF(H753=0, OFFSET(H768, 0, -$H$739) * $H$753, 0)))</f>
        <v>0</v>
      </c>
      <c r="I768" s="186">
        <f t="shared" si="197"/>
        <v>0</v>
      </c>
      <c r="J768" s="186">
        <f t="shared" si="197"/>
        <v>0</v>
      </c>
      <c r="K768" s="186">
        <f t="shared" si="197"/>
        <v>0</v>
      </c>
      <c r="L768" s="186">
        <f t="shared" si="197"/>
        <v>0</v>
      </c>
      <c r="M768" s="186">
        <f t="shared" si="197"/>
        <v>0</v>
      </c>
      <c r="N768" s="186">
        <f t="shared" si="197"/>
        <v>0</v>
      </c>
      <c r="O768" s="186">
        <f t="shared" si="197"/>
        <v>0</v>
      </c>
      <c r="P768" s="186">
        <f t="shared" si="197"/>
        <v>0</v>
      </c>
      <c r="Q768" s="186">
        <f t="shared" si="197"/>
        <v>0</v>
      </c>
      <c r="R768" s="186">
        <f t="shared" si="197"/>
        <v>0</v>
      </c>
      <c r="S768" s="186">
        <f t="shared" si="197"/>
        <v>0</v>
      </c>
      <c r="T768" s="192"/>
      <c r="U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92"/>
      <c r="U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S770" si="198">H774</f>
        <v>0</v>
      </c>
      <c r="I770" s="188">
        <f t="shared" si="198"/>
        <v>0</v>
      </c>
      <c r="J770" s="188">
        <f t="shared" si="198"/>
        <v>0</v>
      </c>
      <c r="K770" s="188">
        <f t="shared" si="198"/>
        <v>0</v>
      </c>
      <c r="L770" s="188">
        <f t="shared" si="198"/>
        <v>0</v>
      </c>
      <c r="M770" s="188">
        <f t="shared" si="198"/>
        <v>0</v>
      </c>
      <c r="N770" s="188">
        <f t="shared" si="198"/>
        <v>0</v>
      </c>
      <c r="O770" s="188">
        <f t="shared" si="198"/>
        <v>0</v>
      </c>
      <c r="P770" s="188">
        <f t="shared" si="198"/>
        <v>0</v>
      </c>
      <c r="Q770" s="188">
        <f t="shared" si="198"/>
        <v>0</v>
      </c>
      <c r="R770" s="188">
        <f t="shared" si="198"/>
        <v>0</v>
      </c>
      <c r="S770" s="188">
        <f t="shared" si="198"/>
        <v>0</v>
      </c>
      <c r="T770" s="192"/>
      <c r="U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S771" si="199">H771</f>
        <v>0</v>
      </c>
      <c r="J771" s="190">
        <f t="shared" si="199"/>
        <v>0</v>
      </c>
      <c r="K771" s="190">
        <f t="shared" si="199"/>
        <v>0</v>
      </c>
      <c r="L771" s="190">
        <f t="shared" si="199"/>
        <v>0</v>
      </c>
      <c r="M771" s="190">
        <f t="shared" si="199"/>
        <v>0</v>
      </c>
      <c r="N771" s="190">
        <f t="shared" si="199"/>
        <v>0</v>
      </c>
      <c r="O771" s="190">
        <f t="shared" si="199"/>
        <v>0</v>
      </c>
      <c r="P771" s="190">
        <f t="shared" si="199"/>
        <v>0</v>
      </c>
      <c r="Q771" s="190">
        <f t="shared" si="199"/>
        <v>0</v>
      </c>
      <c r="R771" s="190">
        <f t="shared" si="199"/>
        <v>0</v>
      </c>
      <c r="S771" s="190">
        <f t="shared" si="199"/>
        <v>0</v>
      </c>
      <c r="T771" s="192"/>
      <c r="U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S772" si="200">H772*H773</f>
        <v>0</v>
      </c>
      <c r="J772" s="188">
        <f t="shared" si="200"/>
        <v>0</v>
      </c>
      <c r="K772" s="188">
        <f t="shared" si="200"/>
        <v>0</v>
      </c>
      <c r="L772" s="188">
        <f t="shared" si="200"/>
        <v>0</v>
      </c>
      <c r="M772" s="188">
        <f t="shared" si="200"/>
        <v>0</v>
      </c>
      <c r="N772" s="188">
        <f t="shared" si="200"/>
        <v>0</v>
      </c>
      <c r="O772" s="188">
        <f t="shared" si="200"/>
        <v>0</v>
      </c>
      <c r="P772" s="188">
        <f t="shared" si="200"/>
        <v>0</v>
      </c>
      <c r="Q772" s="188">
        <f t="shared" si="200"/>
        <v>0</v>
      </c>
      <c r="R772" s="188">
        <f t="shared" si="200"/>
        <v>0</v>
      </c>
      <c r="S772" s="188">
        <f t="shared" si="200"/>
        <v>0</v>
      </c>
      <c r="T772" s="192"/>
      <c r="U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54">
        <v>0.0</v>
      </c>
      <c r="N773" s="154">
        <v>0.0</v>
      </c>
      <c r="O773" s="154">
        <v>0.0</v>
      </c>
      <c r="P773" s="154">
        <v>0.0</v>
      </c>
      <c r="Q773" s="154">
        <v>0.0</v>
      </c>
      <c r="R773" s="154">
        <v>0.0</v>
      </c>
      <c r="S773" s="154">
        <v>0.0</v>
      </c>
      <c r="T773" s="192"/>
      <c r="U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4">
        <f t="shared" ref="H774:S774" si="201">H771*G772</f>
        <v>0</v>
      </c>
      <c r="I774" s="184">
        <f t="shared" si="201"/>
        <v>0</v>
      </c>
      <c r="J774" s="184">
        <f t="shared" si="201"/>
        <v>0</v>
      </c>
      <c r="K774" s="184">
        <f t="shared" si="201"/>
        <v>0</v>
      </c>
      <c r="L774" s="184">
        <f t="shared" si="201"/>
        <v>0</v>
      </c>
      <c r="M774" s="184">
        <f t="shared" si="201"/>
        <v>0</v>
      </c>
      <c r="N774" s="184">
        <f t="shared" si="201"/>
        <v>0</v>
      </c>
      <c r="O774" s="184">
        <f t="shared" si="201"/>
        <v>0</v>
      </c>
      <c r="P774" s="184">
        <f t="shared" si="201"/>
        <v>0</v>
      </c>
      <c r="Q774" s="184">
        <f t="shared" si="201"/>
        <v>0</v>
      </c>
      <c r="R774" s="184">
        <f t="shared" si="201"/>
        <v>0</v>
      </c>
      <c r="S774" s="184">
        <f t="shared" si="201"/>
        <v>0</v>
      </c>
      <c r="T774" s="192"/>
      <c r="U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2"/>
      <c r="U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2"/>
      <c r="U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"/>
      <c r="U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"/>
      <c r="U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S779" si="202">SUM(H782,H785,H788,H791,H794)</f>
        <v>0</v>
      </c>
      <c r="I779" s="173">
        <f t="shared" si="202"/>
        <v>3682000</v>
      </c>
      <c r="J779" s="173">
        <f t="shared" si="202"/>
        <v>2386000</v>
      </c>
      <c r="K779" s="173">
        <f t="shared" si="202"/>
        <v>1704000</v>
      </c>
      <c r="L779" s="173">
        <f t="shared" si="202"/>
        <v>1154000</v>
      </c>
      <c r="M779" s="173">
        <f t="shared" si="202"/>
        <v>2416000</v>
      </c>
      <c r="N779" s="173">
        <f t="shared" si="202"/>
        <v>790000</v>
      </c>
      <c r="O779" s="173">
        <f t="shared" si="202"/>
        <v>578000</v>
      </c>
      <c r="P779" s="173">
        <f t="shared" si="202"/>
        <v>1771000</v>
      </c>
      <c r="Q779" s="173">
        <f t="shared" si="202"/>
        <v>0</v>
      </c>
      <c r="R779" s="173">
        <f t="shared" si="202"/>
        <v>0</v>
      </c>
      <c r="S779" s="173">
        <f t="shared" si="202"/>
        <v>1323000</v>
      </c>
      <c r="T779" s="196">
        <f>SUM(H779:S779)</f>
        <v>15804000</v>
      </c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76" t="s">
        <v>287</v>
      </c>
      <c r="D781" s="176" t="s">
        <v>288</v>
      </c>
      <c r="E781" s="1"/>
      <c r="F781" s="1"/>
      <c r="G781" s="128"/>
      <c r="H781" s="128">
        <f t="shared" ref="H781:T781" si="203">IFERROR(H782/H$779,0)</f>
        <v>0</v>
      </c>
      <c r="I781" s="128">
        <f t="shared" si="203"/>
        <v>0.4291146116</v>
      </c>
      <c r="J781" s="128">
        <f t="shared" si="203"/>
        <v>0.4719195306</v>
      </c>
      <c r="K781" s="128">
        <f t="shared" si="203"/>
        <v>0.4295774648</v>
      </c>
      <c r="L781" s="128">
        <f t="shared" si="203"/>
        <v>0.4298093588</v>
      </c>
      <c r="M781" s="128">
        <f t="shared" si="203"/>
        <v>0.5074503311</v>
      </c>
      <c r="N781" s="128">
        <f t="shared" si="203"/>
        <v>0.4303797468</v>
      </c>
      <c r="O781" s="128">
        <f t="shared" si="203"/>
        <v>0.4290657439</v>
      </c>
      <c r="P781" s="128">
        <f t="shared" si="203"/>
        <v>0.5482778091</v>
      </c>
      <c r="Q781" s="128">
        <f t="shared" si="203"/>
        <v>0</v>
      </c>
      <c r="R781" s="128">
        <f t="shared" si="203"/>
        <v>0</v>
      </c>
      <c r="S781" s="128">
        <f t="shared" si="203"/>
        <v>0.5857898715</v>
      </c>
      <c r="T781" s="128">
        <f t="shared" si="203"/>
        <v>0.4741837509</v>
      </c>
      <c r="U781" s="1"/>
    </row>
    <row r="782">
      <c r="A782" s="1"/>
      <c r="B782" s="1"/>
      <c r="C782" s="176" t="s">
        <v>285</v>
      </c>
      <c r="D782" s="176" t="s">
        <v>289</v>
      </c>
      <c r="E782" s="1"/>
      <c r="F782" s="1"/>
      <c r="G782" s="173"/>
      <c r="H782" s="173">
        <f t="shared" ref="H782:S782" si="204">SUM(H827,H872,H917,H963,H1008)</f>
        <v>0</v>
      </c>
      <c r="I782" s="173">
        <f t="shared" si="204"/>
        <v>1580000</v>
      </c>
      <c r="J782" s="173">
        <f t="shared" si="204"/>
        <v>1126000</v>
      </c>
      <c r="K782" s="173">
        <f t="shared" si="204"/>
        <v>732000</v>
      </c>
      <c r="L782" s="173">
        <f t="shared" si="204"/>
        <v>496000</v>
      </c>
      <c r="M782" s="173">
        <f t="shared" si="204"/>
        <v>1226000</v>
      </c>
      <c r="N782" s="173">
        <f t="shared" si="204"/>
        <v>340000</v>
      </c>
      <c r="O782" s="173">
        <f t="shared" si="204"/>
        <v>248000</v>
      </c>
      <c r="P782" s="173">
        <f t="shared" si="204"/>
        <v>971000</v>
      </c>
      <c r="Q782" s="173">
        <f t="shared" si="204"/>
        <v>0</v>
      </c>
      <c r="R782" s="173">
        <f t="shared" si="204"/>
        <v>0</v>
      </c>
      <c r="S782" s="173">
        <f t="shared" si="204"/>
        <v>775000</v>
      </c>
      <c r="T782" s="196">
        <f>SUM(H782:S782)</f>
        <v>7494000</v>
      </c>
      <c r="U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"/>
      <c r="U783" s="1"/>
    </row>
    <row r="784">
      <c r="A784" s="1"/>
      <c r="B784" s="1"/>
      <c r="C784" s="176" t="s">
        <v>287</v>
      </c>
      <c r="D784" s="176" t="s">
        <v>290</v>
      </c>
      <c r="E784" s="1"/>
      <c r="F784" s="1"/>
      <c r="G784" s="128"/>
      <c r="H784" s="128">
        <f t="shared" ref="H784:T784" si="205">IFERROR(H785/H$779,0)</f>
        <v>0</v>
      </c>
      <c r="I784" s="128">
        <f t="shared" si="205"/>
        <v>0.3101575231</v>
      </c>
      <c r="J784" s="128">
        <f t="shared" si="205"/>
        <v>0.2849958089</v>
      </c>
      <c r="K784" s="128">
        <f t="shared" si="205"/>
        <v>0.3098591549</v>
      </c>
      <c r="L784" s="128">
        <f t="shared" si="205"/>
        <v>0.3154246101</v>
      </c>
      <c r="M784" s="128">
        <f t="shared" si="205"/>
        <v>0.2293046358</v>
      </c>
      <c r="N784" s="128">
        <f t="shared" si="205"/>
        <v>0.3113924051</v>
      </c>
      <c r="O784" s="128">
        <f t="shared" si="205"/>
        <v>0.3114186851</v>
      </c>
      <c r="P784" s="128">
        <f t="shared" si="205"/>
        <v>0.2055335968</v>
      </c>
      <c r="Q784" s="128">
        <f t="shared" si="205"/>
        <v>0</v>
      </c>
      <c r="R784" s="128">
        <f t="shared" si="205"/>
        <v>0</v>
      </c>
      <c r="S784" s="128">
        <f t="shared" si="205"/>
        <v>0.1662887377</v>
      </c>
      <c r="T784" s="128">
        <f t="shared" si="205"/>
        <v>0.2706909643</v>
      </c>
      <c r="U784" s="1"/>
    </row>
    <row r="785">
      <c r="A785" s="1"/>
      <c r="B785" s="1"/>
      <c r="C785" s="176" t="s">
        <v>285</v>
      </c>
      <c r="D785" s="176" t="s">
        <v>291</v>
      </c>
      <c r="E785" s="1"/>
      <c r="F785" s="1"/>
      <c r="G785" s="173"/>
      <c r="H785" s="173">
        <f t="shared" ref="H785:S785" si="206">SUM(H830,H875,H920,H966,H1011)</f>
        <v>0</v>
      </c>
      <c r="I785" s="173">
        <f t="shared" si="206"/>
        <v>1142000</v>
      </c>
      <c r="J785" s="173">
        <f t="shared" si="206"/>
        <v>680000</v>
      </c>
      <c r="K785" s="173">
        <f t="shared" si="206"/>
        <v>528000</v>
      </c>
      <c r="L785" s="173">
        <f t="shared" si="206"/>
        <v>364000</v>
      </c>
      <c r="M785" s="173">
        <f t="shared" si="206"/>
        <v>554000</v>
      </c>
      <c r="N785" s="173">
        <f t="shared" si="206"/>
        <v>246000</v>
      </c>
      <c r="O785" s="173">
        <f t="shared" si="206"/>
        <v>180000</v>
      </c>
      <c r="P785" s="173">
        <f t="shared" si="206"/>
        <v>364000</v>
      </c>
      <c r="Q785" s="173">
        <f t="shared" si="206"/>
        <v>0</v>
      </c>
      <c r="R785" s="173">
        <f t="shared" si="206"/>
        <v>0</v>
      </c>
      <c r="S785" s="173">
        <f t="shared" si="206"/>
        <v>220000</v>
      </c>
      <c r="T785" s="196">
        <f>SUM(H785:S785)</f>
        <v>4278000</v>
      </c>
      <c r="U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"/>
      <c r="U786" s="1"/>
    </row>
    <row r="787">
      <c r="A787" s="1"/>
      <c r="B787" s="1"/>
      <c r="C787" s="176" t="s">
        <v>287</v>
      </c>
      <c r="D787" s="13" t="s">
        <v>292</v>
      </c>
      <c r="E787" s="1"/>
      <c r="F787" s="1"/>
      <c r="G787" s="128"/>
      <c r="H787" s="128">
        <f t="shared" ref="H787:T787" si="207">IFERROR(H788/H$779,0)</f>
        <v>0</v>
      </c>
      <c r="I787" s="128">
        <f t="shared" si="207"/>
        <v>0.03259098316</v>
      </c>
      <c r="J787" s="128">
        <f t="shared" si="207"/>
        <v>0.03688181056</v>
      </c>
      <c r="K787" s="128">
        <f t="shared" si="207"/>
        <v>0.03873239437</v>
      </c>
      <c r="L787" s="128">
        <f t="shared" si="207"/>
        <v>0.03639514731</v>
      </c>
      <c r="M787" s="128">
        <f t="shared" si="207"/>
        <v>0.03973509934</v>
      </c>
      <c r="N787" s="128">
        <f t="shared" si="207"/>
        <v>0.04556962025</v>
      </c>
      <c r="O787" s="128">
        <f t="shared" si="207"/>
        <v>0.04152249135</v>
      </c>
      <c r="P787" s="128">
        <f t="shared" si="207"/>
        <v>0.03613777527</v>
      </c>
      <c r="Q787" s="128">
        <f t="shared" si="207"/>
        <v>0</v>
      </c>
      <c r="R787" s="128">
        <f t="shared" si="207"/>
        <v>0</v>
      </c>
      <c r="S787" s="128">
        <f t="shared" si="207"/>
        <v>0.03023431595</v>
      </c>
      <c r="T787" s="128">
        <f t="shared" si="207"/>
        <v>0.03644646925</v>
      </c>
      <c r="U787" s="1"/>
    </row>
    <row r="788" ht="18.0" customHeight="1">
      <c r="A788" s="1"/>
      <c r="B788" s="1"/>
      <c r="C788" s="176" t="s">
        <v>285</v>
      </c>
      <c r="D788" s="13" t="s">
        <v>293</v>
      </c>
      <c r="E788" s="1"/>
      <c r="F788" s="1"/>
      <c r="G788" s="173"/>
      <c r="H788" s="173">
        <f t="shared" ref="H788:S788" si="208">SUM(H833,H878,H923)</f>
        <v>0</v>
      </c>
      <c r="I788" s="173">
        <f t="shared" si="208"/>
        <v>120000</v>
      </c>
      <c r="J788" s="173">
        <f t="shared" si="208"/>
        <v>88000</v>
      </c>
      <c r="K788" s="173">
        <f t="shared" si="208"/>
        <v>66000</v>
      </c>
      <c r="L788" s="173">
        <f t="shared" si="208"/>
        <v>42000</v>
      </c>
      <c r="M788" s="173">
        <f t="shared" si="208"/>
        <v>96000</v>
      </c>
      <c r="N788" s="173">
        <f t="shared" si="208"/>
        <v>36000</v>
      </c>
      <c r="O788" s="173">
        <f t="shared" si="208"/>
        <v>24000</v>
      </c>
      <c r="P788" s="173">
        <f t="shared" si="208"/>
        <v>64000</v>
      </c>
      <c r="Q788" s="173">
        <f t="shared" si="208"/>
        <v>0</v>
      </c>
      <c r="R788" s="173">
        <f t="shared" si="208"/>
        <v>0</v>
      </c>
      <c r="S788" s="173">
        <f t="shared" si="208"/>
        <v>40000</v>
      </c>
      <c r="T788" s="196">
        <f>SUM(H788:S788)</f>
        <v>576000</v>
      </c>
      <c r="U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"/>
      <c r="U789" s="1"/>
    </row>
    <row r="790">
      <c r="A790" s="1"/>
      <c r="B790" s="1"/>
      <c r="C790" s="176" t="s">
        <v>287</v>
      </c>
      <c r="D790" s="13" t="s">
        <v>294</v>
      </c>
      <c r="E790" s="1"/>
      <c r="F790" s="1"/>
      <c r="G790" s="128"/>
      <c r="H790" s="128">
        <f t="shared" ref="H790:T790" si="209">IFERROR(H791/H$779,0)</f>
        <v>0</v>
      </c>
      <c r="I790" s="128">
        <f t="shared" si="209"/>
        <v>0.2281368821</v>
      </c>
      <c r="J790" s="128">
        <f t="shared" si="209"/>
        <v>0.20620285</v>
      </c>
      <c r="K790" s="128">
        <f t="shared" si="209"/>
        <v>0.2218309859</v>
      </c>
      <c r="L790" s="128">
        <f t="shared" si="209"/>
        <v>0.2183708839</v>
      </c>
      <c r="M790" s="128">
        <f t="shared" si="209"/>
        <v>0.2235099338</v>
      </c>
      <c r="N790" s="128">
        <f t="shared" si="209"/>
        <v>0.2126582278</v>
      </c>
      <c r="O790" s="128">
        <f t="shared" si="209"/>
        <v>0.2179930796</v>
      </c>
      <c r="P790" s="128">
        <f t="shared" si="209"/>
        <v>0.2100508187</v>
      </c>
      <c r="Q790" s="128">
        <f t="shared" si="209"/>
        <v>0</v>
      </c>
      <c r="R790" s="128">
        <f t="shared" si="209"/>
        <v>0</v>
      </c>
      <c r="S790" s="128">
        <f t="shared" si="209"/>
        <v>0.2176870748</v>
      </c>
      <c r="T790" s="128">
        <f t="shared" si="209"/>
        <v>0.2186788155</v>
      </c>
      <c r="U790" s="1"/>
    </row>
    <row r="791" ht="18.0" customHeight="1">
      <c r="A791" s="1"/>
      <c r="B791" s="1"/>
      <c r="C791" s="176" t="s">
        <v>285</v>
      </c>
      <c r="D791" s="13" t="s">
        <v>295</v>
      </c>
      <c r="E791" s="1"/>
      <c r="F791" s="1"/>
      <c r="G791" s="173"/>
      <c r="H791" s="173">
        <f t="shared" ref="H791:S791" si="210">SUM(H836,H881,H926)</f>
        <v>0</v>
      </c>
      <c r="I791" s="173">
        <f t="shared" si="210"/>
        <v>840000</v>
      </c>
      <c r="J791" s="173">
        <f t="shared" si="210"/>
        <v>492000</v>
      </c>
      <c r="K791" s="173">
        <f t="shared" si="210"/>
        <v>378000</v>
      </c>
      <c r="L791" s="173">
        <f t="shared" si="210"/>
        <v>252000</v>
      </c>
      <c r="M791" s="173">
        <f t="shared" si="210"/>
        <v>540000</v>
      </c>
      <c r="N791" s="173">
        <f t="shared" si="210"/>
        <v>168000</v>
      </c>
      <c r="O791" s="173">
        <f t="shared" si="210"/>
        <v>126000</v>
      </c>
      <c r="P791" s="173">
        <f t="shared" si="210"/>
        <v>372000</v>
      </c>
      <c r="Q791" s="173">
        <f t="shared" si="210"/>
        <v>0</v>
      </c>
      <c r="R791" s="173">
        <f t="shared" si="210"/>
        <v>0</v>
      </c>
      <c r="S791" s="173">
        <f t="shared" si="210"/>
        <v>288000</v>
      </c>
      <c r="T791" s="196">
        <f>SUM(H791:S791)</f>
        <v>3456000</v>
      </c>
      <c r="U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"/>
      <c r="U792" s="1"/>
    </row>
    <row r="793">
      <c r="A793" s="1"/>
      <c r="B793" s="1"/>
      <c r="C793" s="176" t="s">
        <v>287</v>
      </c>
      <c r="D793" s="176" t="s">
        <v>296</v>
      </c>
      <c r="E793" s="1"/>
      <c r="F793" s="1"/>
      <c r="G793" s="128"/>
      <c r="H793" s="128">
        <f t="shared" ref="H793:T793" si="211">IFERROR(H794/H$779,0)</f>
        <v>0</v>
      </c>
      <c r="I793" s="128">
        <f t="shared" si="211"/>
        <v>0</v>
      </c>
      <c r="J793" s="128">
        <f t="shared" si="211"/>
        <v>0</v>
      </c>
      <c r="K793" s="128">
        <f t="shared" si="211"/>
        <v>0</v>
      </c>
      <c r="L793" s="128">
        <f t="shared" si="211"/>
        <v>0</v>
      </c>
      <c r="M793" s="128">
        <f t="shared" si="211"/>
        <v>0</v>
      </c>
      <c r="N793" s="128">
        <f t="shared" si="211"/>
        <v>0</v>
      </c>
      <c r="O793" s="128">
        <f t="shared" si="211"/>
        <v>0</v>
      </c>
      <c r="P793" s="128">
        <f t="shared" si="211"/>
        <v>0</v>
      </c>
      <c r="Q793" s="128">
        <f t="shared" si="211"/>
        <v>0</v>
      </c>
      <c r="R793" s="128">
        <f t="shared" si="211"/>
        <v>0</v>
      </c>
      <c r="S793" s="128">
        <f t="shared" si="211"/>
        <v>0</v>
      </c>
      <c r="T793" s="128">
        <f t="shared" si="211"/>
        <v>0</v>
      </c>
      <c r="U793" s="1"/>
    </row>
    <row r="794">
      <c r="A794" s="1"/>
      <c r="B794" s="1"/>
      <c r="C794" s="176" t="s">
        <v>285</v>
      </c>
      <c r="D794" s="176" t="s">
        <v>297</v>
      </c>
      <c r="E794" s="1"/>
      <c r="F794" s="1"/>
      <c r="G794" s="173"/>
      <c r="H794" s="173">
        <f t="shared" ref="H794:S794" si="212">SUM(H839,H884,H929)</f>
        <v>0</v>
      </c>
      <c r="I794" s="173">
        <f t="shared" si="212"/>
        <v>0</v>
      </c>
      <c r="J794" s="173">
        <f t="shared" si="212"/>
        <v>0</v>
      </c>
      <c r="K794" s="173">
        <f t="shared" si="212"/>
        <v>0</v>
      </c>
      <c r="L794" s="173">
        <f t="shared" si="212"/>
        <v>0</v>
      </c>
      <c r="M794" s="173">
        <f t="shared" si="212"/>
        <v>0</v>
      </c>
      <c r="N794" s="173">
        <f t="shared" si="212"/>
        <v>0</v>
      </c>
      <c r="O794" s="173">
        <f t="shared" si="212"/>
        <v>0</v>
      </c>
      <c r="P794" s="173">
        <f t="shared" si="212"/>
        <v>0</v>
      </c>
      <c r="Q794" s="173">
        <f t="shared" si="212"/>
        <v>0</v>
      </c>
      <c r="R794" s="173">
        <f t="shared" si="212"/>
        <v>0</v>
      </c>
      <c r="S794" s="173">
        <f t="shared" si="212"/>
        <v>0</v>
      </c>
      <c r="T794" s="196">
        <f>SUM(H794:S794)</f>
        <v>0</v>
      </c>
      <c r="U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"/>
      <c r="U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60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28</v>
      </c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8"/>
      <c r="U797" s="160"/>
    </row>
    <row r="798">
      <c r="A798" s="160"/>
      <c r="B798" s="160"/>
      <c r="C798" s="160"/>
      <c r="D798" s="160"/>
      <c r="E798" s="1" t="s">
        <v>138</v>
      </c>
      <c r="G798" s="142">
        <f>H798/H800</f>
        <v>0.01039474286</v>
      </c>
      <c r="H798" s="149">
        <f>SUM($H$416)</f>
        <v>1455264</v>
      </c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72"/>
      <c r="U798" s="160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60"/>
      <c r="U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140000000</v>
      </c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60"/>
      <c r="U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60"/>
      <c r="U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0.02078948571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>
        <v>0.3</v>
      </c>
      <c r="N802" s="145">
        <v>0.0</v>
      </c>
      <c r="O802" s="145">
        <v>0.0</v>
      </c>
      <c r="P802" s="145">
        <v>0.3</v>
      </c>
      <c r="Q802" s="145">
        <v>0.0</v>
      </c>
      <c r="R802" s="145">
        <v>0.0</v>
      </c>
      <c r="S802" s="145">
        <v>0.3</v>
      </c>
      <c r="T802" s="160"/>
      <c r="U802" s="160"/>
    </row>
    <row r="803">
      <c r="A803" s="160"/>
      <c r="B803" s="160"/>
      <c r="C803" s="160"/>
      <c r="D803" s="160"/>
      <c r="E803" s="172" t="s">
        <v>301</v>
      </c>
      <c r="G803" s="149">
        <f>H800*G802</f>
        <v>2910528</v>
      </c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60"/>
      <c r="U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1455264</v>
      </c>
      <c r="I804" s="149">
        <f t="shared" ref="I804:S804" si="213">H804+I813</f>
        <v>1455264</v>
      </c>
      <c r="J804" s="149">
        <f t="shared" si="213"/>
        <v>1615264</v>
      </c>
      <c r="K804" s="149">
        <f t="shared" si="213"/>
        <v>1615264</v>
      </c>
      <c r="L804" s="149">
        <f t="shared" si="213"/>
        <v>1615264</v>
      </c>
      <c r="M804" s="149">
        <f t="shared" si="213"/>
        <v>2015264</v>
      </c>
      <c r="N804" s="149">
        <f t="shared" si="213"/>
        <v>2015264</v>
      </c>
      <c r="O804" s="149">
        <f t="shared" si="213"/>
        <v>2015264</v>
      </c>
      <c r="P804" s="149">
        <f t="shared" si="213"/>
        <v>2415264</v>
      </c>
      <c r="Q804" s="149">
        <f t="shared" si="213"/>
        <v>2415264</v>
      </c>
      <c r="R804" s="149">
        <f t="shared" si="213"/>
        <v>2415264</v>
      </c>
      <c r="S804" s="149">
        <f t="shared" si="213"/>
        <v>2815264</v>
      </c>
      <c r="T804" s="199">
        <f>R804</f>
        <v>2415264</v>
      </c>
      <c r="U804" s="16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1455264</v>
      </c>
      <c r="H805" s="149">
        <f>$G$895*H802</f>
        <v>0</v>
      </c>
      <c r="I805" s="149">
        <f t="shared" ref="I805:S805" si="214">$G$805*I802</f>
        <v>0</v>
      </c>
      <c r="J805" s="149">
        <f t="shared" si="214"/>
        <v>145526.4</v>
      </c>
      <c r="K805" s="149">
        <f t="shared" si="214"/>
        <v>0</v>
      </c>
      <c r="L805" s="149">
        <f t="shared" si="214"/>
        <v>0</v>
      </c>
      <c r="M805" s="149">
        <f t="shared" si="214"/>
        <v>436579.2</v>
      </c>
      <c r="N805" s="149">
        <f t="shared" si="214"/>
        <v>0</v>
      </c>
      <c r="O805" s="149">
        <f t="shared" si="214"/>
        <v>0</v>
      </c>
      <c r="P805" s="149">
        <f t="shared" si="214"/>
        <v>436579.2</v>
      </c>
      <c r="Q805" s="149">
        <f t="shared" si="214"/>
        <v>0</v>
      </c>
      <c r="R805" s="149">
        <f t="shared" si="214"/>
        <v>0</v>
      </c>
      <c r="S805" s="149">
        <f t="shared" si="214"/>
        <v>436579.2</v>
      </c>
      <c r="T805" s="199">
        <f>SUM(H805:S805)</f>
        <v>1455264</v>
      </c>
      <c r="U805" s="16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60"/>
      <c r="U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S807" si="215">$H$800-H804</f>
        <v>138544736</v>
      </c>
      <c r="I807" s="149">
        <f t="shared" si="215"/>
        <v>138544736</v>
      </c>
      <c r="J807" s="149">
        <f t="shared" si="215"/>
        <v>138384736</v>
      </c>
      <c r="K807" s="149">
        <f t="shared" si="215"/>
        <v>138384736</v>
      </c>
      <c r="L807" s="149">
        <f t="shared" si="215"/>
        <v>138384736</v>
      </c>
      <c r="M807" s="149">
        <f t="shared" si="215"/>
        <v>137984736</v>
      </c>
      <c r="N807" s="149">
        <f t="shared" si="215"/>
        <v>137984736</v>
      </c>
      <c r="O807" s="149">
        <f t="shared" si="215"/>
        <v>137984736</v>
      </c>
      <c r="P807" s="149">
        <f t="shared" si="215"/>
        <v>137584736</v>
      </c>
      <c r="Q807" s="149">
        <f t="shared" si="215"/>
        <v>137584736</v>
      </c>
      <c r="R807" s="149">
        <f t="shared" si="215"/>
        <v>137584736</v>
      </c>
      <c r="S807" s="149">
        <f t="shared" si="215"/>
        <v>137184736</v>
      </c>
      <c r="T807" s="160"/>
      <c r="U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T808" si="216">IFERROR(H804/$H$890,0)</f>
        <v>0.01448023881</v>
      </c>
      <c r="I808" s="142">
        <f t="shared" si="216"/>
        <v>0.01448023881</v>
      </c>
      <c r="J808" s="142">
        <f t="shared" si="216"/>
        <v>0.01607227861</v>
      </c>
      <c r="K808" s="142">
        <f t="shared" si="216"/>
        <v>0.01607227861</v>
      </c>
      <c r="L808" s="142">
        <f t="shared" si="216"/>
        <v>0.01607227861</v>
      </c>
      <c r="M808" s="142">
        <f t="shared" si="216"/>
        <v>0.02005237811</v>
      </c>
      <c r="N808" s="142">
        <f t="shared" si="216"/>
        <v>0.02005237811</v>
      </c>
      <c r="O808" s="142">
        <f t="shared" si="216"/>
        <v>0.02005237811</v>
      </c>
      <c r="P808" s="142">
        <f t="shared" si="216"/>
        <v>0.02403247761</v>
      </c>
      <c r="Q808" s="142">
        <f t="shared" si="216"/>
        <v>0.02403247761</v>
      </c>
      <c r="R808" s="142">
        <f t="shared" si="216"/>
        <v>0.02403247761</v>
      </c>
      <c r="S808" s="142">
        <f t="shared" si="216"/>
        <v>0.02801257711</v>
      </c>
      <c r="T808" s="200">
        <f t="shared" si="216"/>
        <v>0.02403247761</v>
      </c>
      <c r="U808" s="16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T809" si="217">IFERROR(1-(H804/$H$800),0)</f>
        <v>0.9896052571</v>
      </c>
      <c r="I809" s="142">
        <f t="shared" si="217"/>
        <v>0.9896052571</v>
      </c>
      <c r="J809" s="142">
        <f t="shared" si="217"/>
        <v>0.9884624</v>
      </c>
      <c r="K809" s="142">
        <f t="shared" si="217"/>
        <v>0.9884624</v>
      </c>
      <c r="L809" s="142">
        <f t="shared" si="217"/>
        <v>0.9884624</v>
      </c>
      <c r="M809" s="142">
        <f t="shared" si="217"/>
        <v>0.9856052571</v>
      </c>
      <c r="N809" s="142">
        <f t="shared" si="217"/>
        <v>0.9856052571</v>
      </c>
      <c r="O809" s="142">
        <f t="shared" si="217"/>
        <v>0.9856052571</v>
      </c>
      <c r="P809" s="142">
        <f t="shared" si="217"/>
        <v>0.9827481143</v>
      </c>
      <c r="Q809" s="142">
        <f t="shared" si="217"/>
        <v>0.9827481143</v>
      </c>
      <c r="R809" s="142">
        <f t="shared" si="217"/>
        <v>0.9827481143</v>
      </c>
      <c r="S809" s="142">
        <f t="shared" si="217"/>
        <v>0.9798909714</v>
      </c>
      <c r="T809" s="200">
        <f t="shared" si="217"/>
        <v>0.9827481143</v>
      </c>
      <c r="U809" s="16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98"/>
      <c r="U810" s="160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8">ROUNDUP(H805/H812,0)</f>
        <v>0</v>
      </c>
      <c r="I811" s="190">
        <f t="shared" si="218"/>
        <v>0</v>
      </c>
      <c r="J811" s="190">
        <f t="shared" si="218"/>
        <v>4</v>
      </c>
      <c r="K811" s="190">
        <f t="shared" si="218"/>
        <v>0</v>
      </c>
      <c r="L811" s="190">
        <f t="shared" si="218"/>
        <v>0</v>
      </c>
      <c r="M811" s="190">
        <f>ROUND(M805/M812,0)</f>
        <v>10</v>
      </c>
      <c r="N811" s="190">
        <f t="shared" ref="N811:S811" si="219">ROUNDUP(N805/N812,0)</f>
        <v>0</v>
      </c>
      <c r="O811" s="190">
        <f t="shared" si="219"/>
        <v>0</v>
      </c>
      <c r="P811" s="190">
        <f t="shared" si="219"/>
        <v>10</v>
      </c>
      <c r="Q811" s="190">
        <f t="shared" si="219"/>
        <v>0</v>
      </c>
      <c r="R811" s="190">
        <f t="shared" si="219"/>
        <v>0</v>
      </c>
      <c r="S811" s="190">
        <f t="shared" si="219"/>
        <v>10</v>
      </c>
      <c r="T811" s="201">
        <f>SUM(H811:S811)</f>
        <v>34</v>
      </c>
      <c r="U811" s="16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56">
        <v>44500.0</v>
      </c>
      <c r="N812" s="156">
        <v>44500.0</v>
      </c>
      <c r="O812" s="156">
        <v>44500.0</v>
      </c>
      <c r="P812" s="156">
        <v>44500.0</v>
      </c>
      <c r="Q812" s="156">
        <v>44500.0</v>
      </c>
      <c r="R812" s="156">
        <v>44500.0</v>
      </c>
      <c r="S812" s="156">
        <v>44500.0</v>
      </c>
      <c r="T812" s="198"/>
      <c r="U812" s="160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S813" si="220">SUM(H827,H830,H833,H836,H839)</f>
        <v>0</v>
      </c>
      <c r="I813" s="188">
        <f t="shared" si="220"/>
        <v>0</v>
      </c>
      <c r="J813" s="188">
        <f t="shared" si="220"/>
        <v>160000</v>
      </c>
      <c r="K813" s="188">
        <f t="shared" si="220"/>
        <v>0</v>
      </c>
      <c r="L813" s="188">
        <f t="shared" si="220"/>
        <v>0</v>
      </c>
      <c r="M813" s="188">
        <f t="shared" si="220"/>
        <v>400000</v>
      </c>
      <c r="N813" s="188">
        <f t="shared" si="220"/>
        <v>0</v>
      </c>
      <c r="O813" s="188">
        <f t="shared" si="220"/>
        <v>0</v>
      </c>
      <c r="P813" s="188">
        <f t="shared" si="220"/>
        <v>400000</v>
      </c>
      <c r="Q813" s="188">
        <f t="shared" si="220"/>
        <v>0</v>
      </c>
      <c r="R813" s="188">
        <f t="shared" si="220"/>
        <v>0</v>
      </c>
      <c r="S813" s="188">
        <f t="shared" si="220"/>
        <v>400000</v>
      </c>
      <c r="T813" s="196">
        <f>SUM(H813:S813)</f>
        <v>1360000</v>
      </c>
      <c r="U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203">
        <v>0.5</v>
      </c>
      <c r="N814" s="203">
        <v>0.5</v>
      </c>
      <c r="O814" s="203">
        <v>0.5</v>
      </c>
      <c r="P814" s="203">
        <v>0.5</v>
      </c>
      <c r="Q814" s="203">
        <v>0.5</v>
      </c>
      <c r="R814" s="203">
        <v>0.5</v>
      </c>
      <c r="S814" s="203">
        <v>0.5</v>
      </c>
      <c r="T814" s="198"/>
      <c r="U814" s="160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203">
        <v>0.4</v>
      </c>
      <c r="N815" s="203">
        <v>0.4</v>
      </c>
      <c r="O815" s="203">
        <v>0.4</v>
      </c>
      <c r="P815" s="203">
        <v>0.4</v>
      </c>
      <c r="Q815" s="203">
        <v>0.4</v>
      </c>
      <c r="R815" s="203">
        <v>0.4</v>
      </c>
      <c r="S815" s="203">
        <v>0.4</v>
      </c>
      <c r="T815" s="198"/>
      <c r="U815" s="160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203">
        <v>0.05</v>
      </c>
      <c r="N816" s="203">
        <v>0.05</v>
      </c>
      <c r="O816" s="203">
        <v>0.05</v>
      </c>
      <c r="P816" s="203">
        <v>0.05</v>
      </c>
      <c r="Q816" s="203">
        <v>0.05</v>
      </c>
      <c r="R816" s="203">
        <v>0.05</v>
      </c>
      <c r="S816" s="203">
        <v>0.05</v>
      </c>
      <c r="T816" s="198"/>
      <c r="U816" s="160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203">
        <v>0.05</v>
      </c>
      <c r="N817" s="203">
        <v>0.05</v>
      </c>
      <c r="O817" s="203">
        <v>0.05</v>
      </c>
      <c r="P817" s="203">
        <v>0.05</v>
      </c>
      <c r="Q817" s="203">
        <v>0.05</v>
      </c>
      <c r="R817" s="203">
        <v>0.05</v>
      </c>
      <c r="S817" s="203">
        <v>0.05</v>
      </c>
      <c r="T817" s="198"/>
      <c r="U817" s="160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203">
        <v>0.0</v>
      </c>
      <c r="N818" s="203">
        <v>0.0</v>
      </c>
      <c r="O818" s="203">
        <v>0.0</v>
      </c>
      <c r="P818" s="203">
        <v>0.0</v>
      </c>
      <c r="Q818" s="203">
        <v>0.0</v>
      </c>
      <c r="R818" s="203">
        <v>0.0</v>
      </c>
      <c r="S818" s="203">
        <v>0.0</v>
      </c>
      <c r="T818" s="198"/>
      <c r="U818" s="160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204">
        <v>70000.0</v>
      </c>
      <c r="N819" s="204">
        <v>70000.0</v>
      </c>
      <c r="O819" s="204">
        <v>70000.0</v>
      </c>
      <c r="P819" s="204">
        <v>70000.0</v>
      </c>
      <c r="Q819" s="204">
        <v>70000.0</v>
      </c>
      <c r="R819" s="204">
        <v>70000.0</v>
      </c>
      <c r="S819" s="204">
        <v>70000.0</v>
      </c>
      <c r="T819" s="198"/>
      <c r="U819" s="160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204">
        <v>10000.0</v>
      </c>
      <c r="N820" s="204">
        <v>10000.0</v>
      </c>
      <c r="O820" s="204">
        <v>10000.0</v>
      </c>
      <c r="P820" s="204">
        <v>10000.0</v>
      </c>
      <c r="Q820" s="204">
        <v>10000.0</v>
      </c>
      <c r="R820" s="204">
        <v>10000.0</v>
      </c>
      <c r="S820" s="204">
        <v>10000.0</v>
      </c>
      <c r="T820" s="198"/>
      <c r="U820" s="160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204">
        <v>10000.0</v>
      </c>
      <c r="N821" s="204">
        <v>10000.0</v>
      </c>
      <c r="O821" s="204">
        <v>10000.0</v>
      </c>
      <c r="P821" s="204">
        <v>10000.0</v>
      </c>
      <c r="Q821" s="204">
        <v>10000.0</v>
      </c>
      <c r="R821" s="204">
        <v>10000.0</v>
      </c>
      <c r="S821" s="204">
        <v>10000.0</v>
      </c>
      <c r="T821" s="198"/>
      <c r="U821" s="160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204">
        <v>100000.0</v>
      </c>
      <c r="N822" s="204">
        <v>100000.0</v>
      </c>
      <c r="O822" s="204">
        <v>100000.0</v>
      </c>
      <c r="P822" s="204">
        <v>100000.0</v>
      </c>
      <c r="Q822" s="204">
        <v>100000.0</v>
      </c>
      <c r="R822" s="204">
        <v>100000.0</v>
      </c>
      <c r="S822" s="204">
        <v>100000.0</v>
      </c>
      <c r="T822" s="198"/>
      <c r="U822" s="160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204">
        <v>0.0</v>
      </c>
      <c r="N823" s="204">
        <v>0.0</v>
      </c>
      <c r="O823" s="204">
        <v>0.0</v>
      </c>
      <c r="P823" s="204">
        <v>0.0</v>
      </c>
      <c r="Q823" s="204">
        <v>0.0</v>
      </c>
      <c r="R823" s="204">
        <v>0.0</v>
      </c>
      <c r="S823" s="204">
        <v>0.0</v>
      </c>
      <c r="T823" s="198"/>
      <c r="U823" s="160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62">
        <f>IFERROR(__xludf.DUMMYFUNCTION("MATCH(
  MIN(FILTER(M819:M823,M819:M823&gt;0)),
  M819:M823,
  0
)
"),2.0)</f>
        <v>2</v>
      </c>
      <c r="N824" s="162">
        <f>IFERROR(__xludf.DUMMYFUNCTION("MATCH(
  MIN(FILTER(N819:N823,N819:N823&gt;0)),
  N819:N823,
  0
)
"),2.0)</f>
        <v>2</v>
      </c>
      <c r="O824" s="162">
        <f>IFERROR(__xludf.DUMMYFUNCTION("MATCH(
  MIN(FILTER(O819:O823,O819:O823&gt;0)),
  O819:O823,
  0
)
"),2.0)</f>
        <v>2</v>
      </c>
      <c r="P824" s="162">
        <f>IFERROR(__xludf.DUMMYFUNCTION("MATCH(
  MIN(FILTER(P819:P823,P819:P823&gt;0)),
  P819:P823,
  0
)
"),2.0)</f>
        <v>2</v>
      </c>
      <c r="Q824" s="162">
        <f>IFERROR(__xludf.DUMMYFUNCTION("MATCH(
  MIN(FILTER(Q819:Q823,Q819:Q823&gt;0)),
  Q819:Q823,
  0
)
"),2.0)</f>
        <v>2</v>
      </c>
      <c r="R824" s="162">
        <f>IFERROR(__xludf.DUMMYFUNCTION("MATCH(
  MIN(FILTER(R819:R823,R819:R823&gt;0)),
  R819:R823,
  0
)
"),2.0)</f>
        <v>2</v>
      </c>
      <c r="S824" s="162">
        <f>IFERROR(__xludf.DUMMYFUNCTION("MATCH(
  MIN(FILTER(S819:S823,S819:S823&gt;0)),
  S819:S823,
  0
)
"),2.0)</f>
        <v>2</v>
      </c>
      <c r="T824" s="198"/>
      <c r="U824" s="160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98"/>
      <c r="U825" s="160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S826" si="221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1"/>
        <v>0</v>
      </c>
      <c r="J826" s="148">
        <f t="shared" si="221"/>
        <v>2</v>
      </c>
      <c r="K826" s="148">
        <f t="shared" si="221"/>
        <v>0</v>
      </c>
      <c r="L826" s="148">
        <f t="shared" si="221"/>
        <v>0</v>
      </c>
      <c r="M826" s="148">
        <f t="shared" si="221"/>
        <v>5</v>
      </c>
      <c r="N826" s="148">
        <f t="shared" si="221"/>
        <v>0</v>
      </c>
      <c r="O826" s="148">
        <f t="shared" si="221"/>
        <v>0</v>
      </c>
      <c r="P826" s="148">
        <f t="shared" si="221"/>
        <v>5</v>
      </c>
      <c r="Q826" s="148">
        <f t="shared" si="221"/>
        <v>0</v>
      </c>
      <c r="R826" s="148">
        <f t="shared" si="221"/>
        <v>0</v>
      </c>
      <c r="S826" s="148">
        <f t="shared" si="221"/>
        <v>5</v>
      </c>
      <c r="T826" s="198"/>
      <c r="U826" s="160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S827" si="222">(H826*H819)</f>
        <v>0</v>
      </c>
      <c r="I827" s="150">
        <f t="shared" si="222"/>
        <v>0</v>
      </c>
      <c r="J827" s="150">
        <f t="shared" si="222"/>
        <v>140000</v>
      </c>
      <c r="K827" s="150">
        <f t="shared" si="222"/>
        <v>0</v>
      </c>
      <c r="L827" s="150">
        <f t="shared" si="222"/>
        <v>0</v>
      </c>
      <c r="M827" s="150">
        <f t="shared" si="222"/>
        <v>350000</v>
      </c>
      <c r="N827" s="150">
        <f t="shared" si="222"/>
        <v>0</v>
      </c>
      <c r="O827" s="150">
        <f t="shared" si="222"/>
        <v>0</v>
      </c>
      <c r="P827" s="150">
        <f t="shared" si="222"/>
        <v>350000</v>
      </c>
      <c r="Q827" s="150">
        <f t="shared" si="222"/>
        <v>0</v>
      </c>
      <c r="R827" s="150">
        <f t="shared" si="222"/>
        <v>0</v>
      </c>
      <c r="S827" s="150">
        <f t="shared" si="222"/>
        <v>350000</v>
      </c>
      <c r="T827" s="198"/>
      <c r="U827" s="160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98"/>
      <c r="U828" s="160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S829" si="223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3"/>
        <v>0</v>
      </c>
      <c r="J829" s="148">
        <f t="shared" si="223"/>
        <v>2</v>
      </c>
      <c r="K829" s="148">
        <f t="shared" si="223"/>
        <v>0</v>
      </c>
      <c r="L829" s="148">
        <f t="shared" si="223"/>
        <v>0</v>
      </c>
      <c r="M829" s="148">
        <f t="shared" si="223"/>
        <v>5</v>
      </c>
      <c r="N829" s="148">
        <f t="shared" si="223"/>
        <v>0</v>
      </c>
      <c r="O829" s="148">
        <f t="shared" si="223"/>
        <v>0</v>
      </c>
      <c r="P829" s="148">
        <f t="shared" si="223"/>
        <v>5</v>
      </c>
      <c r="Q829" s="148">
        <f t="shared" si="223"/>
        <v>0</v>
      </c>
      <c r="R829" s="148">
        <f t="shared" si="223"/>
        <v>0</v>
      </c>
      <c r="S829" s="148">
        <f t="shared" si="223"/>
        <v>5</v>
      </c>
      <c r="T829" s="198"/>
      <c r="U829" s="160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S830" si="224">(H820*H829)</f>
        <v>0</v>
      </c>
      <c r="I830" s="150">
        <f t="shared" si="224"/>
        <v>0</v>
      </c>
      <c r="J830" s="150">
        <f t="shared" si="224"/>
        <v>20000</v>
      </c>
      <c r="K830" s="150">
        <f t="shared" si="224"/>
        <v>0</v>
      </c>
      <c r="L830" s="150">
        <f t="shared" si="224"/>
        <v>0</v>
      </c>
      <c r="M830" s="150">
        <f t="shared" si="224"/>
        <v>50000</v>
      </c>
      <c r="N830" s="150">
        <f t="shared" si="224"/>
        <v>0</v>
      </c>
      <c r="O830" s="150">
        <f t="shared" si="224"/>
        <v>0</v>
      </c>
      <c r="P830" s="150">
        <f t="shared" si="224"/>
        <v>50000</v>
      </c>
      <c r="Q830" s="150">
        <f t="shared" si="224"/>
        <v>0</v>
      </c>
      <c r="R830" s="150">
        <f t="shared" si="224"/>
        <v>0</v>
      </c>
      <c r="S830" s="150">
        <f t="shared" si="224"/>
        <v>50000</v>
      </c>
      <c r="T830" s="198"/>
      <c r="U830" s="160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98"/>
      <c r="U831" s="160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S832" si="225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5"/>
        <v>0</v>
      </c>
      <c r="J832" s="148">
        <f t="shared" si="225"/>
        <v>0</v>
      </c>
      <c r="K832" s="148">
        <f t="shared" si="225"/>
        <v>0</v>
      </c>
      <c r="L832" s="148">
        <f t="shared" si="225"/>
        <v>0</v>
      </c>
      <c r="M832" s="148">
        <f t="shared" si="225"/>
        <v>0</v>
      </c>
      <c r="N832" s="148">
        <f t="shared" si="225"/>
        <v>0</v>
      </c>
      <c r="O832" s="148">
        <f t="shared" si="225"/>
        <v>0</v>
      </c>
      <c r="P832" s="148">
        <f t="shared" si="225"/>
        <v>0</v>
      </c>
      <c r="Q832" s="148">
        <f t="shared" si="225"/>
        <v>0</v>
      </c>
      <c r="R832" s="148">
        <f t="shared" si="225"/>
        <v>0</v>
      </c>
      <c r="S832" s="148">
        <f t="shared" si="225"/>
        <v>0</v>
      </c>
      <c r="T832" s="198"/>
      <c r="U832" s="160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S833" si="226">(H821*H832)</f>
        <v>0</v>
      </c>
      <c r="I833" s="150">
        <f t="shared" si="226"/>
        <v>0</v>
      </c>
      <c r="J833" s="150">
        <f t="shared" si="226"/>
        <v>0</v>
      </c>
      <c r="K833" s="150">
        <f t="shared" si="226"/>
        <v>0</v>
      </c>
      <c r="L833" s="150">
        <f t="shared" si="226"/>
        <v>0</v>
      </c>
      <c r="M833" s="150">
        <f t="shared" si="226"/>
        <v>0</v>
      </c>
      <c r="N833" s="150">
        <f t="shared" si="226"/>
        <v>0</v>
      </c>
      <c r="O833" s="150">
        <f t="shared" si="226"/>
        <v>0</v>
      </c>
      <c r="P833" s="150">
        <f t="shared" si="226"/>
        <v>0</v>
      </c>
      <c r="Q833" s="150">
        <f t="shared" si="226"/>
        <v>0</v>
      </c>
      <c r="R833" s="150">
        <f t="shared" si="226"/>
        <v>0</v>
      </c>
      <c r="S833" s="150">
        <f t="shared" si="226"/>
        <v>0</v>
      </c>
      <c r="T833" s="198"/>
      <c r="U833" s="160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98"/>
      <c r="U834" s="160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S835" si="227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7"/>
        <v>0</v>
      </c>
      <c r="J835" s="148">
        <f t="shared" si="227"/>
        <v>0</v>
      </c>
      <c r="K835" s="148">
        <f t="shared" si="227"/>
        <v>0</v>
      </c>
      <c r="L835" s="148">
        <f t="shared" si="227"/>
        <v>0</v>
      </c>
      <c r="M835" s="148">
        <f t="shared" si="227"/>
        <v>0</v>
      </c>
      <c r="N835" s="148">
        <f t="shared" si="227"/>
        <v>0</v>
      </c>
      <c r="O835" s="148">
        <f t="shared" si="227"/>
        <v>0</v>
      </c>
      <c r="P835" s="148">
        <f t="shared" si="227"/>
        <v>0</v>
      </c>
      <c r="Q835" s="148">
        <f t="shared" si="227"/>
        <v>0</v>
      </c>
      <c r="R835" s="148">
        <f t="shared" si="227"/>
        <v>0</v>
      </c>
      <c r="S835" s="148">
        <f t="shared" si="227"/>
        <v>0</v>
      </c>
      <c r="T835" s="198"/>
      <c r="U835" s="160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S836" si="228">(H822*H835)</f>
        <v>0</v>
      </c>
      <c r="I836" s="150">
        <f t="shared" si="228"/>
        <v>0</v>
      </c>
      <c r="J836" s="150">
        <f t="shared" si="228"/>
        <v>0</v>
      </c>
      <c r="K836" s="150">
        <f t="shared" si="228"/>
        <v>0</v>
      </c>
      <c r="L836" s="150">
        <f t="shared" si="228"/>
        <v>0</v>
      </c>
      <c r="M836" s="150">
        <f t="shared" si="228"/>
        <v>0</v>
      </c>
      <c r="N836" s="150">
        <f t="shared" si="228"/>
        <v>0</v>
      </c>
      <c r="O836" s="150">
        <f t="shared" si="228"/>
        <v>0</v>
      </c>
      <c r="P836" s="150">
        <f t="shared" si="228"/>
        <v>0</v>
      </c>
      <c r="Q836" s="150">
        <f t="shared" si="228"/>
        <v>0</v>
      </c>
      <c r="R836" s="150">
        <f t="shared" si="228"/>
        <v>0</v>
      </c>
      <c r="S836" s="150">
        <f t="shared" si="228"/>
        <v>0</v>
      </c>
      <c r="T836" s="198"/>
      <c r="U836" s="160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98"/>
      <c r="U837" s="160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S838" si="229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29"/>
        <v>0</v>
      </c>
      <c r="J838" s="148">
        <f t="shared" si="229"/>
        <v>0</v>
      </c>
      <c r="K838" s="148">
        <f t="shared" si="229"/>
        <v>0</v>
      </c>
      <c r="L838" s="148">
        <f t="shared" si="229"/>
        <v>0</v>
      </c>
      <c r="M838" s="148">
        <f t="shared" si="229"/>
        <v>0</v>
      </c>
      <c r="N838" s="148">
        <f t="shared" si="229"/>
        <v>0</v>
      </c>
      <c r="O838" s="148">
        <f t="shared" si="229"/>
        <v>0</v>
      </c>
      <c r="P838" s="148">
        <f t="shared" si="229"/>
        <v>0</v>
      </c>
      <c r="Q838" s="148">
        <f t="shared" si="229"/>
        <v>0</v>
      </c>
      <c r="R838" s="148">
        <f t="shared" si="229"/>
        <v>0</v>
      </c>
      <c r="S838" s="148">
        <f t="shared" si="229"/>
        <v>0</v>
      </c>
      <c r="T838" s="198"/>
      <c r="U838" s="160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S839" si="230">(H823*H838)</f>
        <v>0</v>
      </c>
      <c r="I839" s="150">
        <f t="shared" si="230"/>
        <v>0</v>
      </c>
      <c r="J839" s="150">
        <f t="shared" si="230"/>
        <v>0</v>
      </c>
      <c r="K839" s="150">
        <f t="shared" si="230"/>
        <v>0</v>
      </c>
      <c r="L839" s="150">
        <f t="shared" si="230"/>
        <v>0</v>
      </c>
      <c r="M839" s="150">
        <f t="shared" si="230"/>
        <v>0</v>
      </c>
      <c r="N839" s="150">
        <f t="shared" si="230"/>
        <v>0</v>
      </c>
      <c r="O839" s="150">
        <f t="shared" si="230"/>
        <v>0</v>
      </c>
      <c r="P839" s="150">
        <f t="shared" si="230"/>
        <v>0</v>
      </c>
      <c r="Q839" s="150">
        <f t="shared" si="230"/>
        <v>0</v>
      </c>
      <c r="R839" s="150">
        <f t="shared" si="230"/>
        <v>0</v>
      </c>
      <c r="S839" s="150">
        <f t="shared" si="230"/>
        <v>0</v>
      </c>
      <c r="T839" s="198"/>
      <c r="U839" s="160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98"/>
      <c r="U840" s="160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60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38</v>
      </c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198"/>
      <c r="U842" s="160"/>
    </row>
    <row r="843">
      <c r="A843" s="160"/>
      <c r="B843" s="160"/>
      <c r="C843" s="160"/>
      <c r="D843" s="160"/>
      <c r="E843" s="13" t="s">
        <v>162</v>
      </c>
      <c r="G843" s="142">
        <f>H843/H845</f>
        <v>0.01350947368</v>
      </c>
      <c r="H843" s="149">
        <f>H442</f>
        <v>1540080</v>
      </c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60"/>
      <c r="U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60"/>
      <c r="U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114000000</v>
      </c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60"/>
      <c r="U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60"/>
      <c r="U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0.04052842105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>
        <v>0.3</v>
      </c>
      <c r="N847" s="145">
        <v>0.0</v>
      </c>
      <c r="O847" s="145">
        <v>0.0</v>
      </c>
      <c r="P847" s="145">
        <v>0.3</v>
      </c>
      <c r="Q847" s="145">
        <v>0.0</v>
      </c>
      <c r="R847" s="145">
        <v>0.0</v>
      </c>
      <c r="S847" s="145">
        <v>0.3</v>
      </c>
      <c r="T847" s="160"/>
      <c r="U847" s="160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4620240</v>
      </c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6"/>
      <c r="U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1540080</v>
      </c>
      <c r="I849" s="149">
        <f t="shared" ref="I849:S849" si="231">H849+I858</f>
        <v>1540080</v>
      </c>
      <c r="J849" s="149">
        <f t="shared" si="231"/>
        <v>1838080</v>
      </c>
      <c r="K849" s="149">
        <f t="shared" si="231"/>
        <v>1838080</v>
      </c>
      <c r="L849" s="149">
        <f t="shared" si="231"/>
        <v>1838080</v>
      </c>
      <c r="M849" s="149">
        <f t="shared" si="231"/>
        <v>2734080</v>
      </c>
      <c r="N849" s="149">
        <f t="shared" si="231"/>
        <v>2734080</v>
      </c>
      <c r="O849" s="149">
        <f t="shared" si="231"/>
        <v>2734080</v>
      </c>
      <c r="P849" s="149">
        <f t="shared" si="231"/>
        <v>3657080</v>
      </c>
      <c r="Q849" s="149">
        <f t="shared" si="231"/>
        <v>3657080</v>
      </c>
      <c r="R849" s="149">
        <f t="shared" si="231"/>
        <v>3657080</v>
      </c>
      <c r="S849" s="149">
        <f t="shared" si="231"/>
        <v>4580080</v>
      </c>
      <c r="T849" s="199">
        <f>R849</f>
        <v>3657080</v>
      </c>
      <c r="U849" s="16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3080160</v>
      </c>
      <c r="H850" s="149">
        <f t="shared" ref="H850:S850" si="232">$G$850*H847</f>
        <v>0</v>
      </c>
      <c r="I850" s="149">
        <f t="shared" si="232"/>
        <v>0</v>
      </c>
      <c r="J850" s="149">
        <f t="shared" si="232"/>
        <v>308016</v>
      </c>
      <c r="K850" s="149">
        <f t="shared" si="232"/>
        <v>0</v>
      </c>
      <c r="L850" s="149">
        <f t="shared" si="232"/>
        <v>0</v>
      </c>
      <c r="M850" s="149">
        <f t="shared" si="232"/>
        <v>924048</v>
      </c>
      <c r="N850" s="149">
        <f t="shared" si="232"/>
        <v>0</v>
      </c>
      <c r="O850" s="149">
        <f t="shared" si="232"/>
        <v>0</v>
      </c>
      <c r="P850" s="149">
        <f t="shared" si="232"/>
        <v>924048</v>
      </c>
      <c r="Q850" s="149">
        <f t="shared" si="232"/>
        <v>0</v>
      </c>
      <c r="R850" s="149">
        <f t="shared" si="232"/>
        <v>0</v>
      </c>
      <c r="S850" s="149">
        <f t="shared" si="232"/>
        <v>924048</v>
      </c>
      <c r="T850" s="199">
        <f>SUM(H850:S850)</f>
        <v>3080160</v>
      </c>
      <c r="U850" s="16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60"/>
      <c r="U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S852" si="233">$H$845-H849</f>
        <v>112459920</v>
      </c>
      <c r="I852" s="149">
        <f t="shared" si="233"/>
        <v>112459920</v>
      </c>
      <c r="J852" s="149">
        <f t="shared" si="233"/>
        <v>112161920</v>
      </c>
      <c r="K852" s="149">
        <f t="shared" si="233"/>
        <v>112161920</v>
      </c>
      <c r="L852" s="149">
        <f t="shared" si="233"/>
        <v>112161920</v>
      </c>
      <c r="M852" s="149">
        <f t="shared" si="233"/>
        <v>111265920</v>
      </c>
      <c r="N852" s="149">
        <f t="shared" si="233"/>
        <v>111265920</v>
      </c>
      <c r="O852" s="149">
        <f t="shared" si="233"/>
        <v>111265920</v>
      </c>
      <c r="P852" s="149">
        <f t="shared" si="233"/>
        <v>110342920</v>
      </c>
      <c r="Q852" s="149">
        <f t="shared" si="233"/>
        <v>110342920</v>
      </c>
      <c r="R852" s="149">
        <f t="shared" si="233"/>
        <v>110342920</v>
      </c>
      <c r="S852" s="149">
        <f t="shared" si="233"/>
        <v>109419920</v>
      </c>
      <c r="T852" s="160"/>
      <c r="U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T853" si="234">IFERROR(H849/$H$845,0)</f>
        <v>0.01350947368</v>
      </c>
      <c r="I853" s="142">
        <f t="shared" si="234"/>
        <v>0.01350947368</v>
      </c>
      <c r="J853" s="142">
        <f t="shared" si="234"/>
        <v>0.01612350877</v>
      </c>
      <c r="K853" s="142">
        <f t="shared" si="234"/>
        <v>0.01612350877</v>
      </c>
      <c r="L853" s="142">
        <f t="shared" si="234"/>
        <v>0.01612350877</v>
      </c>
      <c r="M853" s="142">
        <f t="shared" si="234"/>
        <v>0.02398315789</v>
      </c>
      <c r="N853" s="142">
        <f t="shared" si="234"/>
        <v>0.02398315789</v>
      </c>
      <c r="O853" s="142">
        <f t="shared" si="234"/>
        <v>0.02398315789</v>
      </c>
      <c r="P853" s="142">
        <f t="shared" si="234"/>
        <v>0.03207964912</v>
      </c>
      <c r="Q853" s="142">
        <f t="shared" si="234"/>
        <v>0.03207964912</v>
      </c>
      <c r="R853" s="142">
        <f t="shared" si="234"/>
        <v>0.03207964912</v>
      </c>
      <c r="S853" s="142">
        <f t="shared" si="234"/>
        <v>0.04017614035</v>
      </c>
      <c r="T853" s="200">
        <f t="shared" si="234"/>
        <v>0.03207964912</v>
      </c>
      <c r="U853" s="16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T854" si="235">IFERROR(1-(H849/$H$845),0)</f>
        <v>0.9864905263</v>
      </c>
      <c r="I854" s="142">
        <f t="shared" si="235"/>
        <v>0.9864905263</v>
      </c>
      <c r="J854" s="142">
        <f t="shared" si="235"/>
        <v>0.9838764912</v>
      </c>
      <c r="K854" s="142">
        <f t="shared" si="235"/>
        <v>0.9838764912</v>
      </c>
      <c r="L854" s="142">
        <f t="shared" si="235"/>
        <v>0.9838764912</v>
      </c>
      <c r="M854" s="142">
        <f t="shared" si="235"/>
        <v>0.9760168421</v>
      </c>
      <c r="N854" s="142">
        <f t="shared" si="235"/>
        <v>0.9760168421</v>
      </c>
      <c r="O854" s="142">
        <f t="shared" si="235"/>
        <v>0.9760168421</v>
      </c>
      <c r="P854" s="142">
        <f t="shared" si="235"/>
        <v>0.9679203509</v>
      </c>
      <c r="Q854" s="142">
        <f t="shared" si="235"/>
        <v>0.9679203509</v>
      </c>
      <c r="R854" s="142">
        <f t="shared" si="235"/>
        <v>0.9679203509</v>
      </c>
      <c r="S854" s="142">
        <f t="shared" si="235"/>
        <v>0.9598238596</v>
      </c>
      <c r="T854" s="200">
        <f t="shared" si="235"/>
        <v>0.9679203509</v>
      </c>
      <c r="U854" s="16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8"/>
      <c r="U855" s="160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6">ROUNDUP(H850/H857,0)</f>
        <v>0</v>
      </c>
      <c r="I856" s="190">
        <f t="shared" si="236"/>
        <v>0</v>
      </c>
      <c r="J856" s="190">
        <f t="shared" si="236"/>
        <v>15</v>
      </c>
      <c r="K856" s="190">
        <f t="shared" si="236"/>
        <v>0</v>
      </c>
      <c r="L856" s="190">
        <f t="shared" si="236"/>
        <v>0</v>
      </c>
      <c r="M856" s="190">
        <f>ROUND(M850/M857,0)</f>
        <v>42</v>
      </c>
      <c r="N856" s="190">
        <f t="shared" ref="N856:S856" si="237">ROUNDUP(N850/N857,0)</f>
        <v>0</v>
      </c>
      <c r="O856" s="190">
        <f t="shared" si="237"/>
        <v>0</v>
      </c>
      <c r="P856" s="190">
        <f t="shared" si="237"/>
        <v>43</v>
      </c>
      <c r="Q856" s="190">
        <f t="shared" si="237"/>
        <v>0</v>
      </c>
      <c r="R856" s="190">
        <f t="shared" si="237"/>
        <v>0</v>
      </c>
      <c r="S856" s="190">
        <f t="shared" si="237"/>
        <v>43</v>
      </c>
      <c r="T856" s="201">
        <f>SUM(H856:S856)</f>
        <v>143</v>
      </c>
      <c r="U856" s="160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56">
        <v>22000.0</v>
      </c>
      <c r="N857" s="156">
        <v>22000.0</v>
      </c>
      <c r="O857" s="156">
        <v>22000.0</v>
      </c>
      <c r="P857" s="156">
        <v>22000.0</v>
      </c>
      <c r="Q857" s="156">
        <v>22000.0</v>
      </c>
      <c r="R857" s="156">
        <v>22000.0</v>
      </c>
      <c r="S857" s="156">
        <v>22000.0</v>
      </c>
      <c r="T857" s="198"/>
      <c r="U857" s="160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S858" si="238">SUM(H872,H875,H878,H881,H884)</f>
        <v>0</v>
      </c>
      <c r="I858" s="188">
        <f t="shared" si="238"/>
        <v>0</v>
      </c>
      <c r="J858" s="188">
        <f t="shared" si="238"/>
        <v>298000</v>
      </c>
      <c r="K858" s="188">
        <f t="shared" si="238"/>
        <v>0</v>
      </c>
      <c r="L858" s="188">
        <f t="shared" si="238"/>
        <v>0</v>
      </c>
      <c r="M858" s="188">
        <f t="shared" si="238"/>
        <v>896000</v>
      </c>
      <c r="N858" s="188">
        <f t="shared" si="238"/>
        <v>0</v>
      </c>
      <c r="O858" s="188">
        <f t="shared" si="238"/>
        <v>0</v>
      </c>
      <c r="P858" s="188">
        <f t="shared" si="238"/>
        <v>923000</v>
      </c>
      <c r="Q858" s="188">
        <f t="shared" si="238"/>
        <v>0</v>
      </c>
      <c r="R858" s="188">
        <f t="shared" si="238"/>
        <v>0</v>
      </c>
      <c r="S858" s="188">
        <f t="shared" si="238"/>
        <v>923000</v>
      </c>
      <c r="T858" s="196">
        <f>SUM(H858:S858)</f>
        <v>3040000</v>
      </c>
      <c r="U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203">
        <v>0.4</v>
      </c>
      <c r="N859" s="203">
        <v>0.4</v>
      </c>
      <c r="O859" s="203">
        <v>0.4</v>
      </c>
      <c r="P859" s="203">
        <v>0.4</v>
      </c>
      <c r="Q859" s="203">
        <v>0.4</v>
      </c>
      <c r="R859" s="203">
        <v>0.4</v>
      </c>
      <c r="S859" s="203">
        <v>0.4</v>
      </c>
      <c r="T859" s="198"/>
      <c r="U859" s="160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203">
        <v>0.4</v>
      </c>
      <c r="N860" s="203">
        <v>0.4</v>
      </c>
      <c r="O860" s="203">
        <v>0.4</v>
      </c>
      <c r="P860" s="203">
        <v>0.4</v>
      </c>
      <c r="Q860" s="203">
        <v>0.4</v>
      </c>
      <c r="R860" s="203">
        <v>0.4</v>
      </c>
      <c r="S860" s="203">
        <v>0.4</v>
      </c>
      <c r="T860" s="198"/>
      <c r="U860" s="160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203">
        <v>0.1</v>
      </c>
      <c r="N861" s="203">
        <v>0.1</v>
      </c>
      <c r="O861" s="203">
        <v>0.1</v>
      </c>
      <c r="P861" s="203">
        <v>0.1</v>
      </c>
      <c r="Q861" s="203">
        <v>0.1</v>
      </c>
      <c r="R861" s="203">
        <v>0.1</v>
      </c>
      <c r="S861" s="203">
        <v>0.1</v>
      </c>
      <c r="T861" s="198"/>
      <c r="U861" s="160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203">
        <v>0.1</v>
      </c>
      <c r="N862" s="203">
        <v>0.1</v>
      </c>
      <c r="O862" s="203">
        <v>0.1</v>
      </c>
      <c r="P862" s="203">
        <v>0.1</v>
      </c>
      <c r="Q862" s="203">
        <v>0.1</v>
      </c>
      <c r="R862" s="203">
        <v>0.1</v>
      </c>
      <c r="S862" s="203">
        <v>0.1</v>
      </c>
      <c r="T862" s="198"/>
      <c r="U862" s="160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203">
        <v>0.0</v>
      </c>
      <c r="N863" s="203">
        <v>0.0</v>
      </c>
      <c r="O863" s="203">
        <v>0.0</v>
      </c>
      <c r="P863" s="203">
        <v>0.0</v>
      </c>
      <c r="Q863" s="203">
        <v>0.0</v>
      </c>
      <c r="R863" s="203">
        <v>0.0</v>
      </c>
      <c r="S863" s="203">
        <v>0.0</v>
      </c>
      <c r="T863" s="198"/>
      <c r="U863" s="160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204">
        <v>25000.0</v>
      </c>
      <c r="N864" s="204">
        <v>25000.0</v>
      </c>
      <c r="O864" s="204">
        <v>25000.0</v>
      </c>
      <c r="P864" s="204">
        <v>25000.0</v>
      </c>
      <c r="Q864" s="204">
        <v>25000.0</v>
      </c>
      <c r="R864" s="204">
        <v>25000.0</v>
      </c>
      <c r="S864" s="204">
        <v>25000.0</v>
      </c>
      <c r="T864" s="198"/>
      <c r="U864" s="160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204">
        <v>10000.0</v>
      </c>
      <c r="N865" s="204">
        <v>10000.0</v>
      </c>
      <c r="O865" s="204">
        <v>10000.0</v>
      </c>
      <c r="P865" s="204">
        <v>10000.0</v>
      </c>
      <c r="Q865" s="204">
        <v>10000.0</v>
      </c>
      <c r="R865" s="204">
        <v>10000.0</v>
      </c>
      <c r="S865" s="204">
        <v>10000.0</v>
      </c>
      <c r="T865" s="198"/>
      <c r="U865" s="160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204">
        <v>8000.0</v>
      </c>
      <c r="N866" s="204">
        <v>8000.0</v>
      </c>
      <c r="O866" s="204">
        <v>8000.0</v>
      </c>
      <c r="P866" s="204">
        <v>8000.0</v>
      </c>
      <c r="Q866" s="204">
        <v>8000.0</v>
      </c>
      <c r="R866" s="204">
        <v>8000.0</v>
      </c>
      <c r="S866" s="204">
        <v>8000.0</v>
      </c>
      <c r="T866" s="198"/>
      <c r="U866" s="160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204">
        <v>72000.0</v>
      </c>
      <c r="N867" s="204">
        <v>72000.0</v>
      </c>
      <c r="O867" s="204">
        <v>72000.0</v>
      </c>
      <c r="P867" s="204">
        <v>72000.0</v>
      </c>
      <c r="Q867" s="204">
        <v>72000.0</v>
      </c>
      <c r="R867" s="204">
        <v>72000.0</v>
      </c>
      <c r="S867" s="204">
        <v>72000.0</v>
      </c>
      <c r="T867" s="198"/>
      <c r="U867" s="160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204">
        <v>0.0</v>
      </c>
      <c r="N868" s="204">
        <v>0.0</v>
      </c>
      <c r="O868" s="204">
        <v>0.0</v>
      </c>
      <c r="P868" s="204">
        <v>0.0</v>
      </c>
      <c r="Q868" s="204">
        <v>0.0</v>
      </c>
      <c r="R868" s="204">
        <v>0.0</v>
      </c>
      <c r="S868" s="204">
        <v>0.0</v>
      </c>
      <c r="T868" s="198"/>
      <c r="U868" s="160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62">
        <f>IFERROR(__xludf.DUMMYFUNCTION("MATCH(
  MIN(FILTER(M864:M868,M864:M868&gt;0)),
  M864:M868,
  0
)
"),3.0)</f>
        <v>3</v>
      </c>
      <c r="N869" s="162">
        <f>IFERROR(__xludf.DUMMYFUNCTION("MATCH(
  MIN(FILTER(N864:N868,N864:N868&gt;0)),
  N864:N868,
  0
)
"),3.0)</f>
        <v>3</v>
      </c>
      <c r="O869" s="162">
        <f>IFERROR(__xludf.DUMMYFUNCTION("MATCH(
  MIN(FILTER(O864:O868,O864:O868&gt;0)),
  O864:O868,
  0
)
"),3.0)</f>
        <v>3</v>
      </c>
      <c r="P869" s="162">
        <f>IFERROR(__xludf.DUMMYFUNCTION("MATCH(
  MIN(FILTER(P864:P868,P864:P868&gt;0)),
  P864:P868,
  0
)
"),3.0)</f>
        <v>3</v>
      </c>
      <c r="Q869" s="162">
        <f>IFERROR(__xludf.DUMMYFUNCTION("MATCH(
  MIN(FILTER(Q864:Q868,Q864:Q868&gt;0)),
  Q864:Q868,
  0
)
"),3.0)</f>
        <v>3</v>
      </c>
      <c r="R869" s="162">
        <f>IFERROR(__xludf.DUMMYFUNCTION("MATCH(
  MIN(FILTER(R864:R868,R864:R868&gt;0)),
  R864:R868,
  0
)
"),3.0)</f>
        <v>3</v>
      </c>
      <c r="S869" s="162">
        <f>IFERROR(__xludf.DUMMYFUNCTION("MATCH(
  MIN(FILTER(S864:S868,S864:S868&gt;0)),
  S864:S868,
  0
)
"),3.0)</f>
        <v>3</v>
      </c>
      <c r="T869" s="198"/>
      <c r="U869" s="160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98"/>
      <c r="U870" s="160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S871" si="239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39"/>
        <v>0</v>
      </c>
      <c r="J871" s="148">
        <f t="shared" si="239"/>
        <v>6</v>
      </c>
      <c r="K871" s="148">
        <f t="shared" si="239"/>
        <v>0</v>
      </c>
      <c r="L871" s="148">
        <f t="shared" si="239"/>
        <v>0</v>
      </c>
      <c r="M871" s="148">
        <f t="shared" si="239"/>
        <v>16</v>
      </c>
      <c r="N871" s="148">
        <f t="shared" si="239"/>
        <v>0</v>
      </c>
      <c r="O871" s="148">
        <f t="shared" si="239"/>
        <v>0</v>
      </c>
      <c r="P871" s="148">
        <f t="shared" si="239"/>
        <v>17</v>
      </c>
      <c r="Q871" s="148">
        <f t="shared" si="239"/>
        <v>0</v>
      </c>
      <c r="R871" s="148">
        <f t="shared" si="239"/>
        <v>0</v>
      </c>
      <c r="S871" s="148">
        <f t="shared" si="239"/>
        <v>17</v>
      </c>
      <c r="T871" s="198"/>
      <c r="U871" s="160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S872" si="240">(H871*H864)</f>
        <v>0</v>
      </c>
      <c r="I872" s="150">
        <f t="shared" si="240"/>
        <v>0</v>
      </c>
      <c r="J872" s="150">
        <f t="shared" si="240"/>
        <v>150000</v>
      </c>
      <c r="K872" s="150">
        <f t="shared" si="240"/>
        <v>0</v>
      </c>
      <c r="L872" s="150">
        <f t="shared" si="240"/>
        <v>0</v>
      </c>
      <c r="M872" s="150">
        <f t="shared" si="240"/>
        <v>400000</v>
      </c>
      <c r="N872" s="150">
        <f t="shared" si="240"/>
        <v>0</v>
      </c>
      <c r="O872" s="150">
        <f t="shared" si="240"/>
        <v>0</v>
      </c>
      <c r="P872" s="150">
        <f t="shared" si="240"/>
        <v>425000</v>
      </c>
      <c r="Q872" s="150">
        <f t="shared" si="240"/>
        <v>0</v>
      </c>
      <c r="R872" s="150">
        <f t="shared" si="240"/>
        <v>0</v>
      </c>
      <c r="S872" s="150">
        <f t="shared" si="240"/>
        <v>425000</v>
      </c>
      <c r="T872" s="198"/>
      <c r="U872" s="160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98"/>
      <c r="U873" s="160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S874" si="241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1"/>
        <v>0</v>
      </c>
      <c r="J874" s="148">
        <f t="shared" si="241"/>
        <v>6</v>
      </c>
      <c r="K874" s="148">
        <f t="shared" si="241"/>
        <v>0</v>
      </c>
      <c r="L874" s="148">
        <f t="shared" si="241"/>
        <v>0</v>
      </c>
      <c r="M874" s="148">
        <f t="shared" si="241"/>
        <v>16</v>
      </c>
      <c r="N874" s="148">
        <f t="shared" si="241"/>
        <v>0</v>
      </c>
      <c r="O874" s="148">
        <f t="shared" si="241"/>
        <v>0</v>
      </c>
      <c r="P874" s="148">
        <f t="shared" si="241"/>
        <v>17</v>
      </c>
      <c r="Q874" s="148">
        <f t="shared" si="241"/>
        <v>0</v>
      </c>
      <c r="R874" s="148">
        <f t="shared" si="241"/>
        <v>0</v>
      </c>
      <c r="S874" s="148">
        <f t="shared" si="241"/>
        <v>17</v>
      </c>
      <c r="T874" s="198"/>
      <c r="U874" s="160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S875" si="242">(H865*H874)</f>
        <v>0</v>
      </c>
      <c r="I875" s="150">
        <f t="shared" si="242"/>
        <v>0</v>
      </c>
      <c r="J875" s="150">
        <f t="shared" si="242"/>
        <v>60000</v>
      </c>
      <c r="K875" s="150">
        <f t="shared" si="242"/>
        <v>0</v>
      </c>
      <c r="L875" s="150">
        <f t="shared" si="242"/>
        <v>0</v>
      </c>
      <c r="M875" s="150">
        <f t="shared" si="242"/>
        <v>160000</v>
      </c>
      <c r="N875" s="150">
        <f t="shared" si="242"/>
        <v>0</v>
      </c>
      <c r="O875" s="150">
        <f t="shared" si="242"/>
        <v>0</v>
      </c>
      <c r="P875" s="150">
        <f t="shared" si="242"/>
        <v>170000</v>
      </c>
      <c r="Q875" s="150">
        <f t="shared" si="242"/>
        <v>0</v>
      </c>
      <c r="R875" s="150">
        <f t="shared" si="242"/>
        <v>0</v>
      </c>
      <c r="S875" s="150">
        <f t="shared" si="242"/>
        <v>170000</v>
      </c>
      <c r="T875" s="198"/>
      <c r="U875" s="160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98"/>
      <c r="U876" s="160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S877" si="243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3"/>
        <v>0</v>
      </c>
      <c r="J877" s="148">
        <f t="shared" si="243"/>
        <v>2</v>
      </c>
      <c r="K877" s="148">
        <f t="shared" si="243"/>
        <v>0</v>
      </c>
      <c r="L877" s="148">
        <f t="shared" si="243"/>
        <v>0</v>
      </c>
      <c r="M877" s="148">
        <f t="shared" si="243"/>
        <v>6</v>
      </c>
      <c r="N877" s="148">
        <f t="shared" si="243"/>
        <v>0</v>
      </c>
      <c r="O877" s="148">
        <f t="shared" si="243"/>
        <v>0</v>
      </c>
      <c r="P877" s="148">
        <f t="shared" si="243"/>
        <v>5</v>
      </c>
      <c r="Q877" s="148">
        <f t="shared" si="243"/>
        <v>0</v>
      </c>
      <c r="R877" s="148">
        <f t="shared" si="243"/>
        <v>0</v>
      </c>
      <c r="S877" s="148">
        <f t="shared" si="243"/>
        <v>5</v>
      </c>
      <c r="T877" s="198"/>
      <c r="U877" s="160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S878" si="244">(H866*H877)</f>
        <v>0</v>
      </c>
      <c r="I878" s="150">
        <f t="shared" si="244"/>
        <v>0</v>
      </c>
      <c r="J878" s="150">
        <f t="shared" si="244"/>
        <v>16000</v>
      </c>
      <c r="K878" s="150">
        <f t="shared" si="244"/>
        <v>0</v>
      </c>
      <c r="L878" s="150">
        <f t="shared" si="244"/>
        <v>0</v>
      </c>
      <c r="M878" s="150">
        <f t="shared" si="244"/>
        <v>48000</v>
      </c>
      <c r="N878" s="150">
        <f t="shared" si="244"/>
        <v>0</v>
      </c>
      <c r="O878" s="150">
        <f t="shared" si="244"/>
        <v>0</v>
      </c>
      <c r="P878" s="150">
        <f t="shared" si="244"/>
        <v>40000</v>
      </c>
      <c r="Q878" s="150">
        <f t="shared" si="244"/>
        <v>0</v>
      </c>
      <c r="R878" s="150">
        <f t="shared" si="244"/>
        <v>0</v>
      </c>
      <c r="S878" s="150">
        <f t="shared" si="244"/>
        <v>40000</v>
      </c>
      <c r="T878" s="198"/>
      <c r="U878" s="160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98"/>
      <c r="U879" s="160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S880" si="245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5"/>
        <v>0</v>
      </c>
      <c r="J880" s="148">
        <f t="shared" si="245"/>
        <v>1</v>
      </c>
      <c r="K880" s="148">
        <f t="shared" si="245"/>
        <v>0</v>
      </c>
      <c r="L880" s="148">
        <f t="shared" si="245"/>
        <v>0</v>
      </c>
      <c r="M880" s="148">
        <f t="shared" si="245"/>
        <v>4</v>
      </c>
      <c r="N880" s="148">
        <f t="shared" si="245"/>
        <v>0</v>
      </c>
      <c r="O880" s="148">
        <f t="shared" si="245"/>
        <v>0</v>
      </c>
      <c r="P880" s="148">
        <f t="shared" si="245"/>
        <v>4</v>
      </c>
      <c r="Q880" s="148">
        <f t="shared" si="245"/>
        <v>0</v>
      </c>
      <c r="R880" s="148">
        <f t="shared" si="245"/>
        <v>0</v>
      </c>
      <c r="S880" s="148">
        <f t="shared" si="245"/>
        <v>4</v>
      </c>
      <c r="T880" s="198"/>
      <c r="U880" s="160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S881" si="246">(H867*H880)</f>
        <v>0</v>
      </c>
      <c r="I881" s="150">
        <f t="shared" si="246"/>
        <v>0</v>
      </c>
      <c r="J881" s="150">
        <f t="shared" si="246"/>
        <v>72000</v>
      </c>
      <c r="K881" s="150">
        <f t="shared" si="246"/>
        <v>0</v>
      </c>
      <c r="L881" s="150">
        <f t="shared" si="246"/>
        <v>0</v>
      </c>
      <c r="M881" s="150">
        <f t="shared" si="246"/>
        <v>288000</v>
      </c>
      <c r="N881" s="150">
        <f t="shared" si="246"/>
        <v>0</v>
      </c>
      <c r="O881" s="150">
        <f t="shared" si="246"/>
        <v>0</v>
      </c>
      <c r="P881" s="150">
        <f t="shared" si="246"/>
        <v>288000</v>
      </c>
      <c r="Q881" s="150">
        <f t="shared" si="246"/>
        <v>0</v>
      </c>
      <c r="R881" s="150">
        <f t="shared" si="246"/>
        <v>0</v>
      </c>
      <c r="S881" s="150">
        <f t="shared" si="246"/>
        <v>288000</v>
      </c>
      <c r="T881" s="198"/>
      <c r="U881" s="160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98"/>
      <c r="U882" s="160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S883" si="247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7"/>
        <v>0</v>
      </c>
      <c r="J883" s="148">
        <f t="shared" si="247"/>
        <v>0</v>
      </c>
      <c r="K883" s="148">
        <f t="shared" si="247"/>
        <v>0</v>
      </c>
      <c r="L883" s="148">
        <f t="shared" si="247"/>
        <v>0</v>
      </c>
      <c r="M883" s="148">
        <f t="shared" si="247"/>
        <v>0</v>
      </c>
      <c r="N883" s="148">
        <f t="shared" si="247"/>
        <v>0</v>
      </c>
      <c r="O883" s="148">
        <f t="shared" si="247"/>
        <v>0</v>
      </c>
      <c r="P883" s="148">
        <f t="shared" si="247"/>
        <v>0</v>
      </c>
      <c r="Q883" s="148">
        <f t="shared" si="247"/>
        <v>0</v>
      </c>
      <c r="R883" s="148">
        <f t="shared" si="247"/>
        <v>0</v>
      </c>
      <c r="S883" s="148">
        <f t="shared" si="247"/>
        <v>0</v>
      </c>
      <c r="T883" s="198"/>
      <c r="U883" s="160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S884" si="248">(H868*H883)</f>
        <v>0</v>
      </c>
      <c r="I884" s="150">
        <f t="shared" si="248"/>
        <v>0</v>
      </c>
      <c r="J884" s="150">
        <f t="shared" si="248"/>
        <v>0</v>
      </c>
      <c r="K884" s="150">
        <f t="shared" si="248"/>
        <v>0</v>
      </c>
      <c r="L884" s="150">
        <f t="shared" si="248"/>
        <v>0</v>
      </c>
      <c r="M884" s="150">
        <f t="shared" si="248"/>
        <v>0</v>
      </c>
      <c r="N884" s="150">
        <f t="shared" si="248"/>
        <v>0</v>
      </c>
      <c r="O884" s="150">
        <f t="shared" si="248"/>
        <v>0</v>
      </c>
      <c r="P884" s="150">
        <f t="shared" si="248"/>
        <v>0</v>
      </c>
      <c r="Q884" s="150">
        <f t="shared" si="248"/>
        <v>0</v>
      </c>
      <c r="R884" s="150">
        <f t="shared" si="248"/>
        <v>0</v>
      </c>
      <c r="S884" s="150">
        <f t="shared" si="248"/>
        <v>0</v>
      </c>
      <c r="T884" s="198"/>
      <c r="U884" s="160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63"/>
      <c r="N885" s="163"/>
      <c r="O885" s="163"/>
      <c r="P885" s="163"/>
      <c r="Q885" s="163"/>
      <c r="R885" s="163"/>
      <c r="S885" s="163"/>
      <c r="T885" s="1"/>
      <c r="U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60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201</v>
      </c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198"/>
      <c r="U887" s="160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0.05608686567</v>
      </c>
      <c r="H888" s="210">
        <f>H$468</f>
        <v>5636730</v>
      </c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198"/>
      <c r="U888" s="160"/>
    </row>
    <row r="889">
      <c r="A889" s="160"/>
      <c r="B889" s="160"/>
      <c r="C889" s="160"/>
      <c r="D889" s="160"/>
      <c r="E889" s="172" t="s">
        <v>298</v>
      </c>
      <c r="G889" s="19"/>
      <c r="H889" s="158">
        <v>500000.0</v>
      </c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211"/>
      <c r="U889" s="160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100500000</v>
      </c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1"/>
      <c r="U890" s="160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1"/>
      <c r="U891" s="160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0.1121737313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3">
        <v>0.1</v>
      </c>
      <c r="N892" s="213">
        <v>0.07</v>
      </c>
      <c r="O892" s="213">
        <v>0.05</v>
      </c>
      <c r="P892" s="213">
        <v>0.04</v>
      </c>
      <c r="Q892" s="213">
        <v>0.0</v>
      </c>
      <c r="R892" s="213">
        <v>0.0</v>
      </c>
      <c r="S892" s="213">
        <v>0.0</v>
      </c>
      <c r="T892" s="211"/>
      <c r="U892" s="160"/>
    </row>
    <row r="893">
      <c r="A893" s="160"/>
      <c r="B893" s="160"/>
      <c r="C893" s="160"/>
      <c r="D893" s="160"/>
      <c r="E893" s="172" t="s">
        <v>301</v>
      </c>
      <c r="G893" s="149">
        <f>H890*G892</f>
        <v>11273460</v>
      </c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211"/>
      <c r="U893" s="160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5636730</v>
      </c>
      <c r="I894" s="149">
        <f t="shared" ref="I894:S894" si="249">H894+I903</f>
        <v>7446730</v>
      </c>
      <c r="J894" s="149">
        <f t="shared" si="249"/>
        <v>8378730</v>
      </c>
      <c r="K894" s="149">
        <f t="shared" si="249"/>
        <v>9202730</v>
      </c>
      <c r="L894" s="149">
        <f t="shared" si="249"/>
        <v>9766730</v>
      </c>
      <c r="M894" s="149">
        <f t="shared" si="249"/>
        <v>10306730</v>
      </c>
      <c r="N894" s="149">
        <f t="shared" si="249"/>
        <v>10680730</v>
      </c>
      <c r="O894" s="149">
        <f t="shared" si="249"/>
        <v>10960730</v>
      </c>
      <c r="P894" s="149">
        <f t="shared" si="249"/>
        <v>11168730</v>
      </c>
      <c r="Q894" s="149">
        <f t="shared" si="249"/>
        <v>11168730</v>
      </c>
      <c r="R894" s="149">
        <f t="shared" si="249"/>
        <v>11168730</v>
      </c>
      <c r="S894" s="149">
        <f t="shared" si="249"/>
        <v>11168730</v>
      </c>
      <c r="T894" s="214">
        <f>R894</f>
        <v>11168730</v>
      </c>
      <c r="U894" s="160"/>
    </row>
    <row r="895">
      <c r="A895" s="160"/>
      <c r="B895" s="160"/>
      <c r="C895" s="160"/>
      <c r="D895" s="160"/>
      <c r="E895" s="172" t="s">
        <v>303</v>
      </c>
      <c r="G895" s="149">
        <f>G893-H894</f>
        <v>5636730</v>
      </c>
      <c r="H895" s="149">
        <f t="shared" ref="H895:S895" si="250">$G$895*H892</f>
        <v>0</v>
      </c>
      <c r="I895" s="149">
        <f t="shared" si="250"/>
        <v>1803753.6</v>
      </c>
      <c r="J895" s="149">
        <f t="shared" si="250"/>
        <v>958244.1</v>
      </c>
      <c r="K895" s="149">
        <f t="shared" si="250"/>
        <v>845509.5</v>
      </c>
      <c r="L895" s="149">
        <f t="shared" si="250"/>
        <v>563673</v>
      </c>
      <c r="M895" s="149">
        <f t="shared" si="250"/>
        <v>563673</v>
      </c>
      <c r="N895" s="149">
        <f t="shared" si="250"/>
        <v>394571.1</v>
      </c>
      <c r="O895" s="149">
        <f t="shared" si="250"/>
        <v>281836.5</v>
      </c>
      <c r="P895" s="149">
        <f t="shared" si="250"/>
        <v>225469.2</v>
      </c>
      <c r="Q895" s="149">
        <f t="shared" si="250"/>
        <v>0</v>
      </c>
      <c r="R895" s="149">
        <f t="shared" si="250"/>
        <v>0</v>
      </c>
      <c r="S895" s="149">
        <f t="shared" si="250"/>
        <v>0</v>
      </c>
      <c r="T895" s="214">
        <f>SUM(H895:S895)</f>
        <v>5636730</v>
      </c>
      <c r="U895" s="160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1"/>
      <c r="U896" s="160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S897" si="251">$H$890-H894</f>
        <v>94863270</v>
      </c>
      <c r="I897" s="149">
        <f t="shared" si="251"/>
        <v>93053270</v>
      </c>
      <c r="J897" s="149">
        <f t="shared" si="251"/>
        <v>92121270</v>
      </c>
      <c r="K897" s="149">
        <f t="shared" si="251"/>
        <v>91297270</v>
      </c>
      <c r="L897" s="149">
        <f t="shared" si="251"/>
        <v>90733270</v>
      </c>
      <c r="M897" s="149">
        <f t="shared" si="251"/>
        <v>90193270</v>
      </c>
      <c r="N897" s="149">
        <f t="shared" si="251"/>
        <v>89819270</v>
      </c>
      <c r="O897" s="149">
        <f t="shared" si="251"/>
        <v>89539270</v>
      </c>
      <c r="P897" s="149">
        <f t="shared" si="251"/>
        <v>89331270</v>
      </c>
      <c r="Q897" s="149">
        <f t="shared" si="251"/>
        <v>89331270</v>
      </c>
      <c r="R897" s="149">
        <f t="shared" si="251"/>
        <v>89331270</v>
      </c>
      <c r="S897" s="149">
        <f t="shared" si="251"/>
        <v>89331270</v>
      </c>
      <c r="T897" s="149"/>
      <c r="U897" s="160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T898" si="252">IFERROR(H894/$H$890,0)</f>
        <v>0.05608686567</v>
      </c>
      <c r="I898" s="142">
        <f t="shared" si="252"/>
        <v>0.07409681592</v>
      </c>
      <c r="J898" s="142">
        <f t="shared" si="252"/>
        <v>0.08337044776</v>
      </c>
      <c r="K898" s="142">
        <f t="shared" si="252"/>
        <v>0.09156945274</v>
      </c>
      <c r="L898" s="142">
        <f t="shared" si="252"/>
        <v>0.09718139303</v>
      </c>
      <c r="M898" s="142">
        <f t="shared" si="252"/>
        <v>0.1025545274</v>
      </c>
      <c r="N898" s="142">
        <f t="shared" si="252"/>
        <v>0.1062759204</v>
      </c>
      <c r="O898" s="142">
        <f t="shared" si="252"/>
        <v>0.10906199</v>
      </c>
      <c r="P898" s="142">
        <f t="shared" si="252"/>
        <v>0.1111316418</v>
      </c>
      <c r="Q898" s="142">
        <f t="shared" si="252"/>
        <v>0.1111316418</v>
      </c>
      <c r="R898" s="142">
        <f t="shared" si="252"/>
        <v>0.1111316418</v>
      </c>
      <c r="S898" s="142">
        <f t="shared" si="252"/>
        <v>0.1111316418</v>
      </c>
      <c r="T898" s="215">
        <f t="shared" si="252"/>
        <v>0.1111316418</v>
      </c>
      <c r="U898" s="160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T899" si="253">IFERROR(1-(H894/$H$890),0)</f>
        <v>0.9439131343</v>
      </c>
      <c r="I899" s="216">
        <f t="shared" si="253"/>
        <v>0.9259031841</v>
      </c>
      <c r="J899" s="216">
        <f t="shared" si="253"/>
        <v>0.9166295522</v>
      </c>
      <c r="K899" s="216">
        <f t="shared" si="253"/>
        <v>0.9084305473</v>
      </c>
      <c r="L899" s="216">
        <f t="shared" si="253"/>
        <v>0.902818607</v>
      </c>
      <c r="M899" s="216">
        <f t="shared" si="253"/>
        <v>0.8974454726</v>
      </c>
      <c r="N899" s="216">
        <f t="shared" si="253"/>
        <v>0.8937240796</v>
      </c>
      <c r="O899" s="216">
        <f t="shared" si="253"/>
        <v>0.89093801</v>
      </c>
      <c r="P899" s="216">
        <f t="shared" si="253"/>
        <v>0.8888683582</v>
      </c>
      <c r="Q899" s="216">
        <f t="shared" si="253"/>
        <v>0.8888683582</v>
      </c>
      <c r="R899" s="216">
        <f t="shared" si="253"/>
        <v>0.8888683582</v>
      </c>
      <c r="S899" s="216">
        <f t="shared" si="253"/>
        <v>0.8888683582</v>
      </c>
      <c r="T899" s="215">
        <f t="shared" si="253"/>
        <v>0.8888683582</v>
      </c>
      <c r="U899" s="160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211"/>
      <c r="U900" s="160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4">ROUNDUP(H895/H902,0)</f>
        <v>0</v>
      </c>
      <c r="I901" s="217">
        <f t="shared" si="254"/>
        <v>100</v>
      </c>
      <c r="J901" s="217">
        <f t="shared" si="254"/>
        <v>53</v>
      </c>
      <c r="K901" s="217">
        <f t="shared" si="254"/>
        <v>47</v>
      </c>
      <c r="L901" s="217">
        <f t="shared" si="254"/>
        <v>32</v>
      </c>
      <c r="M901" s="217">
        <f>ROUND(M895/M902,0)</f>
        <v>31</v>
      </c>
      <c r="N901" s="217">
        <f t="shared" ref="N901:S901" si="255">ROUNDUP(N895/N902,0)</f>
        <v>22</v>
      </c>
      <c r="O901" s="217">
        <f t="shared" si="255"/>
        <v>16</v>
      </c>
      <c r="P901" s="217">
        <f t="shared" si="255"/>
        <v>13</v>
      </c>
      <c r="Q901" s="217">
        <f t="shared" si="255"/>
        <v>0</v>
      </c>
      <c r="R901" s="217">
        <f t="shared" si="255"/>
        <v>0</v>
      </c>
      <c r="S901" s="217">
        <f t="shared" si="255"/>
        <v>0</v>
      </c>
      <c r="T901" s="218">
        <f>SUM(H901:S901)</f>
        <v>314</v>
      </c>
      <c r="U901" s="160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56">
        <v>18100.0</v>
      </c>
      <c r="N902" s="156">
        <v>18100.0</v>
      </c>
      <c r="O902" s="156">
        <v>18100.0</v>
      </c>
      <c r="P902" s="156">
        <v>18100.0</v>
      </c>
      <c r="Q902" s="156">
        <v>18100.0</v>
      </c>
      <c r="R902" s="156">
        <v>18100.0</v>
      </c>
      <c r="S902" s="156">
        <v>18100.0</v>
      </c>
      <c r="T902" s="198"/>
      <c r="U902" s="160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S903" si="256">SUM(H917,H920,H923,H926,H929)</f>
        <v>0</v>
      </c>
      <c r="I903" s="188">
        <f t="shared" si="256"/>
        <v>1810000</v>
      </c>
      <c r="J903" s="188">
        <f t="shared" si="256"/>
        <v>932000</v>
      </c>
      <c r="K903" s="188">
        <f t="shared" si="256"/>
        <v>824000</v>
      </c>
      <c r="L903" s="188">
        <f t="shared" si="256"/>
        <v>564000</v>
      </c>
      <c r="M903" s="188">
        <f t="shared" si="256"/>
        <v>540000</v>
      </c>
      <c r="N903" s="188">
        <f t="shared" si="256"/>
        <v>374000</v>
      </c>
      <c r="O903" s="188">
        <f t="shared" si="256"/>
        <v>280000</v>
      </c>
      <c r="P903" s="188">
        <f t="shared" si="256"/>
        <v>208000</v>
      </c>
      <c r="Q903" s="188">
        <f t="shared" si="256"/>
        <v>0</v>
      </c>
      <c r="R903" s="188">
        <f t="shared" si="256"/>
        <v>0</v>
      </c>
      <c r="S903" s="188">
        <f t="shared" si="256"/>
        <v>0</v>
      </c>
      <c r="T903" s="214">
        <f>SUM(H903:S903)</f>
        <v>5532000</v>
      </c>
      <c r="U903" s="160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203">
        <v>0.25</v>
      </c>
      <c r="N904" s="203">
        <v>0.25</v>
      </c>
      <c r="O904" s="203">
        <v>0.25</v>
      </c>
      <c r="P904" s="203">
        <v>0.25</v>
      </c>
      <c r="Q904" s="203">
        <v>0.25</v>
      </c>
      <c r="R904" s="203">
        <v>0.25</v>
      </c>
      <c r="S904" s="203">
        <v>0.25</v>
      </c>
      <c r="T904" s="198"/>
      <c r="U904" s="160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203">
        <v>0.35</v>
      </c>
      <c r="N905" s="203">
        <v>0.35</v>
      </c>
      <c r="O905" s="203">
        <v>0.35</v>
      </c>
      <c r="P905" s="203">
        <v>0.35</v>
      </c>
      <c r="Q905" s="203">
        <v>0.35</v>
      </c>
      <c r="R905" s="203">
        <v>0.35</v>
      </c>
      <c r="S905" s="203">
        <v>0.35</v>
      </c>
      <c r="T905" s="198"/>
      <c r="U905" s="160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203">
        <v>0.2</v>
      </c>
      <c r="N906" s="203">
        <v>0.2</v>
      </c>
      <c r="O906" s="203">
        <v>0.2</v>
      </c>
      <c r="P906" s="203">
        <v>0.2</v>
      </c>
      <c r="Q906" s="203">
        <v>0.2</v>
      </c>
      <c r="R906" s="203">
        <v>0.2</v>
      </c>
      <c r="S906" s="203">
        <v>0.2</v>
      </c>
      <c r="T906" s="198"/>
      <c r="U906" s="160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203">
        <v>0.2</v>
      </c>
      <c r="N907" s="203">
        <v>0.2</v>
      </c>
      <c r="O907" s="203">
        <v>0.2</v>
      </c>
      <c r="P907" s="203">
        <v>0.2</v>
      </c>
      <c r="Q907" s="203">
        <v>0.2</v>
      </c>
      <c r="R907" s="203">
        <v>0.2</v>
      </c>
      <c r="S907" s="203">
        <v>0.2</v>
      </c>
      <c r="T907" s="198"/>
      <c r="U907" s="160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203">
        <v>0.0</v>
      </c>
      <c r="N908" s="203">
        <v>0.0</v>
      </c>
      <c r="O908" s="203">
        <v>0.0</v>
      </c>
      <c r="P908" s="203">
        <v>0.0</v>
      </c>
      <c r="Q908" s="203">
        <v>0.0</v>
      </c>
      <c r="R908" s="203">
        <v>0.0</v>
      </c>
      <c r="S908" s="203">
        <v>0.0</v>
      </c>
      <c r="T908" s="198"/>
      <c r="U908" s="160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204">
        <v>20000.0</v>
      </c>
      <c r="N909" s="204">
        <v>20000.0</v>
      </c>
      <c r="O909" s="204">
        <v>20000.0</v>
      </c>
      <c r="P909" s="204">
        <v>20000.0</v>
      </c>
      <c r="Q909" s="204">
        <v>20000.0</v>
      </c>
      <c r="R909" s="204">
        <v>20000.0</v>
      </c>
      <c r="S909" s="204">
        <v>20000.0</v>
      </c>
      <c r="T909" s="198"/>
      <c r="U909" s="160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204">
        <v>10000.0</v>
      </c>
      <c r="N910" s="204">
        <v>10000.0</v>
      </c>
      <c r="O910" s="204">
        <v>10000.0</v>
      </c>
      <c r="P910" s="204">
        <v>10000.0</v>
      </c>
      <c r="Q910" s="204">
        <v>10000.0</v>
      </c>
      <c r="R910" s="204">
        <v>10000.0</v>
      </c>
      <c r="S910" s="204">
        <v>10000.0</v>
      </c>
      <c r="T910" s="198"/>
      <c r="U910" s="160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204">
        <v>6000.0</v>
      </c>
      <c r="N911" s="204">
        <v>6000.0</v>
      </c>
      <c r="O911" s="204">
        <v>6000.0</v>
      </c>
      <c r="P911" s="204">
        <v>6000.0</v>
      </c>
      <c r="Q911" s="204">
        <v>6000.0</v>
      </c>
      <c r="R911" s="204">
        <v>6000.0</v>
      </c>
      <c r="S911" s="204">
        <v>6000.0</v>
      </c>
      <c r="T911" s="198"/>
      <c r="U911" s="160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204">
        <v>42000.0</v>
      </c>
      <c r="N912" s="204">
        <v>42000.0</v>
      </c>
      <c r="O912" s="204">
        <v>42000.0</v>
      </c>
      <c r="P912" s="204">
        <v>42000.0</v>
      </c>
      <c r="Q912" s="204">
        <v>42000.0</v>
      </c>
      <c r="R912" s="204">
        <v>42000.0</v>
      </c>
      <c r="S912" s="204">
        <v>42000.0</v>
      </c>
      <c r="T912" s="198"/>
      <c r="U912" s="160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204">
        <v>0.0</v>
      </c>
      <c r="N913" s="204">
        <v>0.0</v>
      </c>
      <c r="O913" s="204">
        <v>0.0</v>
      </c>
      <c r="P913" s="204">
        <v>0.0</v>
      </c>
      <c r="Q913" s="204">
        <v>0.0</v>
      </c>
      <c r="R913" s="204">
        <v>0.0</v>
      </c>
      <c r="S913" s="204">
        <v>0.0</v>
      </c>
      <c r="T913" s="198"/>
      <c r="U913" s="160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62">
        <f>IFERROR(__xludf.DUMMYFUNCTION("MATCH(
  MIN(FILTER(M909:M913,M909:M913&gt;0)),
  M909:M913,
  0
)
"),3.0)</f>
        <v>3</v>
      </c>
      <c r="N914" s="162">
        <f>IFERROR(__xludf.DUMMYFUNCTION("MATCH(
  MIN(FILTER(N909:N913,N909:N913&gt;0)),
  N909:N913,
  0
)
"),3.0)</f>
        <v>3</v>
      </c>
      <c r="O914" s="162">
        <f>IFERROR(__xludf.DUMMYFUNCTION("MATCH(
  MIN(FILTER(O909:O913,O909:O913&gt;0)),
  O909:O913,
  0
)
"),3.0)</f>
        <v>3</v>
      </c>
      <c r="P914" s="162">
        <f>IFERROR(__xludf.DUMMYFUNCTION("MATCH(
  MIN(FILTER(P909:P913,P909:P913&gt;0)),
  P909:P913,
  0
)
"),3.0)</f>
        <v>3</v>
      </c>
      <c r="Q914" s="162">
        <f>IFERROR(__xludf.DUMMYFUNCTION("MATCH(
  MIN(FILTER(Q909:Q913,Q909:Q913&gt;0)),
  Q909:Q913,
  0
)
"),3.0)</f>
        <v>3</v>
      </c>
      <c r="R914" s="162">
        <f>IFERROR(__xludf.DUMMYFUNCTION("MATCH(
  MIN(FILTER(R909:R913,R909:R913&gt;0)),
  R909:R913,
  0
)
"),3.0)</f>
        <v>3</v>
      </c>
      <c r="S914" s="162">
        <f>IFERROR(__xludf.DUMMYFUNCTION("MATCH(
  MIN(FILTER(S909:S913,S909:S913&gt;0)),
  S909:S913,
  0
)
"),3.0)</f>
        <v>3</v>
      </c>
      <c r="T914" s="198"/>
      <c r="U914" s="160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98"/>
      <c r="U915" s="160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S916" si="257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7"/>
        <v>25</v>
      </c>
      <c r="J916" s="148">
        <f t="shared" si="257"/>
        <v>13</v>
      </c>
      <c r="K916" s="148">
        <f t="shared" si="257"/>
        <v>11</v>
      </c>
      <c r="L916" s="148">
        <f t="shared" si="257"/>
        <v>8</v>
      </c>
      <c r="M916" s="148">
        <f t="shared" si="257"/>
        <v>7</v>
      </c>
      <c r="N916" s="148">
        <f t="shared" si="257"/>
        <v>5</v>
      </c>
      <c r="O916" s="148">
        <f t="shared" si="257"/>
        <v>4</v>
      </c>
      <c r="P916" s="148">
        <f t="shared" si="257"/>
        <v>3</v>
      </c>
      <c r="Q916" s="148">
        <f t="shared" si="257"/>
        <v>0</v>
      </c>
      <c r="R916" s="148">
        <f t="shared" si="257"/>
        <v>0</v>
      </c>
      <c r="S916" s="148">
        <f t="shared" si="257"/>
        <v>0</v>
      </c>
      <c r="T916" s="198"/>
      <c r="U916" s="160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S917" si="258">(H916*H909)</f>
        <v>0</v>
      </c>
      <c r="I917" s="150">
        <f t="shared" si="258"/>
        <v>500000</v>
      </c>
      <c r="J917" s="150">
        <f t="shared" si="258"/>
        <v>260000</v>
      </c>
      <c r="K917" s="150">
        <f t="shared" si="258"/>
        <v>220000</v>
      </c>
      <c r="L917" s="150">
        <f t="shared" si="258"/>
        <v>160000</v>
      </c>
      <c r="M917" s="150">
        <f t="shared" si="258"/>
        <v>140000</v>
      </c>
      <c r="N917" s="150">
        <f t="shared" si="258"/>
        <v>100000</v>
      </c>
      <c r="O917" s="150">
        <f t="shared" si="258"/>
        <v>80000</v>
      </c>
      <c r="P917" s="150">
        <f t="shared" si="258"/>
        <v>60000</v>
      </c>
      <c r="Q917" s="150">
        <f t="shared" si="258"/>
        <v>0</v>
      </c>
      <c r="R917" s="150">
        <f t="shared" si="258"/>
        <v>0</v>
      </c>
      <c r="S917" s="150">
        <f t="shared" si="258"/>
        <v>0</v>
      </c>
      <c r="T917" s="198"/>
      <c r="U917" s="160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98"/>
      <c r="U918" s="160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S919" si="259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59"/>
        <v>35</v>
      </c>
      <c r="J919" s="148">
        <f t="shared" si="259"/>
        <v>18</v>
      </c>
      <c r="K919" s="148">
        <f t="shared" si="259"/>
        <v>16</v>
      </c>
      <c r="L919" s="148">
        <f t="shared" si="259"/>
        <v>11</v>
      </c>
      <c r="M919" s="148">
        <f t="shared" si="259"/>
        <v>10</v>
      </c>
      <c r="N919" s="148">
        <f t="shared" si="259"/>
        <v>7</v>
      </c>
      <c r="O919" s="148">
        <f t="shared" si="259"/>
        <v>5</v>
      </c>
      <c r="P919" s="148">
        <f t="shared" si="259"/>
        <v>4</v>
      </c>
      <c r="Q919" s="148">
        <f t="shared" si="259"/>
        <v>0</v>
      </c>
      <c r="R919" s="148">
        <f t="shared" si="259"/>
        <v>0</v>
      </c>
      <c r="S919" s="148">
        <f t="shared" si="259"/>
        <v>0</v>
      </c>
      <c r="T919" s="198"/>
      <c r="U919" s="160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S920" si="260">(H910*H919)</f>
        <v>0</v>
      </c>
      <c r="I920" s="150">
        <f t="shared" si="260"/>
        <v>350000</v>
      </c>
      <c r="J920" s="150">
        <f t="shared" si="260"/>
        <v>180000</v>
      </c>
      <c r="K920" s="150">
        <f t="shared" si="260"/>
        <v>160000</v>
      </c>
      <c r="L920" s="150">
        <f t="shared" si="260"/>
        <v>110000</v>
      </c>
      <c r="M920" s="150">
        <f t="shared" si="260"/>
        <v>100000</v>
      </c>
      <c r="N920" s="150">
        <f t="shared" si="260"/>
        <v>70000</v>
      </c>
      <c r="O920" s="150">
        <f t="shared" si="260"/>
        <v>50000</v>
      </c>
      <c r="P920" s="150">
        <f t="shared" si="260"/>
        <v>40000</v>
      </c>
      <c r="Q920" s="150">
        <f t="shared" si="260"/>
        <v>0</v>
      </c>
      <c r="R920" s="150">
        <f t="shared" si="260"/>
        <v>0</v>
      </c>
      <c r="S920" s="150">
        <f t="shared" si="260"/>
        <v>0</v>
      </c>
      <c r="T920" s="198"/>
      <c r="U920" s="160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98"/>
      <c r="U921" s="160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S922" si="261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61"/>
        <v>20</v>
      </c>
      <c r="J922" s="148">
        <f t="shared" si="261"/>
        <v>12</v>
      </c>
      <c r="K922" s="148">
        <f t="shared" si="261"/>
        <v>11</v>
      </c>
      <c r="L922" s="148">
        <f t="shared" si="261"/>
        <v>7</v>
      </c>
      <c r="M922" s="148">
        <f t="shared" si="261"/>
        <v>8</v>
      </c>
      <c r="N922" s="148">
        <f t="shared" si="261"/>
        <v>6</v>
      </c>
      <c r="O922" s="148">
        <f t="shared" si="261"/>
        <v>4</v>
      </c>
      <c r="P922" s="148">
        <f t="shared" si="261"/>
        <v>4</v>
      </c>
      <c r="Q922" s="148">
        <f t="shared" si="261"/>
        <v>0</v>
      </c>
      <c r="R922" s="148">
        <f t="shared" si="261"/>
        <v>0</v>
      </c>
      <c r="S922" s="148">
        <f t="shared" si="261"/>
        <v>0</v>
      </c>
      <c r="T922" s="198"/>
      <c r="U922" s="160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S923" si="262">(H911*H922)</f>
        <v>0</v>
      </c>
      <c r="I923" s="150">
        <f t="shared" si="262"/>
        <v>120000</v>
      </c>
      <c r="J923" s="150">
        <f t="shared" si="262"/>
        <v>72000</v>
      </c>
      <c r="K923" s="150">
        <f t="shared" si="262"/>
        <v>66000</v>
      </c>
      <c r="L923" s="150">
        <f t="shared" si="262"/>
        <v>42000</v>
      </c>
      <c r="M923" s="150">
        <f t="shared" si="262"/>
        <v>48000</v>
      </c>
      <c r="N923" s="150">
        <f t="shared" si="262"/>
        <v>36000</v>
      </c>
      <c r="O923" s="150">
        <f t="shared" si="262"/>
        <v>24000</v>
      </c>
      <c r="P923" s="150">
        <f t="shared" si="262"/>
        <v>24000</v>
      </c>
      <c r="Q923" s="150">
        <f t="shared" si="262"/>
        <v>0</v>
      </c>
      <c r="R923" s="150">
        <f t="shared" si="262"/>
        <v>0</v>
      </c>
      <c r="S923" s="150">
        <f t="shared" si="262"/>
        <v>0</v>
      </c>
      <c r="T923" s="198"/>
      <c r="U923" s="160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98"/>
      <c r="U924" s="160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S925" si="263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3"/>
        <v>20</v>
      </c>
      <c r="J925" s="148">
        <f t="shared" si="263"/>
        <v>10</v>
      </c>
      <c r="K925" s="148">
        <f t="shared" si="263"/>
        <v>9</v>
      </c>
      <c r="L925" s="148">
        <f t="shared" si="263"/>
        <v>6</v>
      </c>
      <c r="M925" s="148">
        <f t="shared" si="263"/>
        <v>6</v>
      </c>
      <c r="N925" s="148">
        <f t="shared" si="263"/>
        <v>4</v>
      </c>
      <c r="O925" s="148">
        <f t="shared" si="263"/>
        <v>3</v>
      </c>
      <c r="P925" s="148">
        <f t="shared" si="263"/>
        <v>2</v>
      </c>
      <c r="Q925" s="148">
        <f t="shared" si="263"/>
        <v>0</v>
      </c>
      <c r="R925" s="148">
        <f t="shared" si="263"/>
        <v>0</v>
      </c>
      <c r="S925" s="148">
        <f t="shared" si="263"/>
        <v>0</v>
      </c>
      <c r="T925" s="198"/>
      <c r="U925" s="160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S926" si="264">(H912*H925)</f>
        <v>0</v>
      </c>
      <c r="I926" s="150">
        <f t="shared" si="264"/>
        <v>840000</v>
      </c>
      <c r="J926" s="150">
        <f t="shared" si="264"/>
        <v>420000</v>
      </c>
      <c r="K926" s="150">
        <f t="shared" si="264"/>
        <v>378000</v>
      </c>
      <c r="L926" s="150">
        <f t="shared" si="264"/>
        <v>252000</v>
      </c>
      <c r="M926" s="150">
        <f t="shared" si="264"/>
        <v>252000</v>
      </c>
      <c r="N926" s="150">
        <f t="shared" si="264"/>
        <v>168000</v>
      </c>
      <c r="O926" s="150">
        <f t="shared" si="264"/>
        <v>126000</v>
      </c>
      <c r="P926" s="150">
        <f t="shared" si="264"/>
        <v>84000</v>
      </c>
      <c r="Q926" s="150">
        <f t="shared" si="264"/>
        <v>0</v>
      </c>
      <c r="R926" s="150">
        <f t="shared" si="264"/>
        <v>0</v>
      </c>
      <c r="S926" s="150">
        <f t="shared" si="264"/>
        <v>0</v>
      </c>
      <c r="T926" s="198"/>
      <c r="U926" s="160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98"/>
      <c r="U927" s="160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S928" si="265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5"/>
        <v>0</v>
      </c>
      <c r="J928" s="148">
        <f t="shared" si="265"/>
        <v>0</v>
      </c>
      <c r="K928" s="148">
        <f t="shared" si="265"/>
        <v>0</v>
      </c>
      <c r="L928" s="148">
        <f t="shared" si="265"/>
        <v>0</v>
      </c>
      <c r="M928" s="148">
        <f t="shared" si="265"/>
        <v>0</v>
      </c>
      <c r="N928" s="148">
        <f t="shared" si="265"/>
        <v>0</v>
      </c>
      <c r="O928" s="148">
        <f t="shared" si="265"/>
        <v>0</v>
      </c>
      <c r="P928" s="148">
        <f t="shared" si="265"/>
        <v>0</v>
      </c>
      <c r="Q928" s="148">
        <f t="shared" si="265"/>
        <v>0</v>
      </c>
      <c r="R928" s="148">
        <f t="shared" si="265"/>
        <v>0</v>
      </c>
      <c r="S928" s="148">
        <f t="shared" si="265"/>
        <v>0</v>
      </c>
      <c r="T928" s="198"/>
      <c r="U928" s="160"/>
    </row>
    <row r="929">
      <c r="A929" s="160"/>
      <c r="B929" s="160"/>
      <c r="C929" s="160"/>
      <c r="F929" s="172" t="s">
        <v>314</v>
      </c>
      <c r="G929" s="146"/>
      <c r="H929" s="150">
        <f t="shared" ref="H929:S929" si="266">(H913*H928)</f>
        <v>0</v>
      </c>
      <c r="I929" s="150">
        <f t="shared" si="266"/>
        <v>0</v>
      </c>
      <c r="J929" s="150">
        <f t="shared" si="266"/>
        <v>0</v>
      </c>
      <c r="K929" s="150">
        <f t="shared" si="266"/>
        <v>0</v>
      </c>
      <c r="L929" s="150">
        <f t="shared" si="266"/>
        <v>0</v>
      </c>
      <c r="M929" s="150">
        <f t="shared" si="266"/>
        <v>0</v>
      </c>
      <c r="N929" s="150">
        <f t="shared" si="266"/>
        <v>0</v>
      </c>
      <c r="O929" s="150">
        <f t="shared" si="266"/>
        <v>0</v>
      </c>
      <c r="P929" s="150">
        <f t="shared" si="266"/>
        <v>0</v>
      </c>
      <c r="Q929" s="150">
        <f t="shared" si="266"/>
        <v>0</v>
      </c>
      <c r="R929" s="150">
        <f t="shared" si="266"/>
        <v>0</v>
      </c>
      <c r="S929" s="150">
        <f t="shared" si="266"/>
        <v>0</v>
      </c>
      <c r="T929" s="198"/>
      <c r="U929" s="160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98"/>
      <c r="U930" s="160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63"/>
      <c r="N931" s="163"/>
      <c r="O931" s="163"/>
      <c r="P931" s="163"/>
      <c r="Q931" s="163"/>
      <c r="R931" s="163"/>
      <c r="S931" s="163"/>
      <c r="T931" s="1"/>
      <c r="U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60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474</v>
      </c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198"/>
      <c r="U933" s="160"/>
    </row>
    <row r="934">
      <c r="A934" s="160"/>
      <c r="B934" s="160"/>
      <c r="C934" s="160"/>
      <c r="D934" s="160"/>
      <c r="E934" s="13" t="s">
        <v>210</v>
      </c>
      <c r="G934" s="142">
        <f>H934/H936</f>
        <v>0.2030260197</v>
      </c>
      <c r="H934" s="149">
        <f>SUM($H$494)</f>
        <v>8661090</v>
      </c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60"/>
      <c r="U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60"/>
      <c r="U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42660000</v>
      </c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60"/>
      <c r="U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60"/>
      <c r="U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0.3045390295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13">
        <v>0.1</v>
      </c>
      <c r="N938" s="213">
        <v>0.07</v>
      </c>
      <c r="O938" s="213">
        <v>0.05</v>
      </c>
      <c r="P938" s="213">
        <v>0.04</v>
      </c>
      <c r="Q938" s="213">
        <v>0.0</v>
      </c>
      <c r="R938" s="213">
        <v>0.0</v>
      </c>
      <c r="S938" s="213">
        <v>0.0</v>
      </c>
      <c r="T938" s="200">
        <f>SUM(H938:S938)</f>
        <v>1</v>
      </c>
      <c r="U938" s="16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12991635</v>
      </c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6"/>
      <c r="U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8661090</v>
      </c>
      <c r="I940" s="149">
        <f t="shared" ref="I940:S940" si="267">H940+I949</f>
        <v>10051090</v>
      </c>
      <c r="J940" s="149">
        <f t="shared" si="267"/>
        <v>10789090</v>
      </c>
      <c r="K940" s="149">
        <f t="shared" si="267"/>
        <v>11439090</v>
      </c>
      <c r="L940" s="149">
        <f t="shared" si="267"/>
        <v>11879090</v>
      </c>
      <c r="M940" s="149">
        <f t="shared" si="267"/>
        <v>12309090</v>
      </c>
      <c r="N940" s="149">
        <f t="shared" si="267"/>
        <v>12617090</v>
      </c>
      <c r="O940" s="149">
        <f t="shared" si="267"/>
        <v>12837090</v>
      </c>
      <c r="P940" s="149">
        <f t="shared" si="267"/>
        <v>13013090</v>
      </c>
      <c r="Q940" s="149">
        <f t="shared" si="267"/>
        <v>13013090</v>
      </c>
      <c r="R940" s="149">
        <f t="shared" si="267"/>
        <v>13013090</v>
      </c>
      <c r="S940" s="149">
        <f t="shared" si="267"/>
        <v>13013090</v>
      </c>
      <c r="T940" s="199">
        <f>R940</f>
        <v>13013090</v>
      </c>
      <c r="U940" s="16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4330545</v>
      </c>
      <c r="H941" s="149">
        <f t="shared" ref="H941:S941" si="268">$G$941*H938</f>
        <v>0</v>
      </c>
      <c r="I941" s="149">
        <f t="shared" si="268"/>
        <v>1385774.4</v>
      </c>
      <c r="J941" s="149">
        <f t="shared" si="268"/>
        <v>736192.65</v>
      </c>
      <c r="K941" s="149">
        <f t="shared" si="268"/>
        <v>649581.75</v>
      </c>
      <c r="L941" s="149">
        <f t="shared" si="268"/>
        <v>433054.5</v>
      </c>
      <c r="M941" s="149">
        <f t="shared" si="268"/>
        <v>433054.5</v>
      </c>
      <c r="N941" s="149">
        <f t="shared" si="268"/>
        <v>303138.15</v>
      </c>
      <c r="O941" s="149">
        <f t="shared" si="268"/>
        <v>216527.25</v>
      </c>
      <c r="P941" s="149">
        <f t="shared" si="268"/>
        <v>173221.8</v>
      </c>
      <c r="Q941" s="149">
        <f t="shared" si="268"/>
        <v>0</v>
      </c>
      <c r="R941" s="149">
        <f t="shared" si="268"/>
        <v>0</v>
      </c>
      <c r="S941" s="149">
        <f t="shared" si="268"/>
        <v>0</v>
      </c>
      <c r="T941" s="199">
        <f>SUM(H941:S941)</f>
        <v>4330545</v>
      </c>
      <c r="U941" s="16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60"/>
      <c r="U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S943" si="269">$H$936-H940</f>
        <v>33998910</v>
      </c>
      <c r="I943" s="149">
        <f t="shared" si="269"/>
        <v>32608910</v>
      </c>
      <c r="J943" s="149">
        <f t="shared" si="269"/>
        <v>31870910</v>
      </c>
      <c r="K943" s="149">
        <f t="shared" si="269"/>
        <v>31220910</v>
      </c>
      <c r="L943" s="149">
        <f t="shared" si="269"/>
        <v>30780910</v>
      </c>
      <c r="M943" s="149">
        <f t="shared" si="269"/>
        <v>30350910</v>
      </c>
      <c r="N943" s="149">
        <f t="shared" si="269"/>
        <v>30042910</v>
      </c>
      <c r="O943" s="149">
        <f t="shared" si="269"/>
        <v>29822910</v>
      </c>
      <c r="P943" s="149">
        <f t="shared" si="269"/>
        <v>29646910</v>
      </c>
      <c r="Q943" s="149">
        <f t="shared" si="269"/>
        <v>29646910</v>
      </c>
      <c r="R943" s="149">
        <f t="shared" si="269"/>
        <v>29646910</v>
      </c>
      <c r="S943" s="149">
        <f t="shared" si="269"/>
        <v>29646910</v>
      </c>
      <c r="T943" s="160"/>
      <c r="U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T944" si="270">IFERROR(H940/$H$936,0)</f>
        <v>0.2030260197</v>
      </c>
      <c r="I944" s="142">
        <f t="shared" si="270"/>
        <v>0.2356092358</v>
      </c>
      <c r="J944" s="142">
        <f t="shared" si="270"/>
        <v>0.2529088139</v>
      </c>
      <c r="K944" s="142">
        <f t="shared" si="270"/>
        <v>0.2681455696</v>
      </c>
      <c r="L944" s="142">
        <f t="shared" si="270"/>
        <v>0.2784596812</v>
      </c>
      <c r="M944" s="142">
        <f t="shared" si="270"/>
        <v>0.2885393812</v>
      </c>
      <c r="N944" s="142">
        <f t="shared" si="270"/>
        <v>0.2957592593</v>
      </c>
      <c r="O944" s="142">
        <f t="shared" si="270"/>
        <v>0.300916315</v>
      </c>
      <c r="P944" s="142">
        <f t="shared" si="270"/>
        <v>0.3050419597</v>
      </c>
      <c r="Q944" s="142">
        <f t="shared" si="270"/>
        <v>0.3050419597</v>
      </c>
      <c r="R944" s="142">
        <f t="shared" si="270"/>
        <v>0.3050419597</v>
      </c>
      <c r="S944" s="142">
        <f t="shared" si="270"/>
        <v>0.3050419597</v>
      </c>
      <c r="T944" s="200">
        <f t="shared" si="270"/>
        <v>0.3050419597</v>
      </c>
      <c r="U944" s="16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T945" si="271">IFERROR(1-(H940/$H$936),0)</f>
        <v>0.7969739803</v>
      </c>
      <c r="I945" s="142">
        <f t="shared" si="271"/>
        <v>0.7643907642</v>
      </c>
      <c r="J945" s="142">
        <f t="shared" si="271"/>
        <v>0.7470911861</v>
      </c>
      <c r="K945" s="142">
        <f t="shared" si="271"/>
        <v>0.7318544304</v>
      </c>
      <c r="L945" s="142">
        <f t="shared" si="271"/>
        <v>0.7215403188</v>
      </c>
      <c r="M945" s="142">
        <f t="shared" si="271"/>
        <v>0.7114606188</v>
      </c>
      <c r="N945" s="142">
        <f t="shared" si="271"/>
        <v>0.7042407407</v>
      </c>
      <c r="O945" s="142">
        <f t="shared" si="271"/>
        <v>0.699083685</v>
      </c>
      <c r="P945" s="142">
        <f t="shared" si="271"/>
        <v>0.6949580403</v>
      </c>
      <c r="Q945" s="142">
        <f t="shared" si="271"/>
        <v>0.6949580403</v>
      </c>
      <c r="R945" s="142">
        <f t="shared" si="271"/>
        <v>0.6949580403</v>
      </c>
      <c r="S945" s="142">
        <f t="shared" si="271"/>
        <v>0.6949580403</v>
      </c>
      <c r="T945" s="200">
        <f t="shared" si="271"/>
        <v>0.6949580403</v>
      </c>
      <c r="U945" s="16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98"/>
      <c r="U946" s="160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2">ROUNDUP(H941/H948,0)</f>
        <v>0</v>
      </c>
      <c r="I947" s="190">
        <f t="shared" si="272"/>
        <v>158</v>
      </c>
      <c r="J947" s="190">
        <f t="shared" si="272"/>
        <v>84</v>
      </c>
      <c r="K947" s="190">
        <f t="shared" si="272"/>
        <v>74</v>
      </c>
      <c r="L947" s="190">
        <f t="shared" si="272"/>
        <v>50</v>
      </c>
      <c r="M947" s="190">
        <f>ROUND(M941/M948,0)</f>
        <v>49</v>
      </c>
      <c r="N947" s="190">
        <f t="shared" ref="N947:S947" si="273">ROUNDUP(N941/N948,0)</f>
        <v>35</v>
      </c>
      <c r="O947" s="190">
        <f t="shared" si="273"/>
        <v>25</v>
      </c>
      <c r="P947" s="190">
        <f t="shared" si="273"/>
        <v>20</v>
      </c>
      <c r="Q947" s="190">
        <f t="shared" si="273"/>
        <v>0</v>
      </c>
      <c r="R947" s="190">
        <f t="shared" si="273"/>
        <v>0</v>
      </c>
      <c r="S947" s="190">
        <f t="shared" si="273"/>
        <v>0</v>
      </c>
      <c r="T947" s="201">
        <f>SUM(H947:S947)</f>
        <v>495</v>
      </c>
      <c r="U947" s="16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56">
        <v>8800.0</v>
      </c>
      <c r="N948" s="156">
        <v>8800.0</v>
      </c>
      <c r="O948" s="156">
        <v>8800.0</v>
      </c>
      <c r="P948" s="156">
        <v>8800.0</v>
      </c>
      <c r="Q948" s="156">
        <v>8800.0</v>
      </c>
      <c r="R948" s="156">
        <v>8800.0</v>
      </c>
      <c r="S948" s="156">
        <v>8800.0</v>
      </c>
      <c r="T948" s="198"/>
      <c r="U948" s="160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S949" si="274">SUM(H963,H966,H969,H972,H975)</f>
        <v>0</v>
      </c>
      <c r="I949" s="188">
        <f t="shared" si="274"/>
        <v>1390000</v>
      </c>
      <c r="J949" s="188">
        <f t="shared" si="274"/>
        <v>738000</v>
      </c>
      <c r="K949" s="188">
        <f t="shared" si="274"/>
        <v>650000</v>
      </c>
      <c r="L949" s="188">
        <f t="shared" si="274"/>
        <v>440000</v>
      </c>
      <c r="M949" s="188">
        <f t="shared" si="274"/>
        <v>430000</v>
      </c>
      <c r="N949" s="188">
        <f t="shared" si="274"/>
        <v>308000</v>
      </c>
      <c r="O949" s="188">
        <f t="shared" si="274"/>
        <v>220000</v>
      </c>
      <c r="P949" s="188">
        <f t="shared" si="274"/>
        <v>176000</v>
      </c>
      <c r="Q949" s="188">
        <f t="shared" si="274"/>
        <v>0</v>
      </c>
      <c r="R949" s="188">
        <f t="shared" si="274"/>
        <v>0</v>
      </c>
      <c r="S949" s="188">
        <f t="shared" si="274"/>
        <v>0</v>
      </c>
      <c r="T949" s="196">
        <f>SUM(H949:S949)</f>
        <v>4352000</v>
      </c>
      <c r="U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203">
        <v>0.6</v>
      </c>
      <c r="N950" s="203">
        <v>0.6</v>
      </c>
      <c r="O950" s="203">
        <v>0.6</v>
      </c>
      <c r="P950" s="203">
        <v>0.6</v>
      </c>
      <c r="Q950" s="203">
        <v>0.6</v>
      </c>
      <c r="R950" s="203">
        <v>0.6</v>
      </c>
      <c r="S950" s="203">
        <v>0.6</v>
      </c>
      <c r="T950" s="198"/>
      <c r="U950" s="160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203">
        <v>0.4</v>
      </c>
      <c r="N951" s="203">
        <v>0.4</v>
      </c>
      <c r="O951" s="203">
        <v>0.4</v>
      </c>
      <c r="P951" s="203">
        <v>0.4</v>
      </c>
      <c r="Q951" s="203">
        <v>0.4</v>
      </c>
      <c r="R951" s="203">
        <v>0.4</v>
      </c>
      <c r="S951" s="203">
        <v>0.4</v>
      </c>
      <c r="T951" s="198"/>
      <c r="U951" s="160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203">
        <v>0.0</v>
      </c>
      <c r="N952" s="203">
        <v>0.0</v>
      </c>
      <c r="O952" s="203">
        <v>0.0</v>
      </c>
      <c r="P952" s="203">
        <v>0.0</v>
      </c>
      <c r="Q952" s="203">
        <v>0.0</v>
      </c>
      <c r="R952" s="203">
        <v>0.0</v>
      </c>
      <c r="S952" s="203">
        <v>0.0</v>
      </c>
      <c r="T952" s="198"/>
      <c r="U952" s="160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203">
        <v>0.0</v>
      </c>
      <c r="N953" s="203">
        <v>0.0</v>
      </c>
      <c r="O953" s="203">
        <v>0.0</v>
      </c>
      <c r="P953" s="203">
        <v>0.0</v>
      </c>
      <c r="Q953" s="203">
        <v>0.0</v>
      </c>
      <c r="R953" s="203">
        <v>0.0</v>
      </c>
      <c r="S953" s="203">
        <v>0.0</v>
      </c>
      <c r="T953" s="198"/>
      <c r="U953" s="160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203">
        <v>0.0</v>
      </c>
      <c r="N954" s="203">
        <v>0.0</v>
      </c>
      <c r="O954" s="203">
        <v>0.0</v>
      </c>
      <c r="P954" s="203">
        <v>0.0</v>
      </c>
      <c r="Q954" s="203">
        <v>0.0</v>
      </c>
      <c r="R954" s="203">
        <v>0.0</v>
      </c>
      <c r="S954" s="203">
        <v>0.0</v>
      </c>
      <c r="T954" s="198"/>
      <c r="U954" s="160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204">
        <v>8000.0</v>
      </c>
      <c r="N955" s="204">
        <v>8000.0</v>
      </c>
      <c r="O955" s="204">
        <v>8000.0</v>
      </c>
      <c r="P955" s="204">
        <v>8000.0</v>
      </c>
      <c r="Q955" s="204">
        <v>8000.0</v>
      </c>
      <c r="R955" s="204">
        <v>8000.0</v>
      </c>
      <c r="S955" s="204">
        <v>8000.0</v>
      </c>
      <c r="T955" s="198"/>
      <c r="U955" s="160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204">
        <v>10000.0</v>
      </c>
      <c r="N956" s="204">
        <v>10000.0</v>
      </c>
      <c r="O956" s="204">
        <v>10000.0</v>
      </c>
      <c r="P956" s="204">
        <v>10000.0</v>
      </c>
      <c r="Q956" s="204">
        <v>10000.0</v>
      </c>
      <c r="R956" s="204">
        <v>10000.0</v>
      </c>
      <c r="S956" s="204">
        <v>10000.0</v>
      </c>
      <c r="T956" s="198"/>
      <c r="U956" s="160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204">
        <v>0.0</v>
      </c>
      <c r="N957" s="204">
        <v>0.0</v>
      </c>
      <c r="O957" s="204">
        <v>0.0</v>
      </c>
      <c r="P957" s="204">
        <v>0.0</v>
      </c>
      <c r="Q957" s="204">
        <v>0.0</v>
      </c>
      <c r="R957" s="204">
        <v>0.0</v>
      </c>
      <c r="S957" s="204">
        <v>0.0</v>
      </c>
      <c r="T957" s="198"/>
      <c r="U957" s="160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204">
        <v>0.0</v>
      </c>
      <c r="N958" s="204">
        <v>0.0</v>
      </c>
      <c r="O958" s="204">
        <v>0.0</v>
      </c>
      <c r="P958" s="204">
        <v>0.0</v>
      </c>
      <c r="Q958" s="204">
        <v>0.0</v>
      </c>
      <c r="R958" s="204">
        <v>0.0</v>
      </c>
      <c r="S958" s="204">
        <v>0.0</v>
      </c>
      <c r="T958" s="198"/>
      <c r="U958" s="160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204">
        <v>0.0</v>
      </c>
      <c r="N959" s="204">
        <v>0.0</v>
      </c>
      <c r="O959" s="204">
        <v>0.0</v>
      </c>
      <c r="P959" s="204">
        <v>0.0</v>
      </c>
      <c r="Q959" s="204">
        <v>0.0</v>
      </c>
      <c r="R959" s="204">
        <v>0.0</v>
      </c>
      <c r="S959" s="204">
        <v>0.0</v>
      </c>
      <c r="T959" s="198"/>
      <c r="U959" s="160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62">
        <f>IFERROR(__xludf.DUMMYFUNCTION("MATCH(
  MIN(FILTER(M955:M959,M955:M959&gt;0)),
  M955:M959,
  0
)
"),1.0)</f>
        <v>1</v>
      </c>
      <c r="N960" s="162">
        <f>IFERROR(__xludf.DUMMYFUNCTION("MATCH(
  MIN(FILTER(N955:N959,N955:N959&gt;0)),
  N955:N959,
  0
)
"),1.0)</f>
        <v>1</v>
      </c>
      <c r="O960" s="162">
        <f>IFERROR(__xludf.DUMMYFUNCTION("MATCH(
  MIN(FILTER(O955:O959,O955:O959&gt;0)),
  O955:O959,
  0
)
"),1.0)</f>
        <v>1</v>
      </c>
      <c r="P960" s="162">
        <f>IFERROR(__xludf.DUMMYFUNCTION("MATCH(
  MIN(FILTER(P955:P959,P955:P959&gt;0)),
  P955:P959,
  0
)
"),1.0)</f>
        <v>1</v>
      </c>
      <c r="Q960" s="162">
        <f>IFERROR(__xludf.DUMMYFUNCTION("MATCH(
  MIN(FILTER(Q955:Q959,Q955:Q959&gt;0)),
  Q955:Q959,
  0
)
"),1.0)</f>
        <v>1</v>
      </c>
      <c r="R960" s="162">
        <f>IFERROR(__xludf.DUMMYFUNCTION("MATCH(
  MIN(FILTER(R955:R959,R955:R959&gt;0)),
  R955:R959,
  0
)
"),1.0)</f>
        <v>1</v>
      </c>
      <c r="S960" s="162">
        <f>IFERROR(__xludf.DUMMYFUNCTION("MATCH(
  MIN(FILTER(S955:S959,S955:S959&gt;0)),
  S955:S959,
  0
)
"),1.0)</f>
        <v>1</v>
      </c>
      <c r="T960" s="198"/>
      <c r="U960" s="160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98"/>
      <c r="U961" s="160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S962" si="275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5"/>
        <v>95</v>
      </c>
      <c r="J962" s="148">
        <f t="shared" si="275"/>
        <v>51</v>
      </c>
      <c r="K962" s="148">
        <f t="shared" si="275"/>
        <v>45</v>
      </c>
      <c r="L962" s="148">
        <f t="shared" si="275"/>
        <v>30</v>
      </c>
      <c r="M962" s="148">
        <f t="shared" si="275"/>
        <v>30</v>
      </c>
      <c r="N962" s="148">
        <f t="shared" si="275"/>
        <v>21</v>
      </c>
      <c r="O962" s="148">
        <f t="shared" si="275"/>
        <v>15</v>
      </c>
      <c r="P962" s="148">
        <f t="shared" si="275"/>
        <v>12</v>
      </c>
      <c r="Q962" s="148">
        <f t="shared" si="275"/>
        <v>0</v>
      </c>
      <c r="R962" s="148">
        <f t="shared" si="275"/>
        <v>0</v>
      </c>
      <c r="S962" s="148">
        <f t="shared" si="275"/>
        <v>0</v>
      </c>
      <c r="T962" s="198"/>
      <c r="U962" s="160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S963" si="276">(H962*H955)</f>
        <v>0</v>
      </c>
      <c r="I963" s="150">
        <f t="shared" si="276"/>
        <v>760000</v>
      </c>
      <c r="J963" s="150">
        <f t="shared" si="276"/>
        <v>408000</v>
      </c>
      <c r="K963" s="150">
        <f t="shared" si="276"/>
        <v>360000</v>
      </c>
      <c r="L963" s="150">
        <f t="shared" si="276"/>
        <v>240000</v>
      </c>
      <c r="M963" s="150">
        <f t="shared" si="276"/>
        <v>240000</v>
      </c>
      <c r="N963" s="150">
        <f t="shared" si="276"/>
        <v>168000</v>
      </c>
      <c r="O963" s="150">
        <f t="shared" si="276"/>
        <v>120000</v>
      </c>
      <c r="P963" s="150">
        <f t="shared" si="276"/>
        <v>96000</v>
      </c>
      <c r="Q963" s="150">
        <f t="shared" si="276"/>
        <v>0</v>
      </c>
      <c r="R963" s="150">
        <f t="shared" si="276"/>
        <v>0</v>
      </c>
      <c r="S963" s="150">
        <f t="shared" si="276"/>
        <v>0</v>
      </c>
      <c r="T963" s="198"/>
      <c r="U963" s="160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98"/>
      <c r="U964" s="160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S965" si="277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7"/>
        <v>63</v>
      </c>
      <c r="J965" s="148">
        <f t="shared" si="277"/>
        <v>33</v>
      </c>
      <c r="K965" s="148">
        <f t="shared" si="277"/>
        <v>29</v>
      </c>
      <c r="L965" s="148">
        <f t="shared" si="277"/>
        <v>20</v>
      </c>
      <c r="M965" s="148">
        <f t="shared" si="277"/>
        <v>19</v>
      </c>
      <c r="N965" s="148">
        <f t="shared" si="277"/>
        <v>14</v>
      </c>
      <c r="O965" s="148">
        <f t="shared" si="277"/>
        <v>10</v>
      </c>
      <c r="P965" s="148">
        <f t="shared" si="277"/>
        <v>8</v>
      </c>
      <c r="Q965" s="148">
        <f t="shared" si="277"/>
        <v>0</v>
      </c>
      <c r="R965" s="148">
        <f t="shared" si="277"/>
        <v>0</v>
      </c>
      <c r="S965" s="148">
        <f t="shared" si="277"/>
        <v>0</v>
      </c>
      <c r="T965" s="198"/>
      <c r="U965" s="160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S966" si="278">(H956*H965)</f>
        <v>0</v>
      </c>
      <c r="I966" s="150">
        <f t="shared" si="278"/>
        <v>630000</v>
      </c>
      <c r="J966" s="150">
        <f t="shared" si="278"/>
        <v>330000</v>
      </c>
      <c r="K966" s="150">
        <f t="shared" si="278"/>
        <v>290000</v>
      </c>
      <c r="L966" s="150">
        <f t="shared" si="278"/>
        <v>200000</v>
      </c>
      <c r="M966" s="150">
        <f t="shared" si="278"/>
        <v>190000</v>
      </c>
      <c r="N966" s="150">
        <f t="shared" si="278"/>
        <v>140000</v>
      </c>
      <c r="O966" s="150">
        <f t="shared" si="278"/>
        <v>100000</v>
      </c>
      <c r="P966" s="150">
        <f t="shared" si="278"/>
        <v>80000</v>
      </c>
      <c r="Q966" s="150">
        <f t="shared" si="278"/>
        <v>0</v>
      </c>
      <c r="R966" s="150">
        <f t="shared" si="278"/>
        <v>0</v>
      </c>
      <c r="S966" s="150">
        <f t="shared" si="278"/>
        <v>0</v>
      </c>
      <c r="T966" s="198"/>
      <c r="U966" s="160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98"/>
      <c r="U967" s="160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S968" si="279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79"/>
        <v>0</v>
      </c>
      <c r="J968" s="148">
        <f t="shared" si="279"/>
        <v>0</v>
      </c>
      <c r="K968" s="148">
        <f t="shared" si="279"/>
        <v>0</v>
      </c>
      <c r="L968" s="148">
        <f t="shared" si="279"/>
        <v>0</v>
      </c>
      <c r="M968" s="148">
        <f t="shared" si="279"/>
        <v>0</v>
      </c>
      <c r="N968" s="148">
        <f t="shared" si="279"/>
        <v>0</v>
      </c>
      <c r="O968" s="148">
        <f t="shared" si="279"/>
        <v>0</v>
      </c>
      <c r="P968" s="148">
        <f t="shared" si="279"/>
        <v>0</v>
      </c>
      <c r="Q968" s="148">
        <f t="shared" si="279"/>
        <v>0</v>
      </c>
      <c r="R968" s="148">
        <f t="shared" si="279"/>
        <v>0</v>
      </c>
      <c r="S968" s="148">
        <f t="shared" si="279"/>
        <v>0</v>
      </c>
      <c r="T968" s="198"/>
      <c r="U968" s="160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S969" si="280">(H957*H968)</f>
        <v>0</v>
      </c>
      <c r="I969" s="150">
        <f t="shared" si="280"/>
        <v>0</v>
      </c>
      <c r="J969" s="150">
        <f t="shared" si="280"/>
        <v>0</v>
      </c>
      <c r="K969" s="150">
        <f t="shared" si="280"/>
        <v>0</v>
      </c>
      <c r="L969" s="150">
        <f t="shared" si="280"/>
        <v>0</v>
      </c>
      <c r="M969" s="150">
        <f t="shared" si="280"/>
        <v>0</v>
      </c>
      <c r="N969" s="150">
        <f t="shared" si="280"/>
        <v>0</v>
      </c>
      <c r="O969" s="150">
        <f t="shared" si="280"/>
        <v>0</v>
      </c>
      <c r="P969" s="150">
        <f t="shared" si="280"/>
        <v>0</v>
      </c>
      <c r="Q969" s="150">
        <f t="shared" si="280"/>
        <v>0</v>
      </c>
      <c r="R969" s="150">
        <f t="shared" si="280"/>
        <v>0</v>
      </c>
      <c r="S969" s="150">
        <f t="shared" si="280"/>
        <v>0</v>
      </c>
      <c r="T969" s="198"/>
      <c r="U969" s="160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98"/>
      <c r="U970" s="160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S971" si="281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81"/>
        <v>0</v>
      </c>
      <c r="J971" s="148">
        <f t="shared" si="281"/>
        <v>0</v>
      </c>
      <c r="K971" s="148">
        <f t="shared" si="281"/>
        <v>0</v>
      </c>
      <c r="L971" s="148">
        <f t="shared" si="281"/>
        <v>0</v>
      </c>
      <c r="M971" s="148">
        <f t="shared" si="281"/>
        <v>0</v>
      </c>
      <c r="N971" s="148">
        <f t="shared" si="281"/>
        <v>0</v>
      </c>
      <c r="O971" s="148">
        <f t="shared" si="281"/>
        <v>0</v>
      </c>
      <c r="P971" s="148">
        <f t="shared" si="281"/>
        <v>0</v>
      </c>
      <c r="Q971" s="148">
        <f t="shared" si="281"/>
        <v>0</v>
      </c>
      <c r="R971" s="148">
        <f t="shared" si="281"/>
        <v>0</v>
      </c>
      <c r="S971" s="148">
        <f t="shared" si="281"/>
        <v>0</v>
      </c>
      <c r="T971" s="198"/>
      <c r="U971" s="160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S972" si="282">(H958*H971)</f>
        <v>0</v>
      </c>
      <c r="I972" s="150">
        <f t="shared" si="282"/>
        <v>0</v>
      </c>
      <c r="J972" s="150">
        <f t="shared" si="282"/>
        <v>0</v>
      </c>
      <c r="K972" s="150">
        <f t="shared" si="282"/>
        <v>0</v>
      </c>
      <c r="L972" s="150">
        <f t="shared" si="282"/>
        <v>0</v>
      </c>
      <c r="M972" s="150">
        <f t="shared" si="282"/>
        <v>0</v>
      </c>
      <c r="N972" s="150">
        <f t="shared" si="282"/>
        <v>0</v>
      </c>
      <c r="O972" s="150">
        <f t="shared" si="282"/>
        <v>0</v>
      </c>
      <c r="P972" s="150">
        <f t="shared" si="282"/>
        <v>0</v>
      </c>
      <c r="Q972" s="150">
        <f t="shared" si="282"/>
        <v>0</v>
      </c>
      <c r="R972" s="150">
        <f t="shared" si="282"/>
        <v>0</v>
      </c>
      <c r="S972" s="150">
        <f t="shared" si="282"/>
        <v>0</v>
      </c>
      <c r="T972" s="198"/>
      <c r="U972" s="160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98"/>
      <c r="U973" s="160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S974" si="283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3"/>
        <v>0</v>
      </c>
      <c r="J974" s="148">
        <f t="shared" si="283"/>
        <v>0</v>
      </c>
      <c r="K974" s="148">
        <f t="shared" si="283"/>
        <v>0</v>
      </c>
      <c r="L974" s="148">
        <f t="shared" si="283"/>
        <v>0</v>
      </c>
      <c r="M974" s="148">
        <f t="shared" si="283"/>
        <v>0</v>
      </c>
      <c r="N974" s="148">
        <f t="shared" si="283"/>
        <v>0</v>
      </c>
      <c r="O974" s="148">
        <f t="shared" si="283"/>
        <v>0</v>
      </c>
      <c r="P974" s="148">
        <f t="shared" si="283"/>
        <v>0</v>
      </c>
      <c r="Q974" s="148">
        <f t="shared" si="283"/>
        <v>0</v>
      </c>
      <c r="R974" s="148">
        <f t="shared" si="283"/>
        <v>0</v>
      </c>
      <c r="S974" s="148">
        <f t="shared" si="283"/>
        <v>0</v>
      </c>
      <c r="T974" s="198"/>
      <c r="U974" s="160"/>
    </row>
    <row r="975">
      <c r="A975" s="160"/>
      <c r="B975" s="160"/>
      <c r="C975" s="160"/>
      <c r="F975" s="172" t="s">
        <v>314</v>
      </c>
      <c r="G975" s="146"/>
      <c r="H975" s="150">
        <f t="shared" ref="H975:S975" si="284">(H959*H974)</f>
        <v>0</v>
      </c>
      <c r="I975" s="150">
        <f t="shared" si="284"/>
        <v>0</v>
      </c>
      <c r="J975" s="150">
        <f t="shared" si="284"/>
        <v>0</v>
      </c>
      <c r="K975" s="150">
        <f t="shared" si="284"/>
        <v>0</v>
      </c>
      <c r="L975" s="150">
        <f t="shared" si="284"/>
        <v>0</v>
      </c>
      <c r="M975" s="150">
        <f t="shared" si="284"/>
        <v>0</v>
      </c>
      <c r="N975" s="150">
        <f t="shared" si="284"/>
        <v>0</v>
      </c>
      <c r="O975" s="150">
        <f t="shared" si="284"/>
        <v>0</v>
      </c>
      <c r="P975" s="150">
        <f t="shared" si="284"/>
        <v>0</v>
      </c>
      <c r="Q975" s="150">
        <f t="shared" si="284"/>
        <v>0</v>
      </c>
      <c r="R975" s="150">
        <f t="shared" si="284"/>
        <v>0</v>
      </c>
      <c r="S975" s="150">
        <f t="shared" si="284"/>
        <v>0</v>
      </c>
      <c r="T975" s="198"/>
      <c r="U975" s="160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98"/>
      <c r="U976" s="160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60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224</v>
      </c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198"/>
      <c r="U978" s="160"/>
    </row>
    <row r="979">
      <c r="A979" s="160"/>
      <c r="B979" s="160"/>
      <c r="C979" s="160"/>
      <c r="D979" s="160"/>
      <c r="E979" s="13" t="s">
        <v>234</v>
      </c>
      <c r="G979" s="142">
        <f>H979/H981</f>
        <v>0.2690357143</v>
      </c>
      <c r="H979" s="149">
        <f>SUM($H$520)</f>
        <v>3013200</v>
      </c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60"/>
      <c r="U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60"/>
      <c r="U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11200000</v>
      </c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60"/>
      <c r="U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60"/>
      <c r="U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0.4035535714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213">
        <v>0.1</v>
      </c>
      <c r="N983" s="213">
        <v>0.07</v>
      </c>
      <c r="O983" s="213">
        <v>0.05</v>
      </c>
      <c r="P983" s="213">
        <v>0.04</v>
      </c>
      <c r="Q983" s="213">
        <v>0.0</v>
      </c>
      <c r="R983" s="213">
        <v>0.0</v>
      </c>
      <c r="S983" s="213">
        <v>0.0</v>
      </c>
      <c r="T983" s="160"/>
      <c r="U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4519800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6"/>
      <c r="U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3013200</v>
      </c>
      <c r="I985" s="149">
        <f t="shared" ref="I985:S985" si="285">H985+I994</f>
        <v>3495200</v>
      </c>
      <c r="J985" s="149">
        <f t="shared" si="285"/>
        <v>3753200</v>
      </c>
      <c r="K985" s="149">
        <f t="shared" si="285"/>
        <v>3983200</v>
      </c>
      <c r="L985" s="149">
        <f t="shared" si="285"/>
        <v>4133200</v>
      </c>
      <c r="M985" s="149">
        <f t="shared" si="285"/>
        <v>4283200</v>
      </c>
      <c r="N985" s="149">
        <f t="shared" si="285"/>
        <v>4391200</v>
      </c>
      <c r="O985" s="149">
        <f t="shared" si="285"/>
        <v>4469200</v>
      </c>
      <c r="P985" s="149">
        <f t="shared" si="285"/>
        <v>4533200</v>
      </c>
      <c r="Q985" s="149">
        <f t="shared" si="285"/>
        <v>4533200</v>
      </c>
      <c r="R985" s="149">
        <f t="shared" si="285"/>
        <v>4533200</v>
      </c>
      <c r="S985" s="149">
        <f t="shared" si="285"/>
        <v>4533200</v>
      </c>
      <c r="T985" s="199">
        <f>R985</f>
        <v>4533200</v>
      </c>
      <c r="U985" s="16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1506600</v>
      </c>
      <c r="H986" s="149">
        <f t="shared" ref="H986:S986" si="286">$G$986*H983</f>
        <v>0</v>
      </c>
      <c r="I986" s="149">
        <f t="shared" si="286"/>
        <v>482112</v>
      </c>
      <c r="J986" s="149">
        <f t="shared" si="286"/>
        <v>256122</v>
      </c>
      <c r="K986" s="149">
        <f t="shared" si="286"/>
        <v>225990</v>
      </c>
      <c r="L986" s="149">
        <f t="shared" si="286"/>
        <v>150660</v>
      </c>
      <c r="M986" s="149">
        <f t="shared" si="286"/>
        <v>150660</v>
      </c>
      <c r="N986" s="149">
        <f t="shared" si="286"/>
        <v>105462</v>
      </c>
      <c r="O986" s="149">
        <f t="shared" si="286"/>
        <v>75330</v>
      </c>
      <c r="P986" s="149">
        <f t="shared" si="286"/>
        <v>60264</v>
      </c>
      <c r="Q986" s="149">
        <f t="shared" si="286"/>
        <v>0</v>
      </c>
      <c r="R986" s="149">
        <f t="shared" si="286"/>
        <v>0</v>
      </c>
      <c r="S986" s="149">
        <f t="shared" si="286"/>
        <v>0</v>
      </c>
      <c r="T986" s="199">
        <f>SUM(H986:S986)</f>
        <v>1506600</v>
      </c>
      <c r="U986" s="16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60"/>
      <c r="U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S988" si="287">$H$981-H985</f>
        <v>8186800</v>
      </c>
      <c r="I988" s="149">
        <f t="shared" si="287"/>
        <v>7704800</v>
      </c>
      <c r="J988" s="149">
        <f t="shared" si="287"/>
        <v>7446800</v>
      </c>
      <c r="K988" s="149">
        <f t="shared" si="287"/>
        <v>7216800</v>
      </c>
      <c r="L988" s="149">
        <f t="shared" si="287"/>
        <v>7066800</v>
      </c>
      <c r="M988" s="149">
        <f t="shared" si="287"/>
        <v>6916800</v>
      </c>
      <c r="N988" s="149">
        <f t="shared" si="287"/>
        <v>6808800</v>
      </c>
      <c r="O988" s="149">
        <f t="shared" si="287"/>
        <v>6730800</v>
      </c>
      <c r="P988" s="149">
        <f t="shared" si="287"/>
        <v>6666800</v>
      </c>
      <c r="Q988" s="149">
        <f t="shared" si="287"/>
        <v>6666800</v>
      </c>
      <c r="R988" s="149">
        <f t="shared" si="287"/>
        <v>6666800</v>
      </c>
      <c r="S988" s="149">
        <f t="shared" si="287"/>
        <v>6666800</v>
      </c>
      <c r="T988" s="160"/>
      <c r="U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S989" si="288">IFERROR(SUM(H994,H979)/$H$981,0)</f>
        <v>0.2690357143</v>
      </c>
      <c r="I989" s="142">
        <f t="shared" si="288"/>
        <v>0.04303571429</v>
      </c>
      <c r="J989" s="142">
        <f t="shared" si="288"/>
        <v>0.02303571429</v>
      </c>
      <c r="K989" s="142">
        <f t="shared" si="288"/>
        <v>0.02053571429</v>
      </c>
      <c r="L989" s="142">
        <f t="shared" si="288"/>
        <v>0.01339285714</v>
      </c>
      <c r="M989" s="142">
        <f t="shared" si="288"/>
        <v>0.01339285714</v>
      </c>
      <c r="N989" s="142">
        <f t="shared" si="288"/>
        <v>0.009642857143</v>
      </c>
      <c r="O989" s="142">
        <f t="shared" si="288"/>
        <v>0.006964285714</v>
      </c>
      <c r="P989" s="142">
        <f t="shared" si="288"/>
        <v>0.005714285714</v>
      </c>
      <c r="Q989" s="142">
        <f t="shared" si="288"/>
        <v>0</v>
      </c>
      <c r="R989" s="142">
        <f t="shared" si="288"/>
        <v>0</v>
      </c>
      <c r="S989" s="142">
        <f t="shared" si="288"/>
        <v>0</v>
      </c>
      <c r="T989" s="200">
        <f>IFERROR(T985/$H$981,0)</f>
        <v>0.40475</v>
      </c>
      <c r="U989" s="16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S990" si="289">IFERROR(1-(H979/$H$981),0)</f>
        <v>0.7309642857</v>
      </c>
      <c r="I990" s="216">
        <f t="shared" si="289"/>
        <v>1</v>
      </c>
      <c r="J990" s="216">
        <f t="shared" si="289"/>
        <v>1</v>
      </c>
      <c r="K990" s="216">
        <f t="shared" si="289"/>
        <v>1</v>
      </c>
      <c r="L990" s="216">
        <f t="shared" si="289"/>
        <v>1</v>
      </c>
      <c r="M990" s="216">
        <f t="shared" si="289"/>
        <v>1</v>
      </c>
      <c r="N990" s="216">
        <f t="shared" si="289"/>
        <v>1</v>
      </c>
      <c r="O990" s="216">
        <f t="shared" si="289"/>
        <v>1</v>
      </c>
      <c r="P990" s="216">
        <f t="shared" si="289"/>
        <v>1</v>
      </c>
      <c r="Q990" s="216">
        <f t="shared" si="289"/>
        <v>1</v>
      </c>
      <c r="R990" s="216">
        <f t="shared" si="289"/>
        <v>1</v>
      </c>
      <c r="S990" s="216">
        <f t="shared" si="289"/>
        <v>1</v>
      </c>
      <c r="T990" s="200">
        <f>IFERROR(1-(T985/$H$981),0)</f>
        <v>0.59525</v>
      </c>
      <c r="U990" s="16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198"/>
      <c r="U991" s="160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90">ROUNDUP(H986/H993,0)</f>
        <v>0</v>
      </c>
      <c r="I992" s="190">
        <f t="shared" si="290"/>
        <v>67</v>
      </c>
      <c r="J992" s="190">
        <f t="shared" si="290"/>
        <v>36</v>
      </c>
      <c r="K992" s="190">
        <f t="shared" si="290"/>
        <v>32</v>
      </c>
      <c r="L992" s="190">
        <f t="shared" si="290"/>
        <v>21</v>
      </c>
      <c r="M992" s="190">
        <f>ROUND(M986/M993,0)</f>
        <v>21</v>
      </c>
      <c r="N992" s="190">
        <f t="shared" ref="N992:S992" si="291">ROUNDUP(N986/N993,0)</f>
        <v>15</v>
      </c>
      <c r="O992" s="190">
        <f t="shared" si="291"/>
        <v>11</v>
      </c>
      <c r="P992" s="190">
        <f t="shared" si="291"/>
        <v>9</v>
      </c>
      <c r="Q992" s="190">
        <f t="shared" si="291"/>
        <v>0</v>
      </c>
      <c r="R992" s="190">
        <f t="shared" si="291"/>
        <v>0</v>
      </c>
      <c r="S992" s="190">
        <f t="shared" si="291"/>
        <v>0</v>
      </c>
      <c r="T992" s="201">
        <f>SUM(H992:S992)</f>
        <v>212</v>
      </c>
      <c r="U992" s="16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56">
        <v>7200.0</v>
      </c>
      <c r="N993" s="156">
        <v>7200.0</v>
      </c>
      <c r="O993" s="156">
        <v>7200.0</v>
      </c>
      <c r="P993" s="156">
        <v>7200.0</v>
      </c>
      <c r="Q993" s="156">
        <v>7200.0</v>
      </c>
      <c r="R993" s="156">
        <v>7200.0</v>
      </c>
      <c r="S993" s="156">
        <v>7200.0</v>
      </c>
      <c r="T993" s="198"/>
      <c r="U993" s="160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S994" si="292">SUM(H1008,H1011,H1014,H1017,H1020)</f>
        <v>0</v>
      </c>
      <c r="I994" s="188">
        <f t="shared" si="292"/>
        <v>482000</v>
      </c>
      <c r="J994" s="188">
        <f t="shared" si="292"/>
        <v>258000</v>
      </c>
      <c r="K994" s="188">
        <f t="shared" si="292"/>
        <v>230000</v>
      </c>
      <c r="L994" s="188">
        <f t="shared" si="292"/>
        <v>150000</v>
      </c>
      <c r="M994" s="188">
        <f t="shared" si="292"/>
        <v>150000</v>
      </c>
      <c r="N994" s="188">
        <f t="shared" si="292"/>
        <v>108000</v>
      </c>
      <c r="O994" s="188">
        <f t="shared" si="292"/>
        <v>78000</v>
      </c>
      <c r="P994" s="188">
        <f t="shared" si="292"/>
        <v>64000</v>
      </c>
      <c r="Q994" s="188">
        <f t="shared" si="292"/>
        <v>0</v>
      </c>
      <c r="R994" s="188">
        <f t="shared" si="292"/>
        <v>0</v>
      </c>
      <c r="S994" s="188">
        <f t="shared" si="292"/>
        <v>0</v>
      </c>
      <c r="T994" s="196">
        <f>SUM(H994:S994)</f>
        <v>1520000</v>
      </c>
      <c r="U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203">
        <v>0.6</v>
      </c>
      <c r="N995" s="203">
        <v>0.6</v>
      </c>
      <c r="O995" s="203">
        <v>0.6</v>
      </c>
      <c r="P995" s="203">
        <v>0.6</v>
      </c>
      <c r="Q995" s="203">
        <v>0.6</v>
      </c>
      <c r="R995" s="203">
        <v>0.6</v>
      </c>
      <c r="S995" s="203">
        <v>0.6</v>
      </c>
      <c r="T995" s="198"/>
      <c r="U995" s="160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203">
        <v>0.4</v>
      </c>
      <c r="N996" s="203">
        <v>0.4</v>
      </c>
      <c r="O996" s="203">
        <v>0.4</v>
      </c>
      <c r="P996" s="203">
        <v>0.4</v>
      </c>
      <c r="Q996" s="203">
        <v>0.4</v>
      </c>
      <c r="R996" s="203">
        <v>0.4</v>
      </c>
      <c r="S996" s="203">
        <v>0.4</v>
      </c>
      <c r="T996" s="198"/>
      <c r="U996" s="160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203">
        <v>0.0</v>
      </c>
      <c r="N997" s="203">
        <v>0.0</v>
      </c>
      <c r="O997" s="203">
        <v>0.0</v>
      </c>
      <c r="P997" s="203">
        <v>0.0</v>
      </c>
      <c r="Q997" s="203">
        <v>0.0</v>
      </c>
      <c r="R997" s="203">
        <v>0.0</v>
      </c>
      <c r="S997" s="203">
        <v>0.0</v>
      </c>
      <c r="T997" s="198"/>
      <c r="U997" s="160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203">
        <v>0.0</v>
      </c>
      <c r="N998" s="203">
        <v>0.0</v>
      </c>
      <c r="O998" s="203">
        <v>0.0</v>
      </c>
      <c r="P998" s="203">
        <v>0.0</v>
      </c>
      <c r="Q998" s="203">
        <v>0.0</v>
      </c>
      <c r="R998" s="203">
        <v>0.0</v>
      </c>
      <c r="S998" s="203">
        <v>0.0</v>
      </c>
      <c r="T998" s="198"/>
      <c r="U998" s="160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203">
        <v>0.0</v>
      </c>
      <c r="N999" s="203">
        <v>0.0</v>
      </c>
      <c r="O999" s="203">
        <v>0.0</v>
      </c>
      <c r="P999" s="203">
        <v>0.0</v>
      </c>
      <c r="Q999" s="203">
        <v>0.0</v>
      </c>
      <c r="R999" s="203">
        <v>0.0</v>
      </c>
      <c r="S999" s="203">
        <v>0.0</v>
      </c>
      <c r="T999" s="198"/>
      <c r="U999" s="160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04">
        <v>8000.0</v>
      </c>
      <c r="N1000" s="204">
        <v>8000.0</v>
      </c>
      <c r="O1000" s="204">
        <v>8000.0</v>
      </c>
      <c r="P1000" s="204">
        <v>8000.0</v>
      </c>
      <c r="Q1000" s="204">
        <v>8000.0</v>
      </c>
      <c r="R1000" s="204">
        <v>8000.0</v>
      </c>
      <c r="S1000" s="204">
        <v>8000.0</v>
      </c>
      <c r="T1000" s="198"/>
      <c r="U1000" s="160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204">
        <v>6000.0</v>
      </c>
      <c r="N1001" s="204">
        <v>6000.0</v>
      </c>
      <c r="O1001" s="204">
        <v>6000.0</v>
      </c>
      <c r="P1001" s="204">
        <v>6000.0</v>
      </c>
      <c r="Q1001" s="204">
        <v>6000.0</v>
      </c>
      <c r="R1001" s="204">
        <v>6000.0</v>
      </c>
      <c r="S1001" s="204">
        <v>6000.0</v>
      </c>
      <c r="T1001" s="198"/>
      <c r="U1001" s="160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204">
        <v>0.0</v>
      </c>
      <c r="N1002" s="204">
        <v>0.0</v>
      </c>
      <c r="O1002" s="204">
        <v>0.0</v>
      </c>
      <c r="P1002" s="204">
        <v>0.0</v>
      </c>
      <c r="Q1002" s="204">
        <v>0.0</v>
      </c>
      <c r="R1002" s="204">
        <v>0.0</v>
      </c>
      <c r="S1002" s="204">
        <v>0.0</v>
      </c>
      <c r="T1002" s="198"/>
      <c r="U1002" s="160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204">
        <v>0.0</v>
      </c>
      <c r="N1003" s="204">
        <v>0.0</v>
      </c>
      <c r="O1003" s="204">
        <v>0.0</v>
      </c>
      <c r="P1003" s="204">
        <v>0.0</v>
      </c>
      <c r="Q1003" s="204">
        <v>0.0</v>
      </c>
      <c r="R1003" s="204">
        <v>0.0</v>
      </c>
      <c r="S1003" s="204">
        <v>0.0</v>
      </c>
      <c r="T1003" s="198"/>
      <c r="U1003" s="160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204">
        <v>0.0</v>
      </c>
      <c r="N1004" s="204">
        <v>0.0</v>
      </c>
      <c r="O1004" s="204">
        <v>0.0</v>
      </c>
      <c r="P1004" s="204">
        <v>0.0</v>
      </c>
      <c r="Q1004" s="204">
        <v>0.0</v>
      </c>
      <c r="R1004" s="204">
        <v>0.0</v>
      </c>
      <c r="S1004" s="204">
        <v>0.0</v>
      </c>
      <c r="T1004" s="198"/>
      <c r="U1004" s="160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62">
        <f>IFERROR(__xludf.DUMMYFUNCTION("MATCH(
  MIN(FILTER(M1000:M1004,M1000:M1004&gt;0)),
  M1000:M1004,
  0
)
"),2.0)</f>
        <v>2</v>
      </c>
      <c r="N1005" s="162">
        <f>IFERROR(__xludf.DUMMYFUNCTION("MATCH(
  MIN(FILTER(N1000:N1004,N1000:N1004&gt;0)),
  N1000:N1004,
  0
)
"),2.0)</f>
        <v>2</v>
      </c>
      <c r="O1005" s="162">
        <f>IFERROR(__xludf.DUMMYFUNCTION("MATCH(
  MIN(FILTER(O1000:O1004,O1000:O1004&gt;0)),
  O1000:O1004,
  0
)
"),2.0)</f>
        <v>2</v>
      </c>
      <c r="P1005" s="162">
        <f>IFERROR(__xludf.DUMMYFUNCTION("MATCH(
  MIN(FILTER(P1000:P1004,P1000:P1004&gt;0)),
  P1000:P1004,
  0
)
"),2.0)</f>
        <v>2</v>
      </c>
      <c r="Q1005" s="162">
        <f>IFERROR(__xludf.DUMMYFUNCTION("MATCH(
  MIN(FILTER(Q1000:Q1004,Q1000:Q1004&gt;0)),
  Q1000:Q1004,
  0
)
"),2.0)</f>
        <v>2</v>
      </c>
      <c r="R1005" s="162">
        <f>IFERROR(__xludf.DUMMYFUNCTION("MATCH(
  MIN(FILTER(R1000:R1004,R1000:R1004&gt;0)),
  R1000:R1004,
  0
)
"),2.0)</f>
        <v>2</v>
      </c>
      <c r="S1005" s="162">
        <f>IFERROR(__xludf.DUMMYFUNCTION("MATCH(
  MIN(FILTER(S1000:S1004,S1000:S1004&gt;0)),
  S1000:S1004,
  0
)
"),2.0)</f>
        <v>2</v>
      </c>
      <c r="T1005" s="198"/>
      <c r="U1005" s="160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48"/>
      <c r="R1006" s="148"/>
      <c r="S1006" s="148"/>
      <c r="T1006" s="198"/>
      <c r="U1006" s="160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S1007" si="293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93"/>
        <v>40</v>
      </c>
      <c r="J1007" s="148">
        <f t="shared" si="293"/>
        <v>21</v>
      </c>
      <c r="K1007" s="148">
        <f t="shared" si="293"/>
        <v>19</v>
      </c>
      <c r="L1007" s="148">
        <f t="shared" si="293"/>
        <v>12</v>
      </c>
      <c r="M1007" s="148">
        <f t="shared" si="293"/>
        <v>12</v>
      </c>
      <c r="N1007" s="148">
        <f t="shared" si="293"/>
        <v>9</v>
      </c>
      <c r="O1007" s="148">
        <f t="shared" si="293"/>
        <v>6</v>
      </c>
      <c r="P1007" s="148">
        <f t="shared" si="293"/>
        <v>5</v>
      </c>
      <c r="Q1007" s="148">
        <f t="shared" si="293"/>
        <v>0</v>
      </c>
      <c r="R1007" s="148">
        <f t="shared" si="293"/>
        <v>0</v>
      </c>
      <c r="S1007" s="148">
        <f t="shared" si="293"/>
        <v>0</v>
      </c>
      <c r="T1007" s="198"/>
      <c r="U1007" s="160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S1008" si="294">(H1007*H1000)</f>
        <v>0</v>
      </c>
      <c r="I1008" s="150">
        <f t="shared" si="294"/>
        <v>320000</v>
      </c>
      <c r="J1008" s="150">
        <f t="shared" si="294"/>
        <v>168000</v>
      </c>
      <c r="K1008" s="150">
        <f t="shared" si="294"/>
        <v>152000</v>
      </c>
      <c r="L1008" s="150">
        <f t="shared" si="294"/>
        <v>96000</v>
      </c>
      <c r="M1008" s="150">
        <f t="shared" si="294"/>
        <v>96000</v>
      </c>
      <c r="N1008" s="150">
        <f t="shared" si="294"/>
        <v>72000</v>
      </c>
      <c r="O1008" s="150">
        <f t="shared" si="294"/>
        <v>48000</v>
      </c>
      <c r="P1008" s="150">
        <f t="shared" si="294"/>
        <v>40000</v>
      </c>
      <c r="Q1008" s="150">
        <f t="shared" si="294"/>
        <v>0</v>
      </c>
      <c r="R1008" s="150">
        <f t="shared" si="294"/>
        <v>0</v>
      </c>
      <c r="S1008" s="150">
        <f t="shared" si="294"/>
        <v>0</v>
      </c>
      <c r="T1008" s="198"/>
      <c r="U1008" s="160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148"/>
      <c r="R1009" s="148"/>
      <c r="S1009" s="148"/>
      <c r="T1009" s="198"/>
      <c r="U1009" s="160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S1010" si="295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5"/>
        <v>27</v>
      </c>
      <c r="J1010" s="148">
        <f t="shared" si="295"/>
        <v>15</v>
      </c>
      <c r="K1010" s="148">
        <f t="shared" si="295"/>
        <v>13</v>
      </c>
      <c r="L1010" s="148">
        <f t="shared" si="295"/>
        <v>9</v>
      </c>
      <c r="M1010" s="148">
        <f t="shared" si="295"/>
        <v>9</v>
      </c>
      <c r="N1010" s="148">
        <f t="shared" si="295"/>
        <v>6</v>
      </c>
      <c r="O1010" s="148">
        <f t="shared" si="295"/>
        <v>5</v>
      </c>
      <c r="P1010" s="148">
        <f t="shared" si="295"/>
        <v>4</v>
      </c>
      <c r="Q1010" s="148">
        <f t="shared" si="295"/>
        <v>0</v>
      </c>
      <c r="R1010" s="148">
        <f t="shared" si="295"/>
        <v>0</v>
      </c>
      <c r="S1010" s="148">
        <f t="shared" si="295"/>
        <v>0</v>
      </c>
      <c r="T1010" s="198"/>
      <c r="U1010" s="160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S1011" si="296">(H1001*H1010)</f>
        <v>0</v>
      </c>
      <c r="I1011" s="150">
        <f t="shared" si="296"/>
        <v>162000</v>
      </c>
      <c r="J1011" s="150">
        <f t="shared" si="296"/>
        <v>90000</v>
      </c>
      <c r="K1011" s="150">
        <f t="shared" si="296"/>
        <v>78000</v>
      </c>
      <c r="L1011" s="150">
        <f t="shared" si="296"/>
        <v>54000</v>
      </c>
      <c r="M1011" s="150">
        <f t="shared" si="296"/>
        <v>54000</v>
      </c>
      <c r="N1011" s="150">
        <f t="shared" si="296"/>
        <v>36000</v>
      </c>
      <c r="O1011" s="150">
        <f t="shared" si="296"/>
        <v>30000</v>
      </c>
      <c r="P1011" s="150">
        <f t="shared" si="296"/>
        <v>24000</v>
      </c>
      <c r="Q1011" s="150">
        <f t="shared" si="296"/>
        <v>0</v>
      </c>
      <c r="R1011" s="150">
        <f t="shared" si="296"/>
        <v>0</v>
      </c>
      <c r="S1011" s="150">
        <f t="shared" si="296"/>
        <v>0</v>
      </c>
      <c r="T1011" s="198"/>
      <c r="U1011" s="160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48"/>
      <c r="N1012" s="148"/>
      <c r="O1012" s="148"/>
      <c r="P1012" s="148"/>
      <c r="Q1012" s="148"/>
      <c r="R1012" s="148"/>
      <c r="S1012" s="148"/>
      <c r="T1012" s="198"/>
      <c r="U1012" s="160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S1013" si="297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7"/>
        <v>0</v>
      </c>
      <c r="J1013" s="148">
        <f t="shared" si="297"/>
        <v>0</v>
      </c>
      <c r="K1013" s="148">
        <f t="shared" si="297"/>
        <v>0</v>
      </c>
      <c r="L1013" s="148">
        <f t="shared" si="297"/>
        <v>0</v>
      </c>
      <c r="M1013" s="148">
        <f t="shared" si="297"/>
        <v>0</v>
      </c>
      <c r="N1013" s="148">
        <f t="shared" si="297"/>
        <v>0</v>
      </c>
      <c r="O1013" s="148">
        <f t="shared" si="297"/>
        <v>0</v>
      </c>
      <c r="P1013" s="148">
        <f t="shared" si="297"/>
        <v>0</v>
      </c>
      <c r="Q1013" s="148">
        <f t="shared" si="297"/>
        <v>0</v>
      </c>
      <c r="R1013" s="148">
        <f t="shared" si="297"/>
        <v>0</v>
      </c>
      <c r="S1013" s="148">
        <f t="shared" si="297"/>
        <v>0</v>
      </c>
      <c r="T1013" s="198"/>
      <c r="U1013" s="160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S1014" si="298">(H1002*H1013)</f>
        <v>0</v>
      </c>
      <c r="I1014" s="150">
        <f t="shared" si="298"/>
        <v>0</v>
      </c>
      <c r="J1014" s="150">
        <f t="shared" si="298"/>
        <v>0</v>
      </c>
      <c r="K1014" s="150">
        <f t="shared" si="298"/>
        <v>0</v>
      </c>
      <c r="L1014" s="150">
        <f t="shared" si="298"/>
        <v>0</v>
      </c>
      <c r="M1014" s="150">
        <f t="shared" si="298"/>
        <v>0</v>
      </c>
      <c r="N1014" s="150">
        <f t="shared" si="298"/>
        <v>0</v>
      </c>
      <c r="O1014" s="150">
        <f t="shared" si="298"/>
        <v>0</v>
      </c>
      <c r="P1014" s="150">
        <f t="shared" si="298"/>
        <v>0</v>
      </c>
      <c r="Q1014" s="150">
        <f t="shared" si="298"/>
        <v>0</v>
      </c>
      <c r="R1014" s="150">
        <f t="shared" si="298"/>
        <v>0</v>
      </c>
      <c r="S1014" s="150">
        <f t="shared" si="298"/>
        <v>0</v>
      </c>
      <c r="T1014" s="198"/>
      <c r="U1014" s="160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48"/>
      <c r="N1015" s="148"/>
      <c r="O1015" s="148"/>
      <c r="P1015" s="148"/>
      <c r="Q1015" s="148"/>
      <c r="R1015" s="148"/>
      <c r="S1015" s="148"/>
      <c r="T1015" s="198"/>
      <c r="U1015" s="160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S1016" si="299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299"/>
        <v>0</v>
      </c>
      <c r="J1016" s="148">
        <f t="shared" si="299"/>
        <v>0</v>
      </c>
      <c r="K1016" s="148">
        <f t="shared" si="299"/>
        <v>0</v>
      </c>
      <c r="L1016" s="148">
        <f t="shared" si="299"/>
        <v>0</v>
      </c>
      <c r="M1016" s="148">
        <f t="shared" si="299"/>
        <v>0</v>
      </c>
      <c r="N1016" s="148">
        <f t="shared" si="299"/>
        <v>0</v>
      </c>
      <c r="O1016" s="148">
        <f t="shared" si="299"/>
        <v>0</v>
      </c>
      <c r="P1016" s="148">
        <f t="shared" si="299"/>
        <v>0</v>
      </c>
      <c r="Q1016" s="148">
        <f t="shared" si="299"/>
        <v>0</v>
      </c>
      <c r="R1016" s="148">
        <f t="shared" si="299"/>
        <v>0</v>
      </c>
      <c r="S1016" s="148">
        <f t="shared" si="299"/>
        <v>0</v>
      </c>
      <c r="T1016" s="198"/>
      <c r="U1016" s="160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S1017" si="300">(H1003*H1016)</f>
        <v>0</v>
      </c>
      <c r="I1017" s="150">
        <f t="shared" si="300"/>
        <v>0</v>
      </c>
      <c r="J1017" s="150">
        <f t="shared" si="300"/>
        <v>0</v>
      </c>
      <c r="K1017" s="150">
        <f t="shared" si="300"/>
        <v>0</v>
      </c>
      <c r="L1017" s="150">
        <f t="shared" si="300"/>
        <v>0</v>
      </c>
      <c r="M1017" s="150">
        <f t="shared" si="300"/>
        <v>0</v>
      </c>
      <c r="N1017" s="150">
        <f t="shared" si="300"/>
        <v>0</v>
      </c>
      <c r="O1017" s="150">
        <f t="shared" si="300"/>
        <v>0</v>
      </c>
      <c r="P1017" s="150">
        <f t="shared" si="300"/>
        <v>0</v>
      </c>
      <c r="Q1017" s="150">
        <f t="shared" si="300"/>
        <v>0</v>
      </c>
      <c r="R1017" s="150">
        <f t="shared" si="300"/>
        <v>0</v>
      </c>
      <c r="S1017" s="150">
        <f t="shared" si="300"/>
        <v>0</v>
      </c>
      <c r="T1017" s="198"/>
      <c r="U1017" s="160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48"/>
      <c r="N1018" s="148"/>
      <c r="O1018" s="148"/>
      <c r="P1018" s="148"/>
      <c r="Q1018" s="148"/>
      <c r="R1018" s="148"/>
      <c r="S1018" s="148"/>
      <c r="T1018" s="198"/>
      <c r="U1018" s="160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S1019" si="301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301"/>
        <v>0</v>
      </c>
      <c r="J1019" s="148">
        <f t="shared" si="301"/>
        <v>0</v>
      </c>
      <c r="K1019" s="148">
        <f t="shared" si="301"/>
        <v>0</v>
      </c>
      <c r="L1019" s="148">
        <f t="shared" si="301"/>
        <v>0</v>
      </c>
      <c r="M1019" s="148">
        <f t="shared" si="301"/>
        <v>0</v>
      </c>
      <c r="N1019" s="148">
        <f t="shared" si="301"/>
        <v>0</v>
      </c>
      <c r="O1019" s="148">
        <f t="shared" si="301"/>
        <v>0</v>
      </c>
      <c r="P1019" s="148">
        <f t="shared" si="301"/>
        <v>0</v>
      </c>
      <c r="Q1019" s="148">
        <f t="shared" si="301"/>
        <v>0</v>
      </c>
      <c r="R1019" s="148">
        <f t="shared" si="301"/>
        <v>0</v>
      </c>
      <c r="S1019" s="148">
        <f t="shared" si="301"/>
        <v>0</v>
      </c>
      <c r="T1019" s="198"/>
      <c r="U1019" s="160"/>
    </row>
    <row r="1020">
      <c r="A1020" s="160"/>
      <c r="B1020" s="160"/>
      <c r="C1020" s="160"/>
      <c r="F1020" s="172" t="s">
        <v>314</v>
      </c>
      <c r="G1020" s="148"/>
      <c r="H1020" s="150">
        <f t="shared" ref="H1020:S1020" si="302">(H1004*H1019)</f>
        <v>0</v>
      </c>
      <c r="I1020" s="150">
        <f t="shared" si="302"/>
        <v>0</v>
      </c>
      <c r="J1020" s="150">
        <f t="shared" si="302"/>
        <v>0</v>
      </c>
      <c r="K1020" s="150">
        <f t="shared" si="302"/>
        <v>0</v>
      </c>
      <c r="L1020" s="150">
        <f t="shared" si="302"/>
        <v>0</v>
      </c>
      <c r="M1020" s="150">
        <f t="shared" si="302"/>
        <v>0</v>
      </c>
      <c r="N1020" s="150">
        <f t="shared" si="302"/>
        <v>0</v>
      </c>
      <c r="O1020" s="150">
        <f t="shared" si="302"/>
        <v>0</v>
      </c>
      <c r="P1020" s="150">
        <f t="shared" si="302"/>
        <v>0</v>
      </c>
      <c r="Q1020" s="150">
        <f t="shared" si="302"/>
        <v>0</v>
      </c>
      <c r="R1020" s="150">
        <f t="shared" si="302"/>
        <v>0</v>
      </c>
      <c r="S1020" s="150">
        <f t="shared" si="302"/>
        <v>0</v>
      </c>
      <c r="T1020" s="198"/>
      <c r="U1020" s="160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60"/>
      <c r="N1021" s="160"/>
      <c r="O1021" s="160"/>
      <c r="P1021" s="160"/>
      <c r="Q1021" s="160"/>
      <c r="R1021" s="160"/>
      <c r="S1021" s="160"/>
      <c r="T1021" s="198"/>
      <c r="U1021" s="160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4"/>
      <c r="N1022" s="114"/>
      <c r="O1022" s="114"/>
      <c r="P1022" s="114"/>
      <c r="Q1022" s="114"/>
      <c r="R1022" s="114"/>
      <c r="S1022" s="114"/>
      <c r="T1022" s="1"/>
      <c r="U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"/>
      <c r="U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S1024" si="303">SUM(H1027,H1064,H1081,)</f>
        <v>21834800</v>
      </c>
      <c r="I1024" s="173">
        <f t="shared" si="303"/>
        <v>3713500</v>
      </c>
      <c r="J1024" s="173">
        <f t="shared" si="303"/>
        <v>2420650</v>
      </c>
      <c r="K1024" s="173">
        <f t="shared" si="303"/>
        <v>1838115</v>
      </c>
      <c r="L1024" s="173">
        <f t="shared" si="303"/>
        <v>1266326.5</v>
      </c>
      <c r="M1024" s="173">
        <f t="shared" si="303"/>
        <v>2591719.15</v>
      </c>
      <c r="N1024" s="173">
        <f t="shared" si="303"/>
        <v>930651.065</v>
      </c>
      <c r="O1024" s="173">
        <f t="shared" si="303"/>
        <v>1397580.172</v>
      </c>
      <c r="P1024" s="173">
        <f t="shared" si="303"/>
        <v>2101120.589</v>
      </c>
      <c r="Q1024" s="173">
        <f t="shared" si="303"/>
        <v>480833.0475</v>
      </c>
      <c r="R1024" s="173">
        <f t="shared" si="303"/>
        <v>443484.1523</v>
      </c>
      <c r="S1024" s="173">
        <f t="shared" si="303"/>
        <v>1575794.087</v>
      </c>
      <c r="T1024" s="223">
        <f>SUM(H1024:S1024)</f>
        <v>40594573.76</v>
      </c>
      <c r="U1024" s="1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"/>
      <c r="U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"/>
      <c r="U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S1027" si="304">SUM(H1029,H1036,H1043,H1050,H1057,)</f>
        <v>21834800</v>
      </c>
      <c r="I1027" s="178">
        <f t="shared" si="304"/>
        <v>0</v>
      </c>
      <c r="J1027" s="178">
        <f t="shared" si="304"/>
        <v>0</v>
      </c>
      <c r="K1027" s="178">
        <f t="shared" si="304"/>
        <v>0</v>
      </c>
      <c r="L1027" s="178">
        <f t="shared" si="304"/>
        <v>0</v>
      </c>
      <c r="M1027" s="178">
        <f t="shared" si="304"/>
        <v>0</v>
      </c>
      <c r="N1027" s="178">
        <f t="shared" si="304"/>
        <v>0</v>
      </c>
      <c r="O1027" s="178">
        <f t="shared" si="304"/>
        <v>0</v>
      </c>
      <c r="P1027" s="178">
        <f t="shared" si="304"/>
        <v>0</v>
      </c>
      <c r="Q1027" s="178">
        <f t="shared" si="304"/>
        <v>0</v>
      </c>
      <c r="R1027" s="178">
        <f t="shared" si="304"/>
        <v>0</v>
      </c>
      <c r="S1027" s="178">
        <f t="shared" si="304"/>
        <v>0</v>
      </c>
      <c r="T1027" s="223">
        <f>SUM(H1027:S1027)</f>
        <v>21834800</v>
      </c>
      <c r="U1027" s="1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223"/>
      <c r="U1028" s="1"/>
    </row>
    <row r="1029">
      <c r="A1029" s="1"/>
      <c r="B1029" s="1"/>
      <c r="C1029" s="1"/>
      <c r="D1029" s="1"/>
      <c r="E1029" s="13" t="s">
        <v>46</v>
      </c>
      <c r="G1029" s="178"/>
      <c r="H1029" s="188">
        <f t="shared" ref="H1029:S1029" si="305">SUM(H1030:H1034)</f>
        <v>1564800</v>
      </c>
      <c r="I1029" s="178">
        <f t="shared" si="305"/>
        <v>0</v>
      </c>
      <c r="J1029" s="178">
        <f t="shared" si="305"/>
        <v>0</v>
      </c>
      <c r="K1029" s="178">
        <f t="shared" si="305"/>
        <v>0</v>
      </c>
      <c r="L1029" s="178">
        <f t="shared" si="305"/>
        <v>0</v>
      </c>
      <c r="M1029" s="178">
        <f t="shared" si="305"/>
        <v>0</v>
      </c>
      <c r="N1029" s="178">
        <f t="shared" si="305"/>
        <v>0</v>
      </c>
      <c r="O1029" s="178">
        <f t="shared" si="305"/>
        <v>0</v>
      </c>
      <c r="P1029" s="178">
        <f t="shared" si="305"/>
        <v>0</v>
      </c>
      <c r="Q1029" s="178">
        <f t="shared" si="305"/>
        <v>0</v>
      </c>
      <c r="R1029" s="178">
        <f t="shared" si="305"/>
        <v>0</v>
      </c>
      <c r="S1029" s="178">
        <f t="shared" si="305"/>
        <v>0</v>
      </c>
      <c r="T1029" s="1"/>
      <c r="U1029" s="1"/>
    </row>
    <row r="1030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600000</v>
      </c>
      <c r="I1030" s="178" t="str">
        <f t="shared" ref="I1030:S1030" si="306">I428</f>
        <v/>
      </c>
      <c r="J1030" s="178" t="str">
        <f t="shared" si="306"/>
        <v/>
      </c>
      <c r="K1030" s="178" t="str">
        <f t="shared" si="306"/>
        <v/>
      </c>
      <c r="L1030" s="178" t="str">
        <f t="shared" si="306"/>
        <v/>
      </c>
      <c r="M1030" s="178" t="str">
        <f t="shared" si="306"/>
        <v/>
      </c>
      <c r="N1030" s="178" t="str">
        <f t="shared" si="306"/>
        <v/>
      </c>
      <c r="O1030" s="178" t="str">
        <f t="shared" si="306"/>
        <v/>
      </c>
      <c r="P1030" s="178" t="str">
        <f t="shared" si="306"/>
        <v/>
      </c>
      <c r="Q1030" s="178" t="str">
        <f t="shared" si="306"/>
        <v/>
      </c>
      <c r="R1030" s="178" t="str">
        <f t="shared" si="306"/>
        <v/>
      </c>
      <c r="S1030" s="178" t="str">
        <f t="shared" si="306"/>
        <v/>
      </c>
      <c r="T1030" s="1"/>
      <c r="U1030" s="1"/>
    </row>
    <row r="103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94800</v>
      </c>
      <c r="I1031" s="178" t="str">
        <f t="shared" ref="I1031:S1031" si="307">I430</f>
        <v/>
      </c>
      <c r="J1031" s="178" t="str">
        <f t="shared" si="307"/>
        <v/>
      </c>
      <c r="K1031" s="178" t="str">
        <f t="shared" si="307"/>
        <v/>
      </c>
      <c r="L1031" s="178" t="str">
        <f t="shared" si="307"/>
        <v/>
      </c>
      <c r="M1031" s="178" t="str">
        <f t="shared" si="307"/>
        <v/>
      </c>
      <c r="N1031" s="178" t="str">
        <f t="shared" si="307"/>
        <v/>
      </c>
      <c r="O1031" s="178" t="str">
        <f t="shared" si="307"/>
        <v/>
      </c>
      <c r="P1031" s="178" t="str">
        <f t="shared" si="307"/>
        <v/>
      </c>
      <c r="Q1031" s="178" t="str">
        <f t="shared" si="307"/>
        <v/>
      </c>
      <c r="R1031" s="178" t="str">
        <f t="shared" si="307"/>
        <v/>
      </c>
      <c r="S1031" s="178" t="str">
        <f t="shared" si="307"/>
        <v/>
      </c>
      <c r="T1031" s="1"/>
      <c r="U1031" s="1"/>
    </row>
    <row r="1032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S1032" si="308">I432</f>
        <v/>
      </c>
      <c r="J1032" s="178" t="str">
        <f t="shared" si="308"/>
        <v/>
      </c>
      <c r="K1032" s="178" t="str">
        <f t="shared" si="308"/>
        <v/>
      </c>
      <c r="L1032" s="178" t="str">
        <f t="shared" si="308"/>
        <v/>
      </c>
      <c r="M1032" s="178" t="str">
        <f t="shared" si="308"/>
        <v/>
      </c>
      <c r="N1032" s="178" t="str">
        <f t="shared" si="308"/>
        <v/>
      </c>
      <c r="O1032" s="178" t="str">
        <f t="shared" si="308"/>
        <v/>
      </c>
      <c r="P1032" s="178" t="str">
        <f t="shared" si="308"/>
        <v/>
      </c>
      <c r="Q1032" s="178" t="str">
        <f t="shared" si="308"/>
        <v/>
      </c>
      <c r="R1032" s="178" t="str">
        <f t="shared" si="308"/>
        <v/>
      </c>
      <c r="S1032" s="178" t="str">
        <f t="shared" si="308"/>
        <v/>
      </c>
      <c r="T1032" s="1"/>
      <c r="U1032" s="1"/>
    </row>
    <row r="1033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870000</v>
      </c>
      <c r="I1033" s="178" t="str">
        <f t="shared" ref="I1033:S1033" si="309">I434</f>
        <v/>
      </c>
      <c r="J1033" s="178" t="str">
        <f t="shared" si="309"/>
        <v/>
      </c>
      <c r="K1033" s="178" t="str">
        <f t="shared" si="309"/>
        <v/>
      </c>
      <c r="L1033" s="178" t="str">
        <f t="shared" si="309"/>
        <v/>
      </c>
      <c r="M1033" s="178" t="str">
        <f t="shared" si="309"/>
        <v/>
      </c>
      <c r="N1033" s="178" t="str">
        <f t="shared" si="309"/>
        <v/>
      </c>
      <c r="O1033" s="178" t="str">
        <f t="shared" si="309"/>
        <v/>
      </c>
      <c r="P1033" s="178" t="str">
        <f t="shared" si="309"/>
        <v/>
      </c>
      <c r="Q1033" s="178" t="str">
        <f t="shared" si="309"/>
        <v/>
      </c>
      <c r="R1033" s="178" t="str">
        <f t="shared" si="309"/>
        <v/>
      </c>
      <c r="S1033" s="178" t="str">
        <f t="shared" si="309"/>
        <v/>
      </c>
      <c r="T1033" s="1"/>
      <c r="U1033" s="1"/>
    </row>
    <row r="1034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S1034" si="310">I436</f>
        <v/>
      </c>
      <c r="J1034" s="178" t="str">
        <f t="shared" si="310"/>
        <v/>
      </c>
      <c r="K1034" s="178" t="str">
        <f t="shared" si="310"/>
        <v/>
      </c>
      <c r="L1034" s="178" t="str">
        <f t="shared" si="310"/>
        <v/>
      </c>
      <c r="M1034" s="178" t="str">
        <f t="shared" si="310"/>
        <v/>
      </c>
      <c r="N1034" s="178" t="str">
        <f t="shared" si="310"/>
        <v/>
      </c>
      <c r="O1034" s="178" t="str">
        <f t="shared" si="310"/>
        <v/>
      </c>
      <c r="P1034" s="178" t="str">
        <f t="shared" si="310"/>
        <v/>
      </c>
      <c r="Q1034" s="178" t="str">
        <f t="shared" si="310"/>
        <v/>
      </c>
      <c r="R1034" s="178" t="str">
        <f t="shared" si="310"/>
        <v/>
      </c>
      <c r="S1034" s="178" t="str">
        <f t="shared" si="310"/>
        <v/>
      </c>
      <c r="T1034" s="1"/>
      <c r="U1034" s="1"/>
    </row>
    <row r="1035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"/>
      <c r="U1035" s="1"/>
    </row>
    <row r="1036">
      <c r="A1036" s="1"/>
      <c r="B1036" s="1"/>
      <c r="C1036" s="1"/>
      <c r="D1036" s="1"/>
      <c r="E1036" s="13" t="s">
        <v>47</v>
      </c>
      <c r="G1036" s="178"/>
      <c r="H1036" s="188">
        <f t="shared" ref="H1036:S1036" si="311">SUM(H1037:H1041)</f>
        <v>1656000</v>
      </c>
      <c r="I1036" s="178">
        <f t="shared" si="311"/>
        <v>0</v>
      </c>
      <c r="J1036" s="178">
        <f t="shared" si="311"/>
        <v>0</v>
      </c>
      <c r="K1036" s="178">
        <f t="shared" si="311"/>
        <v>0</v>
      </c>
      <c r="L1036" s="178">
        <f t="shared" si="311"/>
        <v>0</v>
      </c>
      <c r="M1036" s="178">
        <f t="shared" si="311"/>
        <v>0</v>
      </c>
      <c r="N1036" s="178">
        <f t="shared" si="311"/>
        <v>0</v>
      </c>
      <c r="O1036" s="178">
        <f t="shared" si="311"/>
        <v>0</v>
      </c>
      <c r="P1036" s="178">
        <f t="shared" si="311"/>
        <v>0</v>
      </c>
      <c r="Q1036" s="178">
        <f t="shared" si="311"/>
        <v>0</v>
      </c>
      <c r="R1036" s="178">
        <f t="shared" si="311"/>
        <v>0</v>
      </c>
      <c r="S1036" s="178">
        <f t="shared" si="311"/>
        <v>0</v>
      </c>
      <c r="T1036" s="1"/>
      <c r="U1036" s="1"/>
    </row>
    <row r="1037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675000</v>
      </c>
      <c r="I1037" s="178" t="str">
        <f t="shared" ref="I1037:S1037" si="312">I454</f>
        <v/>
      </c>
      <c r="J1037" s="178" t="str">
        <f t="shared" si="312"/>
        <v/>
      </c>
      <c r="K1037" s="178" t="str">
        <f t="shared" si="312"/>
        <v/>
      </c>
      <c r="L1037" s="178" t="str">
        <f t="shared" si="312"/>
        <v/>
      </c>
      <c r="M1037" s="178" t="str">
        <f t="shared" si="312"/>
        <v/>
      </c>
      <c r="N1037" s="178" t="str">
        <f t="shared" si="312"/>
        <v/>
      </c>
      <c r="O1037" s="178" t="str">
        <f t="shared" si="312"/>
        <v/>
      </c>
      <c r="P1037" s="178" t="str">
        <f t="shared" si="312"/>
        <v/>
      </c>
      <c r="Q1037" s="178" t="str">
        <f t="shared" si="312"/>
        <v/>
      </c>
      <c r="R1037" s="178" t="str">
        <f t="shared" si="312"/>
        <v/>
      </c>
      <c r="S1037" s="178" t="str">
        <f t="shared" si="312"/>
        <v/>
      </c>
      <c r="T1037" s="1"/>
      <c r="U1037" s="1"/>
    </row>
    <row r="1038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90000</v>
      </c>
      <c r="I1038" s="178" t="str">
        <f t="shared" ref="I1038:S1038" si="313">I456</f>
        <v/>
      </c>
      <c r="J1038" s="178" t="str">
        <f t="shared" si="313"/>
        <v/>
      </c>
      <c r="K1038" s="178" t="str">
        <f t="shared" si="313"/>
        <v/>
      </c>
      <c r="L1038" s="178" t="str">
        <f t="shared" si="313"/>
        <v/>
      </c>
      <c r="M1038" s="178" t="str">
        <f t="shared" si="313"/>
        <v/>
      </c>
      <c r="N1038" s="178" t="str">
        <f t="shared" si="313"/>
        <v/>
      </c>
      <c r="O1038" s="178" t="str">
        <f t="shared" si="313"/>
        <v/>
      </c>
      <c r="P1038" s="178" t="str">
        <f t="shared" si="313"/>
        <v/>
      </c>
      <c r="Q1038" s="178" t="str">
        <f t="shared" si="313"/>
        <v/>
      </c>
      <c r="R1038" s="178" t="str">
        <f t="shared" si="313"/>
        <v/>
      </c>
      <c r="S1038" s="178" t="str">
        <f t="shared" si="313"/>
        <v/>
      </c>
      <c r="T1038" s="1"/>
      <c r="U1038" s="1"/>
    </row>
    <row r="1039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S1039" si="314">I458</f>
        <v/>
      </c>
      <c r="J1039" s="178" t="str">
        <f t="shared" si="314"/>
        <v/>
      </c>
      <c r="K1039" s="178" t="str">
        <f t="shared" si="314"/>
        <v/>
      </c>
      <c r="L1039" s="178" t="str">
        <f t="shared" si="314"/>
        <v/>
      </c>
      <c r="M1039" s="178" t="str">
        <f t="shared" si="314"/>
        <v/>
      </c>
      <c r="N1039" s="178" t="str">
        <f t="shared" si="314"/>
        <v/>
      </c>
      <c r="O1039" s="178" t="str">
        <f t="shared" si="314"/>
        <v/>
      </c>
      <c r="P1039" s="178" t="str">
        <f t="shared" si="314"/>
        <v/>
      </c>
      <c r="Q1039" s="178" t="str">
        <f t="shared" si="314"/>
        <v/>
      </c>
      <c r="R1039" s="178" t="str">
        <f t="shared" si="314"/>
        <v/>
      </c>
      <c r="S1039" s="178" t="str">
        <f t="shared" si="314"/>
        <v/>
      </c>
      <c r="T1039" s="1"/>
      <c r="U1039" s="1"/>
    </row>
    <row r="1040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891000</v>
      </c>
      <c r="I1040" s="178" t="str">
        <f t="shared" ref="I1040:S1040" si="315">I460</f>
        <v/>
      </c>
      <c r="J1040" s="178" t="str">
        <f t="shared" si="315"/>
        <v/>
      </c>
      <c r="K1040" s="178" t="str">
        <f t="shared" si="315"/>
        <v/>
      </c>
      <c r="L1040" s="178" t="str">
        <f t="shared" si="315"/>
        <v/>
      </c>
      <c r="M1040" s="178" t="str">
        <f t="shared" si="315"/>
        <v/>
      </c>
      <c r="N1040" s="178" t="str">
        <f t="shared" si="315"/>
        <v/>
      </c>
      <c r="O1040" s="178" t="str">
        <f t="shared" si="315"/>
        <v/>
      </c>
      <c r="P1040" s="178" t="str">
        <f t="shared" si="315"/>
        <v/>
      </c>
      <c r="Q1040" s="178" t="str">
        <f t="shared" si="315"/>
        <v/>
      </c>
      <c r="R1040" s="178" t="str">
        <f t="shared" si="315"/>
        <v/>
      </c>
      <c r="S1040" s="178" t="str">
        <f t="shared" si="315"/>
        <v/>
      </c>
      <c r="T1040" s="1"/>
      <c r="U1040" s="1"/>
    </row>
    <row r="104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S1041" si="316">I462</f>
        <v/>
      </c>
      <c r="J1041" s="178" t="str">
        <f t="shared" si="316"/>
        <v/>
      </c>
      <c r="K1041" s="178" t="str">
        <f t="shared" si="316"/>
        <v/>
      </c>
      <c r="L1041" s="178" t="str">
        <f t="shared" si="316"/>
        <v/>
      </c>
      <c r="M1041" s="178" t="str">
        <f t="shared" si="316"/>
        <v/>
      </c>
      <c r="N1041" s="178" t="str">
        <f t="shared" si="316"/>
        <v/>
      </c>
      <c r="O1041" s="178" t="str">
        <f t="shared" si="316"/>
        <v/>
      </c>
      <c r="P1041" s="178" t="str">
        <f t="shared" si="316"/>
        <v/>
      </c>
      <c r="Q1041" s="178" t="str">
        <f t="shared" si="316"/>
        <v/>
      </c>
      <c r="R1041" s="178" t="str">
        <f t="shared" si="316"/>
        <v/>
      </c>
      <c r="S1041" s="178" t="str">
        <f t="shared" si="316"/>
        <v/>
      </c>
      <c r="T1041" s="1"/>
      <c r="U1041" s="1"/>
    </row>
    <row r="1042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"/>
      <c r="U1042" s="1"/>
    </row>
    <row r="1043">
      <c r="A1043" s="1"/>
      <c r="B1043" s="1"/>
      <c r="C1043" s="1"/>
      <c r="D1043" s="1"/>
      <c r="E1043" s="13" t="s">
        <v>48</v>
      </c>
      <c r="G1043" s="178"/>
      <c r="H1043" s="188">
        <f t="shared" ref="H1043:S1043" si="317">SUM(H1044:H1048)</f>
        <v>6061000</v>
      </c>
      <c r="I1043" s="178">
        <f t="shared" si="317"/>
        <v>0</v>
      </c>
      <c r="J1043" s="178">
        <f t="shared" si="317"/>
        <v>0</v>
      </c>
      <c r="K1043" s="178">
        <f t="shared" si="317"/>
        <v>0</v>
      </c>
      <c r="L1043" s="178">
        <f t="shared" si="317"/>
        <v>0</v>
      </c>
      <c r="M1043" s="178">
        <f t="shared" si="317"/>
        <v>0</v>
      </c>
      <c r="N1043" s="178">
        <f t="shared" si="317"/>
        <v>0</v>
      </c>
      <c r="O1043" s="178">
        <f t="shared" si="317"/>
        <v>0</v>
      </c>
      <c r="P1043" s="178">
        <f t="shared" si="317"/>
        <v>0</v>
      </c>
      <c r="Q1043" s="178">
        <f t="shared" si="317"/>
        <v>0</v>
      </c>
      <c r="R1043" s="178">
        <f t="shared" si="317"/>
        <v>0</v>
      </c>
      <c r="S1043" s="178">
        <f t="shared" si="317"/>
        <v>0</v>
      </c>
      <c r="T1043" s="1"/>
      <c r="U1043" s="1"/>
    </row>
    <row r="1044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2580000</v>
      </c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"/>
      <c r="U1044" s="1"/>
    </row>
    <row r="1045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345000</v>
      </c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"/>
      <c r="U1045" s="1"/>
    </row>
    <row r="1046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"/>
      <c r="U1046" s="1"/>
    </row>
    <row r="1047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3136000</v>
      </c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"/>
      <c r="U1047" s="1"/>
    </row>
    <row r="1048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"/>
      <c r="U1048" s="1"/>
    </row>
    <row r="1049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"/>
      <c r="U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S1050" si="318">SUM(H1051:H1055)</f>
        <v>9313000</v>
      </c>
      <c r="I1050" s="178">
        <f t="shared" si="318"/>
        <v>0</v>
      </c>
      <c r="J1050" s="178">
        <f t="shared" si="318"/>
        <v>0</v>
      </c>
      <c r="K1050" s="178">
        <f t="shared" si="318"/>
        <v>0</v>
      </c>
      <c r="L1050" s="178">
        <f t="shared" si="318"/>
        <v>0</v>
      </c>
      <c r="M1050" s="178">
        <f t="shared" si="318"/>
        <v>0</v>
      </c>
      <c r="N1050" s="178">
        <f t="shared" si="318"/>
        <v>0</v>
      </c>
      <c r="O1050" s="178">
        <f t="shared" si="318"/>
        <v>0</v>
      </c>
      <c r="P1050" s="178">
        <f t="shared" si="318"/>
        <v>0</v>
      </c>
      <c r="Q1050" s="178">
        <f t="shared" si="318"/>
        <v>0</v>
      </c>
      <c r="R1050" s="178">
        <f t="shared" si="318"/>
        <v>0</v>
      </c>
      <c r="S1050" s="178">
        <f t="shared" si="318"/>
        <v>0</v>
      </c>
      <c r="T1050" s="1"/>
      <c r="U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8140000</v>
      </c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"/>
      <c r="U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1173000</v>
      </c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"/>
      <c r="U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"/>
      <c r="U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"/>
      <c r="U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"/>
      <c r="U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"/>
      <c r="U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S1057" si="319">SUM(H1058:H1062)</f>
        <v>3240000</v>
      </c>
      <c r="I1057" s="178">
        <f t="shared" si="319"/>
        <v>0</v>
      </c>
      <c r="J1057" s="178">
        <f t="shared" si="319"/>
        <v>0</v>
      </c>
      <c r="K1057" s="178">
        <f t="shared" si="319"/>
        <v>0</v>
      </c>
      <c r="L1057" s="178">
        <f t="shared" si="319"/>
        <v>0</v>
      </c>
      <c r="M1057" s="178">
        <f t="shared" si="319"/>
        <v>0</v>
      </c>
      <c r="N1057" s="178">
        <f t="shared" si="319"/>
        <v>0</v>
      </c>
      <c r="O1057" s="178">
        <f t="shared" si="319"/>
        <v>0</v>
      </c>
      <c r="P1057" s="178">
        <f t="shared" si="319"/>
        <v>0</v>
      </c>
      <c r="Q1057" s="178">
        <f t="shared" si="319"/>
        <v>0</v>
      </c>
      <c r="R1057" s="178">
        <f t="shared" si="319"/>
        <v>0</v>
      </c>
      <c r="S1057" s="178">
        <f t="shared" si="319"/>
        <v>0</v>
      </c>
      <c r="T1057" s="1"/>
      <c r="U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2880000</v>
      </c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"/>
      <c r="U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360000</v>
      </c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"/>
      <c r="U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"/>
      <c r="U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"/>
      <c r="U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"/>
      <c r="U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"/>
      <c r="U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S1064" si="320">SUM(H1066,H1071,H1076,)</f>
        <v>0</v>
      </c>
      <c r="I1064" s="178">
        <f t="shared" si="320"/>
        <v>31500</v>
      </c>
      <c r="J1064" s="178">
        <f t="shared" si="320"/>
        <v>34650</v>
      </c>
      <c r="K1064" s="178">
        <f t="shared" si="320"/>
        <v>134115</v>
      </c>
      <c r="L1064" s="178">
        <f t="shared" si="320"/>
        <v>112326.5</v>
      </c>
      <c r="M1064" s="178">
        <f t="shared" si="320"/>
        <v>175719.15</v>
      </c>
      <c r="N1064" s="178">
        <f t="shared" si="320"/>
        <v>140651.065</v>
      </c>
      <c r="O1064" s="178">
        <f t="shared" si="320"/>
        <v>819580.1715</v>
      </c>
      <c r="P1064" s="178">
        <f t="shared" si="320"/>
        <v>330120.5887</v>
      </c>
      <c r="Q1064" s="178">
        <f t="shared" si="320"/>
        <v>480833.0475</v>
      </c>
      <c r="R1064" s="178">
        <f t="shared" si="320"/>
        <v>443484.1523</v>
      </c>
      <c r="S1064" s="178">
        <f t="shared" si="320"/>
        <v>252794.0875</v>
      </c>
      <c r="T1064" s="223">
        <f>SUM(H1064:S1064)</f>
        <v>2955773.762</v>
      </c>
      <c r="U1064" s="1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223"/>
      <c r="U1065" s="1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S1066" si="321">SUM(H1067:H1069)</f>
        <v>0</v>
      </c>
      <c r="I1066" s="178">
        <f t="shared" si="321"/>
        <v>13500</v>
      </c>
      <c r="J1066" s="178">
        <f t="shared" si="321"/>
        <v>14850</v>
      </c>
      <c r="K1066" s="178">
        <f t="shared" si="321"/>
        <v>16335</v>
      </c>
      <c r="L1066" s="178">
        <f t="shared" si="321"/>
        <v>17968.5</v>
      </c>
      <c r="M1066" s="178">
        <f t="shared" si="321"/>
        <v>19765.35</v>
      </c>
      <c r="N1066" s="178">
        <f t="shared" si="321"/>
        <v>21741.885</v>
      </c>
      <c r="O1066" s="178">
        <f t="shared" si="321"/>
        <v>23916.0735</v>
      </c>
      <c r="P1066" s="178">
        <f t="shared" si="321"/>
        <v>26307.68085</v>
      </c>
      <c r="Q1066" s="178">
        <f t="shared" si="321"/>
        <v>28938.44894</v>
      </c>
      <c r="R1066" s="178">
        <f t="shared" si="321"/>
        <v>193652.2938</v>
      </c>
      <c r="S1066" s="178">
        <f t="shared" si="321"/>
        <v>35015.52321</v>
      </c>
      <c r="T1066" s="1"/>
      <c r="U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S1067" si="322">H571</f>
        <v>0</v>
      </c>
      <c r="I1067" s="178">
        <f t="shared" si="322"/>
        <v>0</v>
      </c>
      <c r="J1067" s="178">
        <f t="shared" si="322"/>
        <v>0</v>
      </c>
      <c r="K1067" s="178">
        <f t="shared" si="322"/>
        <v>0</v>
      </c>
      <c r="L1067" s="178">
        <f t="shared" si="322"/>
        <v>0</v>
      </c>
      <c r="M1067" s="178">
        <f t="shared" si="322"/>
        <v>0</v>
      </c>
      <c r="N1067" s="178">
        <f t="shared" si="322"/>
        <v>0</v>
      </c>
      <c r="O1067" s="178">
        <f t="shared" si="322"/>
        <v>0</v>
      </c>
      <c r="P1067" s="178">
        <f t="shared" si="322"/>
        <v>0</v>
      </c>
      <c r="Q1067" s="178">
        <f t="shared" si="322"/>
        <v>0</v>
      </c>
      <c r="R1067" s="178">
        <f t="shared" si="322"/>
        <v>0</v>
      </c>
      <c r="S1067" s="178">
        <f t="shared" si="322"/>
        <v>0</v>
      </c>
      <c r="T1067" s="223">
        <f t="shared" ref="T1067:T1069" si="324">SUM(H1067:S1067)</f>
        <v>0</v>
      </c>
      <c r="U1067" s="1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S1068" si="323">H605</f>
        <v>0</v>
      </c>
      <c r="I1068" s="178">
        <f t="shared" si="323"/>
        <v>0</v>
      </c>
      <c r="J1068" s="178">
        <f t="shared" si="323"/>
        <v>0</v>
      </c>
      <c r="K1068" s="178">
        <f t="shared" si="323"/>
        <v>0</v>
      </c>
      <c r="L1068" s="178">
        <f t="shared" si="323"/>
        <v>0</v>
      </c>
      <c r="M1068" s="178">
        <f t="shared" si="323"/>
        <v>0</v>
      </c>
      <c r="N1068" s="178">
        <f t="shared" si="323"/>
        <v>0</v>
      </c>
      <c r="O1068" s="178">
        <f t="shared" si="323"/>
        <v>0</v>
      </c>
      <c r="P1068" s="178">
        <f t="shared" si="323"/>
        <v>0</v>
      </c>
      <c r="Q1068" s="178">
        <f t="shared" si="323"/>
        <v>0</v>
      </c>
      <c r="R1068" s="178">
        <f t="shared" si="323"/>
        <v>161820</v>
      </c>
      <c r="S1068" s="178">
        <f t="shared" si="323"/>
        <v>0</v>
      </c>
      <c r="T1068" s="223">
        <f t="shared" si="324"/>
        <v>161820</v>
      </c>
      <c r="U1068" s="1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S1069" si="325">H624</f>
        <v>0</v>
      </c>
      <c r="I1069" s="178">
        <f t="shared" si="325"/>
        <v>13500</v>
      </c>
      <c r="J1069" s="178">
        <f t="shared" si="325"/>
        <v>14850</v>
      </c>
      <c r="K1069" s="178">
        <f t="shared" si="325"/>
        <v>16335</v>
      </c>
      <c r="L1069" s="178">
        <f t="shared" si="325"/>
        <v>17968.5</v>
      </c>
      <c r="M1069" s="178">
        <f t="shared" si="325"/>
        <v>19765.35</v>
      </c>
      <c r="N1069" s="178">
        <f t="shared" si="325"/>
        <v>21741.885</v>
      </c>
      <c r="O1069" s="178">
        <f t="shared" si="325"/>
        <v>23916.0735</v>
      </c>
      <c r="P1069" s="178">
        <f t="shared" si="325"/>
        <v>26307.68085</v>
      </c>
      <c r="Q1069" s="178">
        <f t="shared" si="325"/>
        <v>28938.44894</v>
      </c>
      <c r="R1069" s="178">
        <f t="shared" si="325"/>
        <v>31832.29383</v>
      </c>
      <c r="S1069" s="178">
        <f t="shared" si="325"/>
        <v>35015.52321</v>
      </c>
      <c r="T1069" s="223">
        <f t="shared" si="324"/>
        <v>250170.7553</v>
      </c>
      <c r="U1069" s="1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"/>
      <c r="U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 t="shared" ref="H1071:S1071" si="326">SUM(H1072:H1074)</f>
        <v>0</v>
      </c>
      <c r="I1071" s="178">
        <f t="shared" si="326"/>
        <v>18000</v>
      </c>
      <c r="J1071" s="178">
        <f t="shared" si="326"/>
        <v>19800</v>
      </c>
      <c r="K1071" s="178">
        <f t="shared" si="326"/>
        <v>21780</v>
      </c>
      <c r="L1071" s="178">
        <f t="shared" si="326"/>
        <v>36758</v>
      </c>
      <c r="M1071" s="178">
        <f t="shared" si="326"/>
        <v>26353.8</v>
      </c>
      <c r="N1071" s="178">
        <f t="shared" si="326"/>
        <v>39229.18</v>
      </c>
      <c r="O1071" s="178">
        <f t="shared" si="326"/>
        <v>70288.098</v>
      </c>
      <c r="P1071" s="178">
        <f t="shared" si="326"/>
        <v>43268.9078</v>
      </c>
      <c r="Q1071" s="178">
        <f t="shared" si="326"/>
        <v>235030.5986</v>
      </c>
      <c r="R1071" s="178">
        <f t="shared" si="326"/>
        <v>80996.65844</v>
      </c>
      <c r="S1071" s="178">
        <f t="shared" si="326"/>
        <v>61087.36428</v>
      </c>
      <c r="T1071" s="1"/>
      <c r="U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S1072" si="327">H646</f>
        <v>0</v>
      </c>
      <c r="I1072" s="178">
        <f t="shared" si="327"/>
        <v>0</v>
      </c>
      <c r="J1072" s="178">
        <f t="shared" si="327"/>
        <v>0</v>
      </c>
      <c r="K1072" s="178">
        <f t="shared" si="327"/>
        <v>0</v>
      </c>
      <c r="L1072" s="178">
        <f t="shared" si="327"/>
        <v>12800</v>
      </c>
      <c r="M1072" s="178">
        <f t="shared" si="327"/>
        <v>0</v>
      </c>
      <c r="N1072" s="178">
        <f t="shared" si="327"/>
        <v>10240</v>
      </c>
      <c r="O1072" s="178">
        <f t="shared" si="327"/>
        <v>38400</v>
      </c>
      <c r="P1072" s="178">
        <f t="shared" si="327"/>
        <v>8192</v>
      </c>
      <c r="Q1072" s="178">
        <f t="shared" si="327"/>
        <v>30720</v>
      </c>
      <c r="R1072" s="178">
        <f t="shared" si="327"/>
        <v>38553.6</v>
      </c>
      <c r="S1072" s="178">
        <f t="shared" si="327"/>
        <v>0</v>
      </c>
      <c r="T1072" s="223">
        <f t="shared" ref="T1072:T1074" si="329">SUM(H1072:S1072)</f>
        <v>138905.6</v>
      </c>
      <c r="U1072" s="1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S1073" si="328">H679</f>
        <v>0</v>
      </c>
      <c r="I1073" s="178">
        <f t="shared" si="328"/>
        <v>0</v>
      </c>
      <c r="J1073" s="178">
        <f t="shared" si="328"/>
        <v>0</v>
      </c>
      <c r="K1073" s="178">
        <f t="shared" si="328"/>
        <v>0</v>
      </c>
      <c r="L1073" s="178">
        <f t="shared" si="328"/>
        <v>0</v>
      </c>
      <c r="M1073" s="178">
        <f t="shared" si="328"/>
        <v>0</v>
      </c>
      <c r="N1073" s="178">
        <f t="shared" si="328"/>
        <v>0</v>
      </c>
      <c r="O1073" s="178">
        <f t="shared" si="328"/>
        <v>0</v>
      </c>
      <c r="P1073" s="178">
        <f t="shared" si="328"/>
        <v>0</v>
      </c>
      <c r="Q1073" s="178">
        <f t="shared" si="328"/>
        <v>165726</v>
      </c>
      <c r="R1073" s="178">
        <f t="shared" si="328"/>
        <v>0</v>
      </c>
      <c r="S1073" s="178">
        <f t="shared" si="328"/>
        <v>14400</v>
      </c>
      <c r="T1073" s="223">
        <f t="shared" si="329"/>
        <v>180126</v>
      </c>
      <c r="U1073" s="1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S1074" si="330">H698</f>
        <v>0</v>
      </c>
      <c r="I1074" s="178">
        <f t="shared" si="330"/>
        <v>18000</v>
      </c>
      <c r="J1074" s="178">
        <f t="shared" si="330"/>
        <v>19800</v>
      </c>
      <c r="K1074" s="178">
        <f t="shared" si="330"/>
        <v>21780</v>
      </c>
      <c r="L1074" s="178">
        <f t="shared" si="330"/>
        <v>23958</v>
      </c>
      <c r="M1074" s="178">
        <f t="shared" si="330"/>
        <v>26353.8</v>
      </c>
      <c r="N1074" s="178">
        <f t="shared" si="330"/>
        <v>28989.18</v>
      </c>
      <c r="O1074" s="178">
        <f t="shared" si="330"/>
        <v>31888.098</v>
      </c>
      <c r="P1074" s="178">
        <f t="shared" si="330"/>
        <v>35076.9078</v>
      </c>
      <c r="Q1074" s="178">
        <f t="shared" si="330"/>
        <v>38584.59858</v>
      </c>
      <c r="R1074" s="178">
        <f t="shared" si="330"/>
        <v>42443.05844</v>
      </c>
      <c r="S1074" s="178">
        <f t="shared" si="330"/>
        <v>46687.36428</v>
      </c>
      <c r="T1074" s="223">
        <f t="shared" si="329"/>
        <v>333561.0071</v>
      </c>
      <c r="U1074" s="1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"/>
      <c r="U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 t="shared" ref="H1076:S1076" si="331">SUM(H1077:H1079)</f>
        <v>0</v>
      </c>
      <c r="I1076" s="178">
        <f t="shared" si="331"/>
        <v>0</v>
      </c>
      <c r="J1076" s="178">
        <f t="shared" si="331"/>
        <v>0</v>
      </c>
      <c r="K1076" s="178">
        <f t="shared" si="331"/>
        <v>96000</v>
      </c>
      <c r="L1076" s="178">
        <f t="shared" si="331"/>
        <v>57600</v>
      </c>
      <c r="M1076" s="178">
        <f t="shared" si="331"/>
        <v>129600</v>
      </c>
      <c r="N1076" s="178">
        <f t="shared" si="331"/>
        <v>79680</v>
      </c>
      <c r="O1076" s="178">
        <f t="shared" si="331"/>
        <v>725376</v>
      </c>
      <c r="P1076" s="178">
        <f t="shared" si="331"/>
        <v>260544</v>
      </c>
      <c r="Q1076" s="178">
        <f t="shared" si="331"/>
        <v>216864</v>
      </c>
      <c r="R1076" s="178">
        <f t="shared" si="331"/>
        <v>168835.2</v>
      </c>
      <c r="S1076" s="178">
        <f t="shared" si="331"/>
        <v>156691.2</v>
      </c>
      <c r="T1076" s="1"/>
      <c r="U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S1077" si="332">H720</f>
        <v>0</v>
      </c>
      <c r="I1077" s="178">
        <f t="shared" si="332"/>
        <v>0</v>
      </c>
      <c r="J1077" s="178">
        <f t="shared" si="332"/>
        <v>0</v>
      </c>
      <c r="K1077" s="178">
        <f t="shared" si="332"/>
        <v>96000</v>
      </c>
      <c r="L1077" s="178">
        <f t="shared" si="332"/>
        <v>57600</v>
      </c>
      <c r="M1077" s="178">
        <f t="shared" si="332"/>
        <v>129600</v>
      </c>
      <c r="N1077" s="178">
        <f t="shared" si="332"/>
        <v>79680</v>
      </c>
      <c r="O1077" s="178">
        <f t="shared" si="332"/>
        <v>142080</v>
      </c>
      <c r="P1077" s="178">
        <f t="shared" si="332"/>
        <v>92544</v>
      </c>
      <c r="Q1077" s="178">
        <f t="shared" si="332"/>
        <v>132864</v>
      </c>
      <c r="R1077" s="178">
        <f t="shared" si="332"/>
        <v>93235.2</v>
      </c>
      <c r="S1077" s="178">
        <f t="shared" si="332"/>
        <v>106291.2</v>
      </c>
      <c r="T1077" s="223">
        <f t="shared" ref="T1077:T1079" si="334">SUM(H1077:S1077)</f>
        <v>929894.4</v>
      </c>
      <c r="U1077" s="1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S1078" si="333">H754</f>
        <v>0</v>
      </c>
      <c r="I1078" s="178">
        <f t="shared" si="333"/>
        <v>0</v>
      </c>
      <c r="J1078" s="178">
        <f t="shared" si="333"/>
        <v>0</v>
      </c>
      <c r="K1078" s="178">
        <f t="shared" si="333"/>
        <v>0</v>
      </c>
      <c r="L1078" s="178">
        <f t="shared" si="333"/>
        <v>0</v>
      </c>
      <c r="M1078" s="178">
        <f t="shared" si="333"/>
        <v>0</v>
      </c>
      <c r="N1078" s="178">
        <f t="shared" si="333"/>
        <v>0</v>
      </c>
      <c r="O1078" s="178">
        <f t="shared" si="333"/>
        <v>583296</v>
      </c>
      <c r="P1078" s="178">
        <f t="shared" si="333"/>
        <v>168000</v>
      </c>
      <c r="Q1078" s="178">
        <f t="shared" si="333"/>
        <v>84000</v>
      </c>
      <c r="R1078" s="178">
        <f t="shared" si="333"/>
        <v>75600</v>
      </c>
      <c r="S1078" s="178">
        <f t="shared" si="333"/>
        <v>50400</v>
      </c>
      <c r="T1078" s="223">
        <f t="shared" si="334"/>
        <v>961296</v>
      </c>
      <c r="U1078" s="1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S1079" si="335">H774</f>
        <v>0</v>
      </c>
      <c r="I1079" s="178">
        <f t="shared" si="335"/>
        <v>0</v>
      </c>
      <c r="J1079" s="178">
        <f t="shared" si="335"/>
        <v>0</v>
      </c>
      <c r="K1079" s="178">
        <f t="shared" si="335"/>
        <v>0</v>
      </c>
      <c r="L1079" s="178">
        <f t="shared" si="335"/>
        <v>0</v>
      </c>
      <c r="M1079" s="178">
        <f t="shared" si="335"/>
        <v>0</v>
      </c>
      <c r="N1079" s="178">
        <f t="shared" si="335"/>
        <v>0</v>
      </c>
      <c r="O1079" s="178">
        <f t="shared" si="335"/>
        <v>0</v>
      </c>
      <c r="P1079" s="178">
        <f t="shared" si="335"/>
        <v>0</v>
      </c>
      <c r="Q1079" s="178">
        <f t="shared" si="335"/>
        <v>0</v>
      </c>
      <c r="R1079" s="178">
        <f t="shared" si="335"/>
        <v>0</v>
      </c>
      <c r="S1079" s="178">
        <f t="shared" si="335"/>
        <v>0</v>
      </c>
      <c r="T1079" s="223">
        <f t="shared" si="334"/>
        <v>0</v>
      </c>
      <c r="U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"/>
      <c r="U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S1081" si="336">SUM(H1083,H1090,H1097,H1104,H1111,)</f>
        <v>0</v>
      </c>
      <c r="I1081" s="178">
        <f t="shared" si="336"/>
        <v>3682000</v>
      </c>
      <c r="J1081" s="178">
        <f t="shared" si="336"/>
        <v>2386000</v>
      </c>
      <c r="K1081" s="178">
        <f t="shared" si="336"/>
        <v>1704000</v>
      </c>
      <c r="L1081" s="178">
        <f t="shared" si="336"/>
        <v>1154000</v>
      </c>
      <c r="M1081" s="178">
        <f t="shared" si="336"/>
        <v>2416000</v>
      </c>
      <c r="N1081" s="178">
        <f t="shared" si="336"/>
        <v>790000</v>
      </c>
      <c r="O1081" s="178">
        <f t="shared" si="336"/>
        <v>578000</v>
      </c>
      <c r="P1081" s="178">
        <f t="shared" si="336"/>
        <v>1771000</v>
      </c>
      <c r="Q1081" s="178">
        <f t="shared" si="336"/>
        <v>0</v>
      </c>
      <c r="R1081" s="178">
        <f t="shared" si="336"/>
        <v>0</v>
      </c>
      <c r="S1081" s="178">
        <f t="shared" si="336"/>
        <v>1323000</v>
      </c>
      <c r="T1081" s="223">
        <f>SUM(H1081:S1081)</f>
        <v>15804000</v>
      </c>
      <c r="U1081" s="1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223"/>
      <c r="U1082" s="1"/>
    </row>
    <row r="1083">
      <c r="A1083" s="1"/>
      <c r="B1083" s="1"/>
      <c r="C1083" s="1"/>
      <c r="D1083" s="1"/>
      <c r="E1083" s="13" t="s">
        <v>46</v>
      </c>
      <c r="G1083" s="178"/>
      <c r="H1083" s="178">
        <f t="shared" ref="H1083:S1083" si="337">SUM(H1084:H1088)</f>
        <v>0</v>
      </c>
      <c r="I1083" s="178">
        <f t="shared" si="337"/>
        <v>0</v>
      </c>
      <c r="J1083" s="178">
        <f t="shared" si="337"/>
        <v>160000</v>
      </c>
      <c r="K1083" s="178">
        <f t="shared" si="337"/>
        <v>0</v>
      </c>
      <c r="L1083" s="178">
        <f t="shared" si="337"/>
        <v>0</v>
      </c>
      <c r="M1083" s="178">
        <f t="shared" si="337"/>
        <v>400000</v>
      </c>
      <c r="N1083" s="178">
        <f t="shared" si="337"/>
        <v>0</v>
      </c>
      <c r="O1083" s="178">
        <f t="shared" si="337"/>
        <v>0</v>
      </c>
      <c r="P1083" s="178">
        <f t="shared" si="337"/>
        <v>400000</v>
      </c>
      <c r="Q1083" s="178">
        <f t="shared" si="337"/>
        <v>0</v>
      </c>
      <c r="R1083" s="178">
        <f t="shared" si="337"/>
        <v>0</v>
      </c>
      <c r="S1083" s="178">
        <f t="shared" si="337"/>
        <v>400000</v>
      </c>
      <c r="T1083" s="1"/>
      <c r="U1083" s="1"/>
    </row>
    <row r="1084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S1084" si="338">H827</f>
        <v>0</v>
      </c>
      <c r="I1084" s="179">
        <f t="shared" si="338"/>
        <v>0</v>
      </c>
      <c r="J1084" s="179">
        <f t="shared" si="338"/>
        <v>140000</v>
      </c>
      <c r="K1084" s="179">
        <f t="shared" si="338"/>
        <v>0</v>
      </c>
      <c r="L1084" s="179">
        <f t="shared" si="338"/>
        <v>0</v>
      </c>
      <c r="M1084" s="179">
        <f t="shared" si="338"/>
        <v>350000</v>
      </c>
      <c r="N1084" s="179">
        <f t="shared" si="338"/>
        <v>0</v>
      </c>
      <c r="O1084" s="179">
        <f t="shared" si="338"/>
        <v>0</v>
      </c>
      <c r="P1084" s="179">
        <f t="shared" si="338"/>
        <v>350000</v>
      </c>
      <c r="Q1084" s="179">
        <f t="shared" si="338"/>
        <v>0</v>
      </c>
      <c r="R1084" s="179">
        <f t="shared" si="338"/>
        <v>0</v>
      </c>
      <c r="S1084" s="179">
        <f t="shared" si="338"/>
        <v>350000</v>
      </c>
      <c r="T1084" s="1"/>
      <c r="U1084" s="1"/>
    </row>
    <row r="1085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S1085" si="339">H830</f>
        <v>0</v>
      </c>
      <c r="I1085" s="179">
        <f t="shared" si="339"/>
        <v>0</v>
      </c>
      <c r="J1085" s="179">
        <f t="shared" si="339"/>
        <v>20000</v>
      </c>
      <c r="K1085" s="179">
        <f t="shared" si="339"/>
        <v>0</v>
      </c>
      <c r="L1085" s="179">
        <f t="shared" si="339"/>
        <v>0</v>
      </c>
      <c r="M1085" s="179">
        <f t="shared" si="339"/>
        <v>50000</v>
      </c>
      <c r="N1085" s="179">
        <f t="shared" si="339"/>
        <v>0</v>
      </c>
      <c r="O1085" s="179">
        <f t="shared" si="339"/>
        <v>0</v>
      </c>
      <c r="P1085" s="179">
        <f t="shared" si="339"/>
        <v>50000</v>
      </c>
      <c r="Q1085" s="179">
        <f t="shared" si="339"/>
        <v>0</v>
      </c>
      <c r="R1085" s="179">
        <f t="shared" si="339"/>
        <v>0</v>
      </c>
      <c r="S1085" s="179">
        <f t="shared" si="339"/>
        <v>50000</v>
      </c>
      <c r="T1085" s="1"/>
      <c r="U1085" s="1"/>
    </row>
    <row r="1086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S1086" si="340">H833</f>
        <v>0</v>
      </c>
      <c r="I1086" s="179">
        <f t="shared" si="340"/>
        <v>0</v>
      </c>
      <c r="J1086" s="179">
        <f t="shared" si="340"/>
        <v>0</v>
      </c>
      <c r="K1086" s="179">
        <f t="shared" si="340"/>
        <v>0</v>
      </c>
      <c r="L1086" s="179">
        <f t="shared" si="340"/>
        <v>0</v>
      </c>
      <c r="M1086" s="179">
        <f t="shared" si="340"/>
        <v>0</v>
      </c>
      <c r="N1086" s="179">
        <f t="shared" si="340"/>
        <v>0</v>
      </c>
      <c r="O1086" s="179">
        <f t="shared" si="340"/>
        <v>0</v>
      </c>
      <c r="P1086" s="179">
        <f t="shared" si="340"/>
        <v>0</v>
      </c>
      <c r="Q1086" s="179">
        <f t="shared" si="340"/>
        <v>0</v>
      </c>
      <c r="R1086" s="179">
        <f t="shared" si="340"/>
        <v>0</v>
      </c>
      <c r="S1086" s="179">
        <f t="shared" si="340"/>
        <v>0</v>
      </c>
      <c r="T1086" s="1"/>
      <c r="U1086" s="1"/>
    </row>
    <row r="1087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S1087" si="341">H836</f>
        <v>0</v>
      </c>
      <c r="I1087" s="179">
        <f t="shared" si="341"/>
        <v>0</v>
      </c>
      <c r="J1087" s="179">
        <f t="shared" si="341"/>
        <v>0</v>
      </c>
      <c r="K1087" s="179">
        <f t="shared" si="341"/>
        <v>0</v>
      </c>
      <c r="L1087" s="179">
        <f t="shared" si="341"/>
        <v>0</v>
      </c>
      <c r="M1087" s="179">
        <f t="shared" si="341"/>
        <v>0</v>
      </c>
      <c r="N1087" s="179">
        <f t="shared" si="341"/>
        <v>0</v>
      </c>
      <c r="O1087" s="179">
        <f t="shared" si="341"/>
        <v>0</v>
      </c>
      <c r="P1087" s="179">
        <f t="shared" si="341"/>
        <v>0</v>
      </c>
      <c r="Q1087" s="179">
        <f t="shared" si="341"/>
        <v>0</v>
      </c>
      <c r="R1087" s="179">
        <f t="shared" si="341"/>
        <v>0</v>
      </c>
      <c r="S1087" s="179">
        <f t="shared" si="341"/>
        <v>0</v>
      </c>
      <c r="T1087" s="1"/>
      <c r="U1087" s="1"/>
    </row>
    <row r="1088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S1088" si="342">H839</f>
        <v>0</v>
      </c>
      <c r="I1088" s="179">
        <f t="shared" si="342"/>
        <v>0</v>
      </c>
      <c r="J1088" s="179">
        <f t="shared" si="342"/>
        <v>0</v>
      </c>
      <c r="K1088" s="179">
        <f t="shared" si="342"/>
        <v>0</v>
      </c>
      <c r="L1088" s="179">
        <f t="shared" si="342"/>
        <v>0</v>
      </c>
      <c r="M1088" s="179">
        <f t="shared" si="342"/>
        <v>0</v>
      </c>
      <c r="N1088" s="179">
        <f t="shared" si="342"/>
        <v>0</v>
      </c>
      <c r="O1088" s="179">
        <f t="shared" si="342"/>
        <v>0</v>
      </c>
      <c r="P1088" s="179">
        <f t="shared" si="342"/>
        <v>0</v>
      </c>
      <c r="Q1088" s="179">
        <f t="shared" si="342"/>
        <v>0</v>
      </c>
      <c r="R1088" s="179">
        <f t="shared" si="342"/>
        <v>0</v>
      </c>
      <c r="S1088" s="179">
        <f t="shared" si="342"/>
        <v>0</v>
      </c>
      <c r="T1088" s="1"/>
      <c r="U1088" s="1"/>
    </row>
    <row r="1089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"/>
      <c r="U1089" s="1"/>
    </row>
    <row r="1090">
      <c r="A1090" s="1"/>
      <c r="B1090" s="1"/>
      <c r="C1090" s="1"/>
      <c r="D1090" s="1"/>
      <c r="E1090" s="13" t="s">
        <v>47</v>
      </c>
      <c r="G1090" s="1"/>
      <c r="H1090" s="178">
        <f t="shared" ref="H1090:S1090" si="343">SUM(H1091:H1095)</f>
        <v>0</v>
      </c>
      <c r="I1090" s="178">
        <f t="shared" si="343"/>
        <v>0</v>
      </c>
      <c r="J1090" s="178">
        <f t="shared" si="343"/>
        <v>298000</v>
      </c>
      <c r="K1090" s="178">
        <f t="shared" si="343"/>
        <v>0</v>
      </c>
      <c r="L1090" s="178">
        <f t="shared" si="343"/>
        <v>0</v>
      </c>
      <c r="M1090" s="178">
        <f t="shared" si="343"/>
        <v>896000</v>
      </c>
      <c r="N1090" s="178">
        <f t="shared" si="343"/>
        <v>0</v>
      </c>
      <c r="O1090" s="178">
        <f t="shared" si="343"/>
        <v>0</v>
      </c>
      <c r="P1090" s="178">
        <f t="shared" si="343"/>
        <v>923000</v>
      </c>
      <c r="Q1090" s="178">
        <f t="shared" si="343"/>
        <v>0</v>
      </c>
      <c r="R1090" s="178">
        <f t="shared" si="343"/>
        <v>0</v>
      </c>
      <c r="S1090" s="178">
        <f t="shared" si="343"/>
        <v>923000</v>
      </c>
      <c r="T1090" s="1"/>
      <c r="U1090" s="1"/>
    </row>
    <row r="109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S1091" si="344">H872</f>
        <v>0</v>
      </c>
      <c r="I1091" s="179">
        <f t="shared" si="344"/>
        <v>0</v>
      </c>
      <c r="J1091" s="179">
        <f t="shared" si="344"/>
        <v>150000</v>
      </c>
      <c r="K1091" s="179">
        <f t="shared" si="344"/>
        <v>0</v>
      </c>
      <c r="L1091" s="179">
        <f t="shared" si="344"/>
        <v>0</v>
      </c>
      <c r="M1091" s="179">
        <f t="shared" si="344"/>
        <v>400000</v>
      </c>
      <c r="N1091" s="179">
        <f t="shared" si="344"/>
        <v>0</v>
      </c>
      <c r="O1091" s="179">
        <f t="shared" si="344"/>
        <v>0</v>
      </c>
      <c r="P1091" s="179">
        <f t="shared" si="344"/>
        <v>425000</v>
      </c>
      <c r="Q1091" s="179">
        <f t="shared" si="344"/>
        <v>0</v>
      </c>
      <c r="R1091" s="179">
        <f t="shared" si="344"/>
        <v>0</v>
      </c>
      <c r="S1091" s="179">
        <f t="shared" si="344"/>
        <v>425000</v>
      </c>
      <c r="T1091" s="1"/>
      <c r="U1091" s="1"/>
    </row>
    <row r="1092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S1092" si="345">H875</f>
        <v>0</v>
      </c>
      <c r="I1092" s="179">
        <f t="shared" si="345"/>
        <v>0</v>
      </c>
      <c r="J1092" s="179">
        <f t="shared" si="345"/>
        <v>60000</v>
      </c>
      <c r="K1092" s="179">
        <f t="shared" si="345"/>
        <v>0</v>
      </c>
      <c r="L1092" s="179">
        <f t="shared" si="345"/>
        <v>0</v>
      </c>
      <c r="M1092" s="179">
        <f t="shared" si="345"/>
        <v>160000</v>
      </c>
      <c r="N1092" s="179">
        <f t="shared" si="345"/>
        <v>0</v>
      </c>
      <c r="O1092" s="179">
        <f t="shared" si="345"/>
        <v>0</v>
      </c>
      <c r="P1092" s="179">
        <f t="shared" si="345"/>
        <v>170000</v>
      </c>
      <c r="Q1092" s="179">
        <f t="shared" si="345"/>
        <v>0</v>
      </c>
      <c r="R1092" s="179">
        <f t="shared" si="345"/>
        <v>0</v>
      </c>
      <c r="S1092" s="179">
        <f t="shared" si="345"/>
        <v>170000</v>
      </c>
      <c r="T1092" s="1"/>
      <c r="U1092" s="1"/>
    </row>
    <row r="1093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S1093" si="346">H878</f>
        <v>0</v>
      </c>
      <c r="I1093" s="179">
        <f t="shared" si="346"/>
        <v>0</v>
      </c>
      <c r="J1093" s="179">
        <f t="shared" si="346"/>
        <v>16000</v>
      </c>
      <c r="K1093" s="179">
        <f t="shared" si="346"/>
        <v>0</v>
      </c>
      <c r="L1093" s="179">
        <f t="shared" si="346"/>
        <v>0</v>
      </c>
      <c r="M1093" s="179">
        <f t="shared" si="346"/>
        <v>48000</v>
      </c>
      <c r="N1093" s="179">
        <f t="shared" si="346"/>
        <v>0</v>
      </c>
      <c r="O1093" s="179">
        <f t="shared" si="346"/>
        <v>0</v>
      </c>
      <c r="P1093" s="179">
        <f t="shared" si="346"/>
        <v>40000</v>
      </c>
      <c r="Q1093" s="179">
        <f t="shared" si="346"/>
        <v>0</v>
      </c>
      <c r="R1093" s="179">
        <f t="shared" si="346"/>
        <v>0</v>
      </c>
      <c r="S1093" s="179">
        <f t="shared" si="346"/>
        <v>40000</v>
      </c>
      <c r="T1093" s="1"/>
      <c r="U1093" s="1"/>
    </row>
    <row r="1094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S1094" si="347">H881</f>
        <v>0</v>
      </c>
      <c r="I1094" s="179">
        <f t="shared" si="347"/>
        <v>0</v>
      </c>
      <c r="J1094" s="179">
        <f t="shared" si="347"/>
        <v>72000</v>
      </c>
      <c r="K1094" s="179">
        <f t="shared" si="347"/>
        <v>0</v>
      </c>
      <c r="L1094" s="179">
        <f t="shared" si="347"/>
        <v>0</v>
      </c>
      <c r="M1094" s="179">
        <f t="shared" si="347"/>
        <v>288000</v>
      </c>
      <c r="N1094" s="179">
        <f t="shared" si="347"/>
        <v>0</v>
      </c>
      <c r="O1094" s="179">
        <f t="shared" si="347"/>
        <v>0</v>
      </c>
      <c r="P1094" s="179">
        <f t="shared" si="347"/>
        <v>288000</v>
      </c>
      <c r="Q1094" s="179">
        <f t="shared" si="347"/>
        <v>0</v>
      </c>
      <c r="R1094" s="179">
        <f t="shared" si="347"/>
        <v>0</v>
      </c>
      <c r="S1094" s="179">
        <f t="shared" si="347"/>
        <v>288000</v>
      </c>
      <c r="T1094" s="1"/>
      <c r="U1094" s="1"/>
    </row>
    <row r="1095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S1095" si="348">H884</f>
        <v>0</v>
      </c>
      <c r="I1095" s="179">
        <f t="shared" si="348"/>
        <v>0</v>
      </c>
      <c r="J1095" s="179">
        <f t="shared" si="348"/>
        <v>0</v>
      </c>
      <c r="K1095" s="179">
        <f t="shared" si="348"/>
        <v>0</v>
      </c>
      <c r="L1095" s="179">
        <f t="shared" si="348"/>
        <v>0</v>
      </c>
      <c r="M1095" s="179">
        <f t="shared" si="348"/>
        <v>0</v>
      </c>
      <c r="N1095" s="179">
        <f t="shared" si="348"/>
        <v>0</v>
      </c>
      <c r="O1095" s="179">
        <f t="shared" si="348"/>
        <v>0</v>
      </c>
      <c r="P1095" s="179">
        <f t="shared" si="348"/>
        <v>0</v>
      </c>
      <c r="Q1095" s="179">
        <f t="shared" si="348"/>
        <v>0</v>
      </c>
      <c r="R1095" s="179">
        <f t="shared" si="348"/>
        <v>0</v>
      </c>
      <c r="S1095" s="179">
        <f t="shared" si="348"/>
        <v>0</v>
      </c>
      <c r="T1095" s="1"/>
      <c r="U1095" s="1"/>
    </row>
    <row r="1096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>
      <c r="A1097" s="1"/>
      <c r="B1097" s="1"/>
      <c r="C1097" s="1"/>
      <c r="D1097" s="1"/>
      <c r="E1097" s="13" t="s">
        <v>48</v>
      </c>
      <c r="G1097" s="1"/>
      <c r="H1097" s="178">
        <f t="shared" ref="H1097:S1097" si="349">SUM(H1098:H1102)</f>
        <v>0</v>
      </c>
      <c r="I1097" s="178">
        <f t="shared" si="349"/>
        <v>1810000</v>
      </c>
      <c r="J1097" s="178">
        <f t="shared" si="349"/>
        <v>932000</v>
      </c>
      <c r="K1097" s="178">
        <f t="shared" si="349"/>
        <v>824000</v>
      </c>
      <c r="L1097" s="178">
        <f t="shared" si="349"/>
        <v>564000</v>
      </c>
      <c r="M1097" s="178">
        <f t="shared" si="349"/>
        <v>540000</v>
      </c>
      <c r="N1097" s="178">
        <f t="shared" si="349"/>
        <v>374000</v>
      </c>
      <c r="O1097" s="178">
        <f t="shared" si="349"/>
        <v>280000</v>
      </c>
      <c r="P1097" s="178">
        <f t="shared" si="349"/>
        <v>208000</v>
      </c>
      <c r="Q1097" s="178">
        <f t="shared" si="349"/>
        <v>0</v>
      </c>
      <c r="R1097" s="178">
        <f t="shared" si="349"/>
        <v>0</v>
      </c>
      <c r="S1097" s="178">
        <f t="shared" si="349"/>
        <v>0</v>
      </c>
      <c r="T1097" s="1"/>
      <c r="U1097" s="1"/>
    </row>
    <row r="1098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S1098" si="350">H917</f>
        <v>0</v>
      </c>
      <c r="I1098" s="180">
        <f t="shared" si="350"/>
        <v>500000</v>
      </c>
      <c r="J1098" s="180">
        <f t="shared" si="350"/>
        <v>260000</v>
      </c>
      <c r="K1098" s="180">
        <f t="shared" si="350"/>
        <v>220000</v>
      </c>
      <c r="L1098" s="180">
        <f t="shared" si="350"/>
        <v>160000</v>
      </c>
      <c r="M1098" s="180">
        <f t="shared" si="350"/>
        <v>140000</v>
      </c>
      <c r="N1098" s="180">
        <f t="shared" si="350"/>
        <v>100000</v>
      </c>
      <c r="O1098" s="180">
        <f t="shared" si="350"/>
        <v>80000</v>
      </c>
      <c r="P1098" s="180">
        <f t="shared" si="350"/>
        <v>60000</v>
      </c>
      <c r="Q1098" s="180">
        <f t="shared" si="350"/>
        <v>0</v>
      </c>
      <c r="R1098" s="180">
        <f t="shared" si="350"/>
        <v>0</v>
      </c>
      <c r="S1098" s="180">
        <f t="shared" si="350"/>
        <v>0</v>
      </c>
      <c r="T1098" s="1"/>
      <c r="U1098" s="1"/>
    </row>
    <row r="1099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S1099" si="351">H920</f>
        <v>0</v>
      </c>
      <c r="I1099" s="170">
        <f t="shared" si="351"/>
        <v>350000</v>
      </c>
      <c r="J1099" s="170">
        <f t="shared" si="351"/>
        <v>180000</v>
      </c>
      <c r="K1099" s="170">
        <f t="shared" si="351"/>
        <v>160000</v>
      </c>
      <c r="L1099" s="170">
        <f t="shared" si="351"/>
        <v>110000</v>
      </c>
      <c r="M1099" s="170">
        <f t="shared" si="351"/>
        <v>100000</v>
      </c>
      <c r="N1099" s="170">
        <f t="shared" si="351"/>
        <v>70000</v>
      </c>
      <c r="O1099" s="170">
        <f t="shared" si="351"/>
        <v>50000</v>
      </c>
      <c r="P1099" s="170">
        <f t="shared" si="351"/>
        <v>40000</v>
      </c>
      <c r="Q1099" s="170">
        <f t="shared" si="351"/>
        <v>0</v>
      </c>
      <c r="R1099" s="170">
        <f t="shared" si="351"/>
        <v>0</v>
      </c>
      <c r="S1099" s="170">
        <f t="shared" si="351"/>
        <v>0</v>
      </c>
      <c r="T1099" s="1"/>
      <c r="U1099" s="1"/>
    </row>
    <row r="1100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S1100" si="352">H923</f>
        <v>0</v>
      </c>
      <c r="I1100" s="170">
        <f t="shared" si="352"/>
        <v>120000</v>
      </c>
      <c r="J1100" s="170">
        <f t="shared" si="352"/>
        <v>72000</v>
      </c>
      <c r="K1100" s="170">
        <f t="shared" si="352"/>
        <v>66000</v>
      </c>
      <c r="L1100" s="170">
        <f t="shared" si="352"/>
        <v>42000</v>
      </c>
      <c r="M1100" s="170">
        <f t="shared" si="352"/>
        <v>48000</v>
      </c>
      <c r="N1100" s="170">
        <f t="shared" si="352"/>
        <v>36000</v>
      </c>
      <c r="O1100" s="170">
        <f t="shared" si="352"/>
        <v>24000</v>
      </c>
      <c r="P1100" s="170">
        <f t="shared" si="352"/>
        <v>24000</v>
      </c>
      <c r="Q1100" s="170">
        <f t="shared" si="352"/>
        <v>0</v>
      </c>
      <c r="R1100" s="170">
        <f t="shared" si="352"/>
        <v>0</v>
      </c>
      <c r="S1100" s="170">
        <f t="shared" si="352"/>
        <v>0</v>
      </c>
      <c r="T1100" s="1"/>
      <c r="U1100" s="1"/>
    </row>
    <row r="110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S1101" si="353">H926</f>
        <v>0</v>
      </c>
      <c r="I1101" s="170">
        <f t="shared" si="353"/>
        <v>840000</v>
      </c>
      <c r="J1101" s="170">
        <f t="shared" si="353"/>
        <v>420000</v>
      </c>
      <c r="K1101" s="170">
        <f t="shared" si="353"/>
        <v>378000</v>
      </c>
      <c r="L1101" s="170">
        <f t="shared" si="353"/>
        <v>252000</v>
      </c>
      <c r="M1101" s="170">
        <f t="shared" si="353"/>
        <v>252000</v>
      </c>
      <c r="N1101" s="170">
        <f t="shared" si="353"/>
        <v>168000</v>
      </c>
      <c r="O1101" s="170">
        <f t="shared" si="353"/>
        <v>126000</v>
      </c>
      <c r="P1101" s="170">
        <f t="shared" si="353"/>
        <v>84000</v>
      </c>
      <c r="Q1101" s="170">
        <f t="shared" si="353"/>
        <v>0</v>
      </c>
      <c r="R1101" s="170">
        <f t="shared" si="353"/>
        <v>0</v>
      </c>
      <c r="S1101" s="170">
        <f t="shared" si="353"/>
        <v>0</v>
      </c>
      <c r="T1101" s="1"/>
      <c r="U1101" s="1"/>
    </row>
    <row r="1102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S1102" si="354">H929</f>
        <v>0</v>
      </c>
      <c r="I1102" s="170">
        <f t="shared" si="354"/>
        <v>0</v>
      </c>
      <c r="J1102" s="170">
        <f t="shared" si="354"/>
        <v>0</v>
      </c>
      <c r="K1102" s="170">
        <f t="shared" si="354"/>
        <v>0</v>
      </c>
      <c r="L1102" s="170">
        <f t="shared" si="354"/>
        <v>0</v>
      </c>
      <c r="M1102" s="170">
        <f t="shared" si="354"/>
        <v>0</v>
      </c>
      <c r="N1102" s="170">
        <f t="shared" si="354"/>
        <v>0</v>
      </c>
      <c r="O1102" s="170">
        <f t="shared" si="354"/>
        <v>0</v>
      </c>
      <c r="P1102" s="170">
        <f t="shared" si="354"/>
        <v>0</v>
      </c>
      <c r="Q1102" s="170">
        <f t="shared" si="354"/>
        <v>0</v>
      </c>
      <c r="R1102" s="170">
        <f t="shared" si="354"/>
        <v>0</v>
      </c>
      <c r="S1102" s="170">
        <f t="shared" si="354"/>
        <v>0</v>
      </c>
      <c r="T1102" s="1"/>
      <c r="U1102" s="1"/>
    </row>
    <row r="1103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>
      <c r="A1104" s="1"/>
      <c r="B1104" s="1"/>
      <c r="C1104" s="1"/>
      <c r="D1104" s="1"/>
      <c r="E1104" s="13" t="s">
        <v>49</v>
      </c>
      <c r="G1104" s="1"/>
      <c r="H1104" s="178">
        <f t="shared" ref="H1104:S1104" si="355">SUM(H1105:H1109)</f>
        <v>0</v>
      </c>
      <c r="I1104" s="178">
        <f t="shared" si="355"/>
        <v>1390000</v>
      </c>
      <c r="J1104" s="178">
        <f t="shared" si="355"/>
        <v>738000</v>
      </c>
      <c r="K1104" s="178">
        <f t="shared" si="355"/>
        <v>650000</v>
      </c>
      <c r="L1104" s="178">
        <f t="shared" si="355"/>
        <v>440000</v>
      </c>
      <c r="M1104" s="178">
        <f t="shared" si="355"/>
        <v>430000</v>
      </c>
      <c r="N1104" s="178">
        <f t="shared" si="355"/>
        <v>308000</v>
      </c>
      <c r="O1104" s="178">
        <f t="shared" si="355"/>
        <v>220000</v>
      </c>
      <c r="P1104" s="178">
        <f t="shared" si="355"/>
        <v>176000</v>
      </c>
      <c r="Q1104" s="178">
        <f t="shared" si="355"/>
        <v>0</v>
      </c>
      <c r="R1104" s="178">
        <f t="shared" si="355"/>
        <v>0</v>
      </c>
      <c r="S1104" s="178">
        <f t="shared" si="355"/>
        <v>0</v>
      </c>
      <c r="T1104" s="1"/>
      <c r="U1104" s="1"/>
    </row>
    <row r="1105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S1105" si="356">H963</f>
        <v>0</v>
      </c>
      <c r="I1105" s="170">
        <f t="shared" si="356"/>
        <v>760000</v>
      </c>
      <c r="J1105" s="170">
        <f t="shared" si="356"/>
        <v>408000</v>
      </c>
      <c r="K1105" s="170">
        <f t="shared" si="356"/>
        <v>360000</v>
      </c>
      <c r="L1105" s="170">
        <f t="shared" si="356"/>
        <v>240000</v>
      </c>
      <c r="M1105" s="170">
        <f t="shared" si="356"/>
        <v>240000</v>
      </c>
      <c r="N1105" s="170">
        <f t="shared" si="356"/>
        <v>168000</v>
      </c>
      <c r="O1105" s="170">
        <f t="shared" si="356"/>
        <v>120000</v>
      </c>
      <c r="P1105" s="170">
        <f t="shared" si="356"/>
        <v>96000</v>
      </c>
      <c r="Q1105" s="170">
        <f t="shared" si="356"/>
        <v>0</v>
      </c>
      <c r="R1105" s="170">
        <f t="shared" si="356"/>
        <v>0</v>
      </c>
      <c r="S1105" s="170">
        <f t="shared" si="356"/>
        <v>0</v>
      </c>
      <c r="T1105" s="1"/>
      <c r="U1105" s="1"/>
    </row>
    <row r="1106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S1106" si="357">H966</f>
        <v>0</v>
      </c>
      <c r="I1106" s="170">
        <f t="shared" si="357"/>
        <v>630000</v>
      </c>
      <c r="J1106" s="170">
        <f t="shared" si="357"/>
        <v>330000</v>
      </c>
      <c r="K1106" s="170">
        <f t="shared" si="357"/>
        <v>290000</v>
      </c>
      <c r="L1106" s="170">
        <f t="shared" si="357"/>
        <v>200000</v>
      </c>
      <c r="M1106" s="170">
        <f t="shared" si="357"/>
        <v>190000</v>
      </c>
      <c r="N1106" s="170">
        <f t="shared" si="357"/>
        <v>140000</v>
      </c>
      <c r="O1106" s="170">
        <f t="shared" si="357"/>
        <v>100000</v>
      </c>
      <c r="P1106" s="170">
        <f t="shared" si="357"/>
        <v>80000</v>
      </c>
      <c r="Q1106" s="170">
        <f t="shared" si="357"/>
        <v>0</v>
      </c>
      <c r="R1106" s="170">
        <f t="shared" si="357"/>
        <v>0</v>
      </c>
      <c r="S1106" s="170">
        <f t="shared" si="357"/>
        <v>0</v>
      </c>
      <c r="T1106" s="1"/>
      <c r="U1106" s="1"/>
    </row>
    <row r="1107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S1107" si="358">H969</f>
        <v>0</v>
      </c>
      <c r="I1107" s="170">
        <f t="shared" si="358"/>
        <v>0</v>
      </c>
      <c r="J1107" s="170">
        <f t="shared" si="358"/>
        <v>0</v>
      </c>
      <c r="K1107" s="170">
        <f t="shared" si="358"/>
        <v>0</v>
      </c>
      <c r="L1107" s="170">
        <f t="shared" si="358"/>
        <v>0</v>
      </c>
      <c r="M1107" s="170">
        <f t="shared" si="358"/>
        <v>0</v>
      </c>
      <c r="N1107" s="170">
        <f t="shared" si="358"/>
        <v>0</v>
      </c>
      <c r="O1107" s="170">
        <f t="shared" si="358"/>
        <v>0</v>
      </c>
      <c r="P1107" s="170">
        <f t="shared" si="358"/>
        <v>0</v>
      </c>
      <c r="Q1107" s="170">
        <f t="shared" si="358"/>
        <v>0</v>
      </c>
      <c r="R1107" s="170">
        <f t="shared" si="358"/>
        <v>0</v>
      </c>
      <c r="S1107" s="170">
        <f t="shared" si="358"/>
        <v>0</v>
      </c>
      <c r="T1107" s="1"/>
      <c r="U1107" s="1"/>
    </row>
    <row r="1108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S1108" si="359">H972</f>
        <v>0</v>
      </c>
      <c r="I1108" s="170">
        <f t="shared" si="359"/>
        <v>0</v>
      </c>
      <c r="J1108" s="170">
        <f t="shared" si="359"/>
        <v>0</v>
      </c>
      <c r="K1108" s="170">
        <f t="shared" si="359"/>
        <v>0</v>
      </c>
      <c r="L1108" s="170">
        <f t="shared" si="359"/>
        <v>0</v>
      </c>
      <c r="M1108" s="170">
        <f t="shared" si="359"/>
        <v>0</v>
      </c>
      <c r="N1108" s="170">
        <f t="shared" si="359"/>
        <v>0</v>
      </c>
      <c r="O1108" s="170">
        <f t="shared" si="359"/>
        <v>0</v>
      </c>
      <c r="P1108" s="170">
        <f t="shared" si="359"/>
        <v>0</v>
      </c>
      <c r="Q1108" s="170">
        <f t="shared" si="359"/>
        <v>0</v>
      </c>
      <c r="R1108" s="170">
        <f t="shared" si="359"/>
        <v>0</v>
      </c>
      <c r="S1108" s="170">
        <f t="shared" si="359"/>
        <v>0</v>
      </c>
      <c r="T1108" s="1"/>
      <c r="U1108" s="1"/>
    </row>
    <row r="1109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S1109" si="360">H975</f>
        <v>0</v>
      </c>
      <c r="I1109" s="170">
        <f t="shared" si="360"/>
        <v>0</v>
      </c>
      <c r="J1109" s="170">
        <f t="shared" si="360"/>
        <v>0</v>
      </c>
      <c r="K1109" s="170">
        <f t="shared" si="360"/>
        <v>0</v>
      </c>
      <c r="L1109" s="170">
        <f t="shared" si="360"/>
        <v>0</v>
      </c>
      <c r="M1109" s="170">
        <f t="shared" si="360"/>
        <v>0</v>
      </c>
      <c r="N1109" s="170">
        <f t="shared" si="360"/>
        <v>0</v>
      </c>
      <c r="O1109" s="170">
        <f t="shared" si="360"/>
        <v>0</v>
      </c>
      <c r="P1109" s="170">
        <f t="shared" si="360"/>
        <v>0</v>
      </c>
      <c r="Q1109" s="170">
        <f t="shared" si="360"/>
        <v>0</v>
      </c>
      <c r="R1109" s="170">
        <f t="shared" si="360"/>
        <v>0</v>
      </c>
      <c r="S1109" s="170">
        <f t="shared" si="360"/>
        <v>0</v>
      </c>
      <c r="T1109" s="1"/>
      <c r="U1109" s="1"/>
    </row>
    <row r="1110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>
      <c r="A1111" s="1"/>
      <c r="B1111" s="1"/>
      <c r="C1111" s="1"/>
      <c r="D1111" s="1"/>
      <c r="E1111" s="13" t="s">
        <v>50</v>
      </c>
      <c r="G1111" s="1"/>
      <c r="H1111" s="178">
        <f t="shared" ref="H1111:S1111" si="361">SUM(H1112:H1116)</f>
        <v>0</v>
      </c>
      <c r="I1111" s="178">
        <f t="shared" si="361"/>
        <v>482000</v>
      </c>
      <c r="J1111" s="178">
        <f t="shared" si="361"/>
        <v>258000</v>
      </c>
      <c r="K1111" s="178">
        <f t="shared" si="361"/>
        <v>230000</v>
      </c>
      <c r="L1111" s="178">
        <f t="shared" si="361"/>
        <v>150000</v>
      </c>
      <c r="M1111" s="178">
        <f t="shared" si="361"/>
        <v>150000</v>
      </c>
      <c r="N1111" s="178">
        <f t="shared" si="361"/>
        <v>108000</v>
      </c>
      <c r="O1111" s="178">
        <f t="shared" si="361"/>
        <v>78000</v>
      </c>
      <c r="P1111" s="178">
        <f t="shared" si="361"/>
        <v>64000</v>
      </c>
      <c r="Q1111" s="178">
        <f t="shared" si="361"/>
        <v>0</v>
      </c>
      <c r="R1111" s="178">
        <f t="shared" si="361"/>
        <v>0</v>
      </c>
      <c r="S1111" s="178">
        <f t="shared" si="361"/>
        <v>0</v>
      </c>
      <c r="T1111" s="1"/>
      <c r="U1111" s="1"/>
    </row>
    <row r="1112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S1112" si="362">H1008</f>
        <v>0</v>
      </c>
      <c r="I1112" s="170">
        <f t="shared" si="362"/>
        <v>320000</v>
      </c>
      <c r="J1112" s="170">
        <f t="shared" si="362"/>
        <v>168000</v>
      </c>
      <c r="K1112" s="170">
        <f t="shared" si="362"/>
        <v>152000</v>
      </c>
      <c r="L1112" s="170">
        <f t="shared" si="362"/>
        <v>96000</v>
      </c>
      <c r="M1112" s="170">
        <f t="shared" si="362"/>
        <v>96000</v>
      </c>
      <c r="N1112" s="170">
        <f t="shared" si="362"/>
        <v>72000</v>
      </c>
      <c r="O1112" s="170">
        <f t="shared" si="362"/>
        <v>48000</v>
      </c>
      <c r="P1112" s="170">
        <f t="shared" si="362"/>
        <v>40000</v>
      </c>
      <c r="Q1112" s="170">
        <f t="shared" si="362"/>
        <v>0</v>
      </c>
      <c r="R1112" s="170">
        <f t="shared" si="362"/>
        <v>0</v>
      </c>
      <c r="S1112" s="170">
        <f t="shared" si="362"/>
        <v>0</v>
      </c>
      <c r="T1112" s="223"/>
      <c r="U1112" s="1"/>
    </row>
    <row r="1113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S1113" si="363">H1011</f>
        <v>0</v>
      </c>
      <c r="I1113" s="170">
        <f t="shared" si="363"/>
        <v>162000</v>
      </c>
      <c r="J1113" s="170">
        <f t="shared" si="363"/>
        <v>90000</v>
      </c>
      <c r="K1113" s="170">
        <f t="shared" si="363"/>
        <v>78000</v>
      </c>
      <c r="L1113" s="170">
        <f t="shared" si="363"/>
        <v>54000</v>
      </c>
      <c r="M1113" s="170">
        <f t="shared" si="363"/>
        <v>54000</v>
      </c>
      <c r="N1113" s="170">
        <f t="shared" si="363"/>
        <v>36000</v>
      </c>
      <c r="O1113" s="170">
        <f t="shared" si="363"/>
        <v>30000</v>
      </c>
      <c r="P1113" s="170">
        <f t="shared" si="363"/>
        <v>24000</v>
      </c>
      <c r="Q1113" s="170">
        <f t="shared" si="363"/>
        <v>0</v>
      </c>
      <c r="R1113" s="170">
        <f t="shared" si="363"/>
        <v>0</v>
      </c>
      <c r="S1113" s="170">
        <f t="shared" si="363"/>
        <v>0</v>
      </c>
      <c r="T1113" s="1"/>
      <c r="U1113" s="1"/>
    </row>
    <row r="1114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S1114" si="364">H1014</f>
        <v>0</v>
      </c>
      <c r="I1114" s="170">
        <f t="shared" si="364"/>
        <v>0</v>
      </c>
      <c r="J1114" s="170">
        <f t="shared" si="364"/>
        <v>0</v>
      </c>
      <c r="K1114" s="170">
        <f t="shared" si="364"/>
        <v>0</v>
      </c>
      <c r="L1114" s="170">
        <f t="shared" si="364"/>
        <v>0</v>
      </c>
      <c r="M1114" s="170">
        <f t="shared" si="364"/>
        <v>0</v>
      </c>
      <c r="N1114" s="170">
        <f t="shared" si="364"/>
        <v>0</v>
      </c>
      <c r="O1114" s="170">
        <f t="shared" si="364"/>
        <v>0</v>
      </c>
      <c r="P1114" s="170">
        <f t="shared" si="364"/>
        <v>0</v>
      </c>
      <c r="Q1114" s="170">
        <f t="shared" si="364"/>
        <v>0</v>
      </c>
      <c r="R1114" s="170">
        <f t="shared" si="364"/>
        <v>0</v>
      </c>
      <c r="S1114" s="170">
        <f t="shared" si="364"/>
        <v>0</v>
      </c>
      <c r="T1114" s="1"/>
      <c r="U1114" s="1"/>
    </row>
    <row r="1115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S1115" si="365">H1017</f>
        <v>0</v>
      </c>
      <c r="I1115" s="170">
        <f t="shared" si="365"/>
        <v>0</v>
      </c>
      <c r="J1115" s="170">
        <f t="shared" si="365"/>
        <v>0</v>
      </c>
      <c r="K1115" s="170">
        <f t="shared" si="365"/>
        <v>0</v>
      </c>
      <c r="L1115" s="170">
        <f t="shared" si="365"/>
        <v>0</v>
      </c>
      <c r="M1115" s="170">
        <f t="shared" si="365"/>
        <v>0</v>
      </c>
      <c r="N1115" s="170">
        <f t="shared" si="365"/>
        <v>0</v>
      </c>
      <c r="O1115" s="170">
        <f t="shared" si="365"/>
        <v>0</v>
      </c>
      <c r="P1115" s="170">
        <f t="shared" si="365"/>
        <v>0</v>
      </c>
      <c r="Q1115" s="170">
        <f t="shared" si="365"/>
        <v>0</v>
      </c>
      <c r="R1115" s="170">
        <f t="shared" si="365"/>
        <v>0</v>
      </c>
      <c r="S1115" s="170">
        <f t="shared" si="365"/>
        <v>0</v>
      </c>
      <c r="T1115" s="1"/>
      <c r="U1115" s="1"/>
    </row>
    <row r="1116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S1116" si="366">H1020</f>
        <v>0</v>
      </c>
      <c r="I1116" s="170">
        <f t="shared" si="366"/>
        <v>0</v>
      </c>
      <c r="J1116" s="170">
        <f t="shared" si="366"/>
        <v>0</v>
      </c>
      <c r="K1116" s="170">
        <f t="shared" si="366"/>
        <v>0</v>
      </c>
      <c r="L1116" s="170">
        <f t="shared" si="366"/>
        <v>0</v>
      </c>
      <c r="M1116" s="170">
        <f t="shared" si="366"/>
        <v>0</v>
      </c>
      <c r="N1116" s="170">
        <f t="shared" si="366"/>
        <v>0</v>
      </c>
      <c r="O1116" s="170">
        <f t="shared" si="366"/>
        <v>0</v>
      </c>
      <c r="P1116" s="170">
        <f t="shared" si="366"/>
        <v>0</v>
      </c>
      <c r="Q1116" s="170">
        <f t="shared" si="366"/>
        <v>0</v>
      </c>
      <c r="R1116" s="170">
        <f t="shared" si="366"/>
        <v>0</v>
      </c>
      <c r="S1116" s="170">
        <f t="shared" si="366"/>
        <v>0</v>
      </c>
      <c r="T1116" s="1"/>
      <c r="U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</sheetData>
  <mergeCells count="1">
    <mergeCell ref="T1:T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6.0"/>
    <col customWidth="1" min="7" max="7" width="10.13"/>
    <col customWidth="1" min="8" max="18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4">
        <v>2026.0</v>
      </c>
      <c r="P1" s="4">
        <v>2026.0</v>
      </c>
      <c r="Q1" s="4">
        <v>2026.0</v>
      </c>
      <c r="R1" s="4">
        <v>2026.0</v>
      </c>
      <c r="S1" s="5" t="s">
        <v>1</v>
      </c>
      <c r="T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324</v>
      </c>
      <c r="I2" s="9">
        <f t="shared" ref="I2:R2" si="1">H2+1</f>
        <v>3</v>
      </c>
      <c r="J2" s="9">
        <f t="shared" si="1"/>
        <v>4</v>
      </c>
      <c r="K2" s="9">
        <f t="shared" si="1"/>
        <v>5</v>
      </c>
      <c r="L2" s="9">
        <f t="shared" si="1"/>
        <v>6</v>
      </c>
      <c r="M2" s="9">
        <f t="shared" si="1"/>
        <v>7</v>
      </c>
      <c r="N2" s="9">
        <f t="shared" si="1"/>
        <v>8</v>
      </c>
      <c r="O2" s="9">
        <f t="shared" si="1"/>
        <v>9</v>
      </c>
      <c r="P2" s="9">
        <f t="shared" si="1"/>
        <v>10</v>
      </c>
      <c r="Q2" s="9">
        <f t="shared" si="1"/>
        <v>11</v>
      </c>
      <c r="R2" s="9">
        <f t="shared" si="1"/>
        <v>12</v>
      </c>
      <c r="S2" s="10"/>
      <c r="T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  <c r="T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14"/>
      <c r="O4" s="114"/>
      <c r="P4" s="114"/>
      <c r="Q4" s="114"/>
      <c r="R4" s="114"/>
      <c r="S4" s="1"/>
      <c r="T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15"/>
      <c r="N5" s="1"/>
      <c r="O5" s="1"/>
      <c r="P5" s="1"/>
      <c r="Q5" s="1"/>
      <c r="R5" s="1"/>
      <c r="S5" s="124"/>
      <c r="T5" s="124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15"/>
      <c r="N6" s="1"/>
      <c r="O6" s="1"/>
      <c r="P6" s="1"/>
      <c r="Q6" s="1"/>
      <c r="R6" s="1"/>
      <c r="S6" s="125"/>
      <c r="T6" s="125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23"/>
      <c r="T7" s="123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- 2026'!I6</f>
        <v>4838976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30"/>
      <c r="T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- 2026'!I9</f>
        <v>358.75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30"/>
      <c r="T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13488.43484</v>
      </c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30"/>
      <c r="T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2700.434843</v>
      </c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30"/>
      <c r="T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10788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496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551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2182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5136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2423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448.5517241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"/>
      <c r="T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"/>
      <c r="T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10788</v>
      </c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"/>
      <c r="T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0.2925472747</v>
      </c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"/>
      <c r="T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3156</v>
      </c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"/>
      <c r="T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"/>
      <c r="T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"/>
      <c r="T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496</v>
      </c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"/>
      <c r="T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"/>
      <c r="T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99</v>
      </c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"/>
      <c r="T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"/>
      <c r="T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"/>
      <c r="T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551</v>
      </c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"/>
      <c r="T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"/>
      <c r="T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137</v>
      </c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"/>
      <c r="T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"/>
      <c r="T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"/>
      <c r="T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2182</v>
      </c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"/>
      <c r="T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"/>
      <c r="T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654</v>
      </c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"/>
      <c r="T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"/>
      <c r="T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"/>
      <c r="T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5136</v>
      </c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"/>
      <c r="T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"/>
      <c r="T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1540</v>
      </c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"/>
      <c r="T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"/>
      <c r="T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"/>
      <c r="T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2423</v>
      </c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"/>
      <c r="T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"/>
      <c r="T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726</v>
      </c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"/>
      <c r="T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"/>
      <c r="T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"/>
      <c r="T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"/>
      <c r="T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"/>
      <c r="T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3156</v>
      </c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"/>
      <c r="T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1.074144487</v>
      </c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"/>
      <c r="T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3390</v>
      </c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"/>
      <c r="T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"/>
      <c r="T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"/>
      <c r="T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99</v>
      </c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"/>
      <c r="T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"/>
      <c r="T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106.25</v>
      </c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"/>
      <c r="T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85</v>
      </c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"/>
      <c r="T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21.25</v>
      </c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"/>
      <c r="T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"/>
      <c r="T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"/>
      <c r="T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137</v>
      </c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"/>
      <c r="T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"/>
      <c r="T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146.25</v>
      </c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"/>
      <c r="T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117</v>
      </c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"/>
      <c r="T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29.25</v>
      </c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"/>
      <c r="T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"/>
      <c r="T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"/>
      <c r="T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654</v>
      </c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"/>
      <c r="T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"/>
      <c r="T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702.5</v>
      </c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"/>
      <c r="T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562</v>
      </c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"/>
      <c r="T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140.5</v>
      </c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"/>
      <c r="T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"/>
      <c r="T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"/>
      <c r="T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1540</v>
      </c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"/>
      <c r="T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"/>
      <c r="T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1655</v>
      </c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"/>
      <c r="T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1324</v>
      </c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"/>
      <c r="T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331</v>
      </c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"/>
      <c r="T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"/>
      <c r="T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"/>
      <c r="T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726</v>
      </c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"/>
      <c r="T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"/>
      <c r="T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780</v>
      </c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"/>
      <c r="T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624</v>
      </c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"/>
      <c r="T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156</v>
      </c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"/>
      <c r="T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"/>
      <c r="T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"/>
      <c r="T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"/>
      <c r="T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"/>
      <c r="T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3390</v>
      </c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"/>
      <c r="T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0.3002949853</v>
      </c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"/>
      <c r="T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0.09436410827</v>
      </c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"/>
      <c r="T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1018</v>
      </c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"/>
      <c r="T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20922.69155</v>
      </c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"/>
      <c r="T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21299300</v>
      </c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"/>
      <c r="T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"/>
      <c r="T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"/>
      <c r="T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106.25</v>
      </c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"/>
      <c r="T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"/>
      <c r="T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0.06451612903</v>
      </c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"/>
      <c r="T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32</v>
      </c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"/>
      <c r="T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48900</v>
      </c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"/>
      <c r="T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1564800</v>
      </c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"/>
      <c r="T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"/>
      <c r="T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"/>
      <c r="T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"/>
      <c r="T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"/>
      <c r="T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"/>
      <c r="T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6">
        <v>30000.0</v>
      </c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"/>
      <c r="T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"/>
      <c r="T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"/>
      <c r="T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"/>
      <c r="T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"/>
      <c r="T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"),1.0)</f>
        <v>1</v>
      </c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"/>
      <c r="T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20</v>
      </c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"/>
      <c r="T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600000</v>
      </c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"/>
      <c r="T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3</v>
      </c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"/>
      <c r="T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94800</v>
      </c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"/>
      <c r="T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"/>
      <c r="T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"/>
      <c r="T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6</v>
      </c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"/>
      <c r="T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870000</v>
      </c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"/>
      <c r="T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"/>
      <c r="T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"/>
      <c r="T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"/>
      <c r="T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"/>
      <c r="T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146.25</v>
      </c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"/>
      <c r="T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"/>
      <c r="T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0.07985480944</v>
      </c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"/>
      <c r="T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44</v>
      </c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"/>
      <c r="T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35227.27273</v>
      </c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"/>
      <c r="T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1550000</v>
      </c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"/>
      <c r="T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"/>
      <c r="T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"/>
      <c r="T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"/>
      <c r="T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"/>
      <c r="T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"/>
      <c r="T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25000.0</v>
      </c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"/>
      <c r="T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"/>
      <c r="T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"/>
      <c r="T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"/>
      <c r="T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"/>
      <c r="T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"/>
      <c r="T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26</v>
      </c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"/>
      <c r="T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650000</v>
      </c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"/>
      <c r="T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6</v>
      </c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"/>
      <c r="T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108000</v>
      </c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"/>
      <c r="T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"/>
      <c r="T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"/>
      <c r="T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8</v>
      </c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"/>
      <c r="T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792000</v>
      </c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"/>
      <c r="T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4</v>
      </c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"/>
      <c r="T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"/>
      <c r="T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"/>
      <c r="T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"/>
      <c r="T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"/>
      <c r="T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702.5</v>
      </c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"/>
      <c r="T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"/>
      <c r="T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0.09670027498</v>
      </c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"/>
      <c r="T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211</v>
      </c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"/>
      <c r="T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28137.44076</v>
      </c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"/>
      <c r="T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5937000</v>
      </c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"/>
      <c r="T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"/>
      <c r="T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"/>
      <c r="T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"/>
      <c r="T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"/>
      <c r="T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"/>
      <c r="T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20000.0</v>
      </c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"/>
      <c r="T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"/>
      <c r="T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"/>
      <c r="T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"/>
      <c r="T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"/>
      <c r="T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"/>
      <c r="T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126</v>
      </c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"/>
      <c r="T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2520000</v>
      </c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"/>
      <c r="T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22</v>
      </c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"/>
      <c r="T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330000</v>
      </c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"/>
      <c r="T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"/>
      <c r="T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"/>
      <c r="T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63</v>
      </c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"/>
      <c r="T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3087000</v>
      </c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"/>
      <c r="T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"/>
      <c r="T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"/>
      <c r="T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"/>
      <c r="T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"/>
      <c r="T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"/>
      <c r="T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1655</v>
      </c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"/>
      <c r="T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"/>
      <c r="T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0.09676791277</v>
      </c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"/>
      <c r="T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497</v>
      </c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"/>
      <c r="T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18289.73843</v>
      </c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"/>
      <c r="T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9090000</v>
      </c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"/>
      <c r="T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"/>
      <c r="T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"/>
      <c r="T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"/>
      <c r="T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"/>
      <c r="T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"/>
      <c r="T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20000.0</v>
      </c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"/>
      <c r="T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"/>
      <c r="T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"/>
      <c r="T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"/>
      <c r="T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"/>
      <c r="T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"/>
      <c r="T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397</v>
      </c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"/>
      <c r="T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7940000</v>
      </c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"/>
      <c r="T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100</v>
      </c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"/>
      <c r="T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1150000</v>
      </c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"/>
      <c r="T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"/>
      <c r="T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"/>
      <c r="T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"/>
      <c r="T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"/>
      <c r="T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"/>
      <c r="T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"/>
      <c r="T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"/>
      <c r="T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"/>
      <c r="T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780</v>
      </c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"/>
      <c r="T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"/>
      <c r="T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0.09657449443</v>
      </c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"/>
      <c r="T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234</v>
      </c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"/>
      <c r="T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13493.58974</v>
      </c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"/>
      <c r="T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3157500</v>
      </c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"/>
      <c r="T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"/>
      <c r="T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"/>
      <c r="T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"/>
      <c r="T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"/>
      <c r="T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"/>
      <c r="T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15000.0</v>
      </c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"/>
      <c r="T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"/>
      <c r="T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"/>
      <c r="T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"/>
      <c r="T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"/>
      <c r="T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"/>
      <c r="T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187</v>
      </c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"/>
      <c r="T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2805000</v>
      </c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"/>
      <c r="T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47</v>
      </c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"/>
      <c r="T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352500</v>
      </c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"/>
      <c r="T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"/>
      <c r="T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"/>
      <c r="T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"/>
      <c r="T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"/>
      <c r="T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"/>
      <c r="T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"/>
      <c r="T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"/>
      <c r="T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"/>
      <c r="T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"/>
      <c r="T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1018</v>
      </c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"/>
      <c r="T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0.9243614931</v>
      </c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"/>
      <c r="T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941</v>
      </c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"/>
      <c r="T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"/>
      <c r="T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21299300</v>
      </c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"/>
      <c r="T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"/>
      <c r="T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19808349</v>
      </c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"/>
      <c r="T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"/>
      <c r="T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"/>
      <c r="T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32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"/>
      <c r="T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0.875</v>
      </c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"/>
      <c r="T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28</v>
      </c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"/>
      <c r="T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"/>
      <c r="T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1455264</v>
      </c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"/>
      <c r="T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"/>
      <c r="T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"/>
      <c r="T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"/>
      <c r="T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"/>
      <c r="T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"/>
      <c r="T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"/>
      <c r="T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"/>
      <c r="T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"/>
      <c r="T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60"/>
      <c r="T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60"/>
      <c r="T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19</v>
      </c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"/>
      <c r="T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558000</v>
      </c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"/>
      <c r="T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3</v>
      </c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"/>
      <c r="T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88164</v>
      </c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"/>
      <c r="T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"/>
      <c r="T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"/>
      <c r="T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6</v>
      </c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"/>
      <c r="T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809100</v>
      </c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"/>
      <c r="T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"/>
      <c r="T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"/>
      <c r="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"/>
      <c r="T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44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0.8409090909</v>
      </c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"/>
      <c r="T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37</v>
      </c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"/>
      <c r="T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"/>
      <c r="T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1441500</v>
      </c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"/>
      <c r="T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"/>
      <c r="T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"/>
      <c r="T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"/>
      <c r="T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"/>
      <c r="T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"/>
      <c r="T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"/>
      <c r="T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"/>
      <c r="T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"/>
      <c r="T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"/>
      <c r="T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"/>
      <c r="T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24</v>
      </c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"/>
      <c r="T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604500</v>
      </c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"/>
      <c r="T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6</v>
      </c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"/>
      <c r="T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100440</v>
      </c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"/>
      <c r="T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"/>
      <c r="T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"/>
      <c r="T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7</v>
      </c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"/>
      <c r="T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736560</v>
      </c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"/>
      <c r="T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4</v>
      </c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"/>
      <c r="T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"/>
      <c r="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"/>
      <c r="T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211</v>
      </c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"/>
      <c r="T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0.9289099526</v>
      </c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"/>
      <c r="T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196</v>
      </c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"/>
      <c r="T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"/>
      <c r="T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5521410</v>
      </c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"/>
      <c r="T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"/>
      <c r="T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"/>
      <c r="T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"/>
      <c r="T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"/>
      <c r="T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"/>
      <c r="T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"/>
      <c r="T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"/>
      <c r="T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"/>
      <c r="T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"/>
      <c r="T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"/>
      <c r="T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117</v>
      </c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"/>
      <c r="T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2343600</v>
      </c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"/>
      <c r="T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20</v>
      </c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"/>
      <c r="T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306900</v>
      </c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"/>
      <c r="T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"/>
      <c r="T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"/>
      <c r="T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59</v>
      </c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"/>
      <c r="T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2870910</v>
      </c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"/>
      <c r="T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"/>
      <c r="T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"/>
      <c r="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"/>
      <c r="T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497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0.9295774648</v>
      </c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"/>
      <c r="T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462</v>
      </c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"/>
      <c r="T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"/>
      <c r="T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8453700</v>
      </c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"/>
      <c r="T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"/>
      <c r="T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"/>
      <c r="T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"/>
      <c r="T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"/>
      <c r="T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"/>
      <c r="T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"/>
      <c r="T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"/>
      <c r="T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"/>
      <c r="T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"/>
      <c r="T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"/>
      <c r="T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369</v>
      </c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"/>
      <c r="T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7384200</v>
      </c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"/>
      <c r="T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93</v>
      </c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"/>
      <c r="T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1069500</v>
      </c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"/>
      <c r="T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"/>
      <c r="T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"/>
      <c r="T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"/>
      <c r="T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"/>
      <c r="T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"/>
      <c r="T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"/>
      <c r="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"/>
      <c r="T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234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0.9316239316</v>
      </c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"/>
      <c r="T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218</v>
      </c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"/>
      <c r="T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"/>
      <c r="T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2936475</v>
      </c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"/>
      <c r="T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"/>
      <c r="T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"/>
      <c r="T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"/>
      <c r="T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"/>
      <c r="T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"/>
      <c r="T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"/>
      <c r="T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"/>
      <c r="T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"/>
      <c r="T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"/>
      <c r="T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"/>
      <c r="T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174</v>
      </c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"/>
      <c r="T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2608650</v>
      </c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"/>
      <c r="T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44</v>
      </c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"/>
      <c r="T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327825</v>
      </c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"/>
      <c r="T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"/>
      <c r="T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"/>
      <c r="T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"/>
      <c r="T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"/>
      <c r="T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"/>
      <c r="T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"/>
      <c r="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"/>
      <c r="T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941</v>
      </c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"/>
      <c r="T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"/>
      <c r="T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941</v>
      </c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"/>
      <c r="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19808349</v>
      </c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"/>
      <c r="T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"/>
      <c r="T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19808349</v>
      </c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"/>
      <c r="T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"/>
      <c r="T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"/>
      <c r="T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"/>
      <c r="T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28</v>
      </c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"/>
      <c r="T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"/>
      <c r="T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1455264</v>
      </c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"/>
      <c r="T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"/>
      <c r="T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"/>
      <c r="T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"/>
      <c r="T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"/>
      <c r="T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"/>
      <c r="T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"/>
      <c r="T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"/>
      <c r="T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"/>
      <c r="T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"/>
      <c r="T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"/>
      <c r="T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19</v>
      </c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"/>
      <c r="T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558000</v>
      </c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"/>
      <c r="T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3</v>
      </c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"/>
      <c r="T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88164</v>
      </c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"/>
      <c r="T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"/>
      <c r="T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"/>
      <c r="T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6</v>
      </c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"/>
      <c r="T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809100</v>
      </c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"/>
      <c r="T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"/>
      <c r="T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"/>
      <c r="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"/>
      <c r="T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"/>
      <c r="T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37</v>
      </c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"/>
      <c r="T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"/>
      <c r="T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1441500</v>
      </c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"/>
      <c r="T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"/>
      <c r="T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"/>
      <c r="T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"/>
      <c r="T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"/>
      <c r="T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"/>
      <c r="T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"/>
      <c r="T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"/>
      <c r="T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"/>
      <c r="T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"/>
      <c r="T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"/>
      <c r="T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24</v>
      </c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"/>
      <c r="T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604500</v>
      </c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"/>
      <c r="T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6</v>
      </c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"/>
      <c r="T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100440</v>
      </c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"/>
      <c r="T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"/>
      <c r="T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"/>
      <c r="T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7</v>
      </c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"/>
      <c r="T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736560</v>
      </c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"/>
      <c r="T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4</v>
      </c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"/>
      <c r="T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"/>
      <c r="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"/>
      <c r="T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"/>
      <c r="T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196</v>
      </c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"/>
      <c r="T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"/>
      <c r="T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5521410</v>
      </c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"/>
      <c r="T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"/>
      <c r="T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"/>
      <c r="T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"/>
      <c r="T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"/>
      <c r="T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"/>
      <c r="T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"/>
      <c r="T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"/>
      <c r="T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"/>
      <c r="T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"/>
      <c r="T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"/>
      <c r="T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117</v>
      </c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"/>
      <c r="T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2343600</v>
      </c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"/>
      <c r="T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20</v>
      </c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"/>
      <c r="T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306900</v>
      </c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"/>
      <c r="T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"/>
      <c r="T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"/>
      <c r="T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59</v>
      </c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"/>
      <c r="T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2870910</v>
      </c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"/>
      <c r="T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"/>
      <c r="T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"/>
      <c r="T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"/>
      <c r="T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462</v>
      </c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"/>
      <c r="T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"/>
      <c r="T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8453700</v>
      </c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"/>
      <c r="T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"/>
      <c r="T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"/>
      <c r="T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"/>
      <c r="T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"/>
      <c r="T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"/>
      <c r="T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"/>
      <c r="T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"/>
      <c r="T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"/>
      <c r="T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"/>
      <c r="T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"/>
      <c r="T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369</v>
      </c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"/>
      <c r="T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7384200</v>
      </c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"/>
      <c r="T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93</v>
      </c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"/>
      <c r="T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1069500</v>
      </c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"/>
      <c r="T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"/>
      <c r="T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"/>
      <c r="T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"/>
      <c r="T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"/>
      <c r="T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"/>
      <c r="T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"/>
      <c r="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"/>
      <c r="T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"/>
      <c r="T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218</v>
      </c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"/>
      <c r="T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"/>
      <c r="T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2936475</v>
      </c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"/>
      <c r="T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"/>
      <c r="T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"/>
      <c r="T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"/>
      <c r="T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"/>
      <c r="T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"/>
      <c r="T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"/>
      <c r="T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"/>
      <c r="T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"/>
      <c r="T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"/>
      <c r="T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"/>
      <c r="T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174</v>
      </c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"/>
      <c r="T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2608650</v>
      </c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"/>
      <c r="T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44</v>
      </c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"/>
      <c r="T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327825</v>
      </c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"/>
      <c r="T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"/>
      <c r="T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"/>
      <c r="T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"/>
      <c r="T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"/>
      <c r="T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"/>
      <c r="T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"/>
      <c r="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"/>
      <c r="T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R545" si="13">SUM(H554,H588,H629,H663,H703,H737)</f>
        <v>4416570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78">
        <f t="shared" si="13"/>
        <v>0</v>
      </c>
      <c r="N545" s="178">
        <f t="shared" si="13"/>
        <v>0</v>
      </c>
      <c r="O545" s="178">
        <f t="shared" si="13"/>
        <v>0</v>
      </c>
      <c r="P545" s="178">
        <f t="shared" si="13"/>
        <v>0</v>
      </c>
      <c r="Q545" s="178">
        <f t="shared" si="13"/>
        <v>0</v>
      </c>
      <c r="R545" s="178">
        <f t="shared" si="13"/>
        <v>0</v>
      </c>
      <c r="S545" s="1"/>
      <c r="T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R546" si="14">SUM(H553,H587,H628,H662,H702,H735)</f>
        <v>0</v>
      </c>
      <c r="I546" s="180">
        <f t="shared" si="14"/>
        <v>126000</v>
      </c>
      <c r="J546" s="180">
        <f t="shared" si="14"/>
        <v>162000</v>
      </c>
      <c r="K546" s="180">
        <f t="shared" si="14"/>
        <v>60000</v>
      </c>
      <c r="L546" s="180">
        <f t="shared" si="14"/>
        <v>48000</v>
      </c>
      <c r="M546" s="180">
        <f t="shared" si="14"/>
        <v>312000</v>
      </c>
      <c r="N546" s="180">
        <f t="shared" si="14"/>
        <v>36000</v>
      </c>
      <c r="O546" s="180">
        <f t="shared" si="14"/>
        <v>598182</v>
      </c>
      <c r="P546" s="180">
        <f t="shared" si="14"/>
        <v>503600</v>
      </c>
      <c r="Q546" s="180">
        <f t="shared" si="14"/>
        <v>84000</v>
      </c>
      <c r="R546" s="180">
        <f t="shared" si="14"/>
        <v>75600</v>
      </c>
      <c r="S546" s="1"/>
      <c r="T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"/>
      <c r="T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R549" si="15">SUM(H571,H605,H624,H646,H679,H698,H720,H754,H774)</f>
        <v>18000</v>
      </c>
      <c r="I549" s="178">
        <f t="shared" si="15"/>
        <v>34650</v>
      </c>
      <c r="J549" s="178">
        <f t="shared" si="15"/>
        <v>38115</v>
      </c>
      <c r="K549" s="178">
        <f t="shared" si="15"/>
        <v>142726.5</v>
      </c>
      <c r="L549" s="178">
        <f t="shared" si="15"/>
        <v>118119.15</v>
      </c>
      <c r="M549" s="178">
        <f t="shared" si="15"/>
        <v>179371.065</v>
      </c>
      <c r="N549" s="178">
        <f t="shared" si="15"/>
        <v>151804.1715</v>
      </c>
      <c r="O549" s="178">
        <f t="shared" si="15"/>
        <v>815278.5887</v>
      </c>
      <c r="P549" s="178">
        <f t="shared" si="15"/>
        <v>332723.0475</v>
      </c>
      <c r="Q549" s="178">
        <f t="shared" si="15"/>
        <v>468556.9523</v>
      </c>
      <c r="R549" s="178">
        <f t="shared" si="15"/>
        <v>448402.8875</v>
      </c>
      <c r="S549" s="1"/>
      <c r="T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81"/>
      <c r="M550" s="181"/>
      <c r="N550" s="1"/>
      <c r="O550" s="1"/>
      <c r="P550" s="1"/>
      <c r="Q550" s="1"/>
      <c r="R550" s="1"/>
      <c r="S550" s="1"/>
      <c r="T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36"/>
      <c r="T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"/>
      <c r="T552" s="1"/>
    </row>
    <row r="553">
      <c r="A553" s="1"/>
      <c r="B553" s="1"/>
      <c r="C553" s="1"/>
      <c r="D553" s="1"/>
      <c r="E553" s="13"/>
      <c r="F553" s="1" t="str">
        <f t="shared" ref="F553:R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70">
        <f t="shared" si="16"/>
        <v>0</v>
      </c>
      <c r="N553" s="170">
        <f t="shared" si="16"/>
        <v>0</v>
      </c>
      <c r="O553" s="170">
        <f t="shared" si="16"/>
        <v>0</v>
      </c>
      <c r="P553" s="170">
        <f t="shared" si="16"/>
        <v>0</v>
      </c>
      <c r="Q553" s="170">
        <f t="shared" si="16"/>
        <v>0</v>
      </c>
      <c r="R553" s="170">
        <f t="shared" si="16"/>
        <v>0</v>
      </c>
      <c r="S553" s="1"/>
      <c r="T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R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84" t="str">
        <f t="shared" si="17"/>
        <v/>
      </c>
      <c r="N554" s="184" t="str">
        <f t="shared" si="17"/>
        <v/>
      </c>
      <c r="O554" s="184" t="str">
        <f t="shared" si="17"/>
        <v/>
      </c>
      <c r="P554" s="184" t="str">
        <f t="shared" si="17"/>
        <v/>
      </c>
      <c r="Q554" s="184" t="str">
        <f t="shared" si="17"/>
        <v/>
      </c>
      <c r="R554" s="184" t="str">
        <f t="shared" si="17"/>
        <v/>
      </c>
      <c r="S554" s="1"/>
      <c r="T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R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84">
        <f t="shared" si="18"/>
        <v>0</v>
      </c>
      <c r="N555" s="184">
        <f t="shared" si="18"/>
        <v>0</v>
      </c>
      <c r="O555" s="184">
        <f t="shared" si="18"/>
        <v>0</v>
      </c>
      <c r="P555" s="184">
        <f t="shared" si="18"/>
        <v>0</v>
      </c>
      <c r="Q555" s="184">
        <f t="shared" si="18"/>
        <v>0</v>
      </c>
      <c r="R555" s="184">
        <f t="shared" si="18"/>
        <v>0</v>
      </c>
      <c r="S555" s="1"/>
      <c r="T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"/>
      <c r="T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R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86">
        <f t="shared" si="19"/>
        <v>1</v>
      </c>
      <c r="N557" s="186">
        <f t="shared" si="19"/>
        <v>0</v>
      </c>
      <c r="O557" s="186">
        <f t="shared" si="19"/>
        <v>1</v>
      </c>
      <c r="P557" s="186">
        <f t="shared" si="19"/>
        <v>0</v>
      </c>
      <c r="Q557" s="186">
        <f t="shared" si="19"/>
        <v>1</v>
      </c>
      <c r="R557" s="186">
        <f t="shared" si="19"/>
        <v>0</v>
      </c>
      <c r="S557" s="1"/>
      <c r="T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R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86">
        <f t="shared" si="20"/>
        <v>0</v>
      </c>
      <c r="N558" s="186">
        <f t="shared" si="20"/>
        <v>1</v>
      </c>
      <c r="O558" s="186">
        <f t="shared" si="20"/>
        <v>0</v>
      </c>
      <c r="P558" s="186">
        <f t="shared" si="20"/>
        <v>1</v>
      </c>
      <c r="Q558" s="186">
        <f t="shared" si="20"/>
        <v>0</v>
      </c>
      <c r="R558" s="186">
        <f t="shared" si="20"/>
        <v>1</v>
      </c>
      <c r="S558" s="1"/>
      <c r="T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R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86">
        <f t="shared" si="21"/>
        <v>1</v>
      </c>
      <c r="N559" s="186">
        <f t="shared" si="21"/>
        <v>0</v>
      </c>
      <c r="O559" s="186">
        <f t="shared" si="21"/>
        <v>1</v>
      </c>
      <c r="P559" s="186">
        <f t="shared" si="21"/>
        <v>0</v>
      </c>
      <c r="Q559" s="186">
        <f t="shared" si="21"/>
        <v>1</v>
      </c>
      <c r="R559" s="186">
        <f t="shared" si="21"/>
        <v>0</v>
      </c>
      <c r="S559" s="1"/>
      <c r="T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R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86">
        <f t="shared" si="22"/>
        <v>0</v>
      </c>
      <c r="N560" s="186">
        <f t="shared" si="22"/>
        <v>1</v>
      </c>
      <c r="O560" s="186">
        <f t="shared" si="22"/>
        <v>0</v>
      </c>
      <c r="P560" s="186">
        <f t="shared" si="22"/>
        <v>1</v>
      </c>
      <c r="Q560" s="186">
        <f t="shared" si="22"/>
        <v>0</v>
      </c>
      <c r="R560" s="186">
        <f t="shared" si="22"/>
        <v>1</v>
      </c>
      <c r="S560" s="1"/>
      <c r="T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R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86">
        <f t="shared" si="23"/>
        <v>1</v>
      </c>
      <c r="N561" s="186">
        <f t="shared" si="23"/>
        <v>0</v>
      </c>
      <c r="O561" s="186">
        <f t="shared" si="23"/>
        <v>1</v>
      </c>
      <c r="P561" s="186">
        <f t="shared" si="23"/>
        <v>0</v>
      </c>
      <c r="Q561" s="186">
        <f t="shared" si="23"/>
        <v>1</v>
      </c>
      <c r="R561" s="186">
        <f t="shared" si="23"/>
        <v>0</v>
      </c>
      <c r="S561" s="1"/>
      <c r="T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R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86">
        <f t="shared" si="24"/>
        <v>2</v>
      </c>
      <c r="N562" s="186">
        <f t="shared" si="24"/>
        <v>1</v>
      </c>
      <c r="O562" s="186">
        <f t="shared" si="24"/>
        <v>0</v>
      </c>
      <c r="P562" s="186">
        <f t="shared" si="24"/>
        <v>1</v>
      </c>
      <c r="Q562" s="186">
        <f t="shared" si="24"/>
        <v>0</v>
      </c>
      <c r="R562" s="186">
        <f t="shared" si="24"/>
        <v>1</v>
      </c>
      <c r="S562" s="1"/>
      <c r="T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R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86">
        <f t="shared" si="25"/>
        <v>0</v>
      </c>
      <c r="N563" s="186">
        <f t="shared" si="25"/>
        <v>2</v>
      </c>
      <c r="O563" s="186">
        <f t="shared" si="25"/>
        <v>1</v>
      </c>
      <c r="P563" s="186">
        <f t="shared" si="25"/>
        <v>0</v>
      </c>
      <c r="Q563" s="186">
        <f t="shared" si="25"/>
        <v>1</v>
      </c>
      <c r="R563" s="186">
        <f t="shared" si="25"/>
        <v>0</v>
      </c>
      <c r="S563" s="1"/>
      <c r="T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R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86">
        <f t="shared" si="26"/>
        <v>0</v>
      </c>
      <c r="N564" s="186">
        <f t="shared" si="26"/>
        <v>0</v>
      </c>
      <c r="O564" s="186">
        <f t="shared" si="26"/>
        <v>2</v>
      </c>
      <c r="P564" s="186">
        <f t="shared" si="26"/>
        <v>1</v>
      </c>
      <c r="Q564" s="186">
        <f t="shared" si="26"/>
        <v>0</v>
      </c>
      <c r="R564" s="186">
        <f t="shared" si="26"/>
        <v>1</v>
      </c>
      <c r="S564" s="1"/>
      <c r="T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R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86">
        <f t="shared" si="27"/>
        <v>0</v>
      </c>
      <c r="N565" s="186">
        <f t="shared" si="27"/>
        <v>0</v>
      </c>
      <c r="O565" s="186">
        <f t="shared" si="27"/>
        <v>0</v>
      </c>
      <c r="P565" s="186">
        <f t="shared" si="27"/>
        <v>2</v>
      </c>
      <c r="Q565" s="186">
        <f t="shared" si="27"/>
        <v>1</v>
      </c>
      <c r="R565" s="186">
        <f t="shared" si="27"/>
        <v>0</v>
      </c>
      <c r="S565" s="1"/>
      <c r="T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R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86">
        <f t="shared" si="28"/>
        <v>0</v>
      </c>
      <c r="N566" s="186">
        <f t="shared" si="28"/>
        <v>0</v>
      </c>
      <c r="O566" s="186">
        <f t="shared" si="28"/>
        <v>0</v>
      </c>
      <c r="P566" s="186">
        <f t="shared" si="28"/>
        <v>0</v>
      </c>
      <c r="Q566" s="186">
        <f t="shared" si="28"/>
        <v>2</v>
      </c>
      <c r="R566" s="186">
        <f t="shared" si="28"/>
        <v>1</v>
      </c>
      <c r="S566" s="1"/>
      <c r="T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R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86">
        <f t="shared" si="29"/>
        <v>0</v>
      </c>
      <c r="N567" s="186">
        <f t="shared" si="29"/>
        <v>0</v>
      </c>
      <c r="O567" s="186">
        <f t="shared" si="29"/>
        <v>0</v>
      </c>
      <c r="P567" s="186">
        <f t="shared" si="29"/>
        <v>0</v>
      </c>
      <c r="Q567" s="186">
        <f t="shared" si="29"/>
        <v>0</v>
      </c>
      <c r="R567" s="186">
        <f t="shared" si="29"/>
        <v>2</v>
      </c>
      <c r="S567" s="1"/>
      <c r="T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R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86">
        <f t="shared" si="30"/>
        <v>0</v>
      </c>
      <c r="N568" s="186">
        <f t="shared" si="30"/>
        <v>0</v>
      </c>
      <c r="O568" s="186">
        <f t="shared" si="30"/>
        <v>0</v>
      </c>
      <c r="P568" s="186">
        <f t="shared" si="30"/>
        <v>0</v>
      </c>
      <c r="Q568" s="186">
        <f t="shared" si="30"/>
        <v>0</v>
      </c>
      <c r="R568" s="186">
        <f t="shared" si="30"/>
        <v>0</v>
      </c>
      <c r="S568" s="1"/>
      <c r="T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"/>
      <c r="T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55">
        <v>0.8</v>
      </c>
      <c r="N570" s="155">
        <v>0.8</v>
      </c>
      <c r="O570" s="155">
        <v>0.8</v>
      </c>
      <c r="P570" s="155">
        <v>0.8</v>
      </c>
      <c r="Q570" s="155">
        <v>0.8</v>
      </c>
      <c r="R570" s="155">
        <v>0.8</v>
      </c>
      <c r="S570" s="1"/>
      <c r="T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R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84">
        <f t="shared" si="31"/>
        <v>0</v>
      </c>
      <c r="N571" s="184">
        <f t="shared" si="31"/>
        <v>0</v>
      </c>
      <c r="O571" s="184">
        <f t="shared" si="31"/>
        <v>0</v>
      </c>
      <c r="P571" s="184">
        <f t="shared" si="31"/>
        <v>0</v>
      </c>
      <c r="Q571" s="184">
        <f t="shared" si="31"/>
        <v>0</v>
      </c>
      <c r="R571" s="184">
        <f t="shared" si="31"/>
        <v>0</v>
      </c>
      <c r="S571" s="1"/>
      <c r="T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R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84">
        <f t="shared" si="32"/>
        <v>0</v>
      </c>
      <c r="N572" s="184">
        <f t="shared" si="32"/>
        <v>0</v>
      </c>
      <c r="O572" s="184">
        <f t="shared" si="32"/>
        <v>0</v>
      </c>
      <c r="P572" s="184">
        <f t="shared" si="32"/>
        <v>0</v>
      </c>
      <c r="Q572" s="184">
        <f t="shared" si="32"/>
        <v>0</v>
      </c>
      <c r="R572" s="184">
        <f t="shared" si="32"/>
        <v>0</v>
      </c>
      <c r="S572" s="1"/>
      <c r="T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R573" si="33">IF(COLUMN() &lt; (COLUMN($H$573) + (ROW()-ROW($H$573))), 0, IF(COLUMN() = (COLUMN($H$573) + (ROW()-ROW($H$573))), INDEX($H$555:$R$555,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86">
        <f t="shared" si="33"/>
        <v>0</v>
      </c>
      <c r="N573" s="186">
        <f t="shared" si="33"/>
        <v>0</v>
      </c>
      <c r="O573" s="186">
        <f t="shared" si="33"/>
        <v>0</v>
      </c>
      <c r="P573" s="186">
        <f t="shared" si="33"/>
        <v>0</v>
      </c>
      <c r="Q573" s="186">
        <f t="shared" si="33"/>
        <v>0</v>
      </c>
      <c r="R573" s="186">
        <f t="shared" si="33"/>
        <v>0</v>
      </c>
      <c r="S573" s="1"/>
      <c r="T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R574" si="34">IF(COLUMN() &lt; (COLUMN($H$573) + (ROW()-ROW($H$573))), 0, IF(COLUMN() = (COLUMN($H$573) + (ROW()-ROW($H$573))), INDEX($H$555:$R$555,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86">
        <f t="shared" si="34"/>
        <v>0</v>
      </c>
      <c r="N574" s="186">
        <f t="shared" si="34"/>
        <v>0</v>
      </c>
      <c r="O574" s="186">
        <f t="shared" si="34"/>
        <v>0</v>
      </c>
      <c r="P574" s="186">
        <f t="shared" si="34"/>
        <v>0</v>
      </c>
      <c r="Q574" s="186">
        <f t="shared" si="34"/>
        <v>0</v>
      </c>
      <c r="R574" s="186">
        <f t="shared" si="34"/>
        <v>0</v>
      </c>
      <c r="S574" s="1"/>
      <c r="T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R575" si="35">IF(COLUMN() &lt; (COLUMN($H$573) + (ROW()-ROW($H$573))), 0, IF(COLUMN() = (COLUMN($H$573) + (ROW()-ROW($H$573))), INDEX($H$555:$R$555,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86">
        <f t="shared" si="35"/>
        <v>0</v>
      </c>
      <c r="N575" s="186">
        <f t="shared" si="35"/>
        <v>0</v>
      </c>
      <c r="O575" s="186">
        <f t="shared" si="35"/>
        <v>0</v>
      </c>
      <c r="P575" s="186">
        <f t="shared" si="35"/>
        <v>0</v>
      </c>
      <c r="Q575" s="186">
        <f t="shared" si="35"/>
        <v>0</v>
      </c>
      <c r="R575" s="186">
        <f t="shared" si="35"/>
        <v>0</v>
      </c>
      <c r="S575" s="1"/>
      <c r="T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R576" si="36">IF(COLUMN() &lt; (COLUMN($H$573) + (ROW()-ROW($H$573))), 0, IF(COLUMN() = (COLUMN($H$573) + (ROW()-ROW($H$573))), INDEX($H$555:$R$555,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86">
        <f t="shared" si="36"/>
        <v>0</v>
      </c>
      <c r="N576" s="186">
        <f t="shared" si="36"/>
        <v>0</v>
      </c>
      <c r="O576" s="186">
        <f t="shared" si="36"/>
        <v>0</v>
      </c>
      <c r="P576" s="186">
        <f t="shared" si="36"/>
        <v>0</v>
      </c>
      <c r="Q576" s="186">
        <f t="shared" si="36"/>
        <v>0</v>
      </c>
      <c r="R576" s="186">
        <f t="shared" si="36"/>
        <v>0</v>
      </c>
      <c r="S576" s="1"/>
      <c r="T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R577" si="37">IF(COLUMN() &lt; (COLUMN($H$573) + (ROW()-ROW($H$573))), 0, IF(COLUMN() = (COLUMN($H$573) + (ROW()-ROW($H$573))), INDEX($H$555:$R$555,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86">
        <f t="shared" si="37"/>
        <v>0</v>
      </c>
      <c r="N577" s="186">
        <f t="shared" si="37"/>
        <v>0</v>
      </c>
      <c r="O577" s="186">
        <f t="shared" si="37"/>
        <v>0</v>
      </c>
      <c r="P577" s="186">
        <f t="shared" si="37"/>
        <v>0</v>
      </c>
      <c r="Q577" s="186">
        <f t="shared" si="37"/>
        <v>0</v>
      </c>
      <c r="R577" s="186">
        <f t="shared" si="37"/>
        <v>0</v>
      </c>
      <c r="S577" s="1"/>
      <c r="T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R578" si="38">IF(COLUMN() &lt; (COLUMN($H$573) + (ROW()-ROW($H$573))), 0, IF(COLUMN() = (COLUMN($H$573) + (ROW()-ROW($H$573))), INDEX($H$555:$R$555,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86">
        <f t="shared" si="38"/>
        <v>0</v>
      </c>
      <c r="N578" s="186">
        <f t="shared" si="38"/>
        <v>0</v>
      </c>
      <c r="O578" s="186">
        <f t="shared" si="38"/>
        <v>0</v>
      </c>
      <c r="P578" s="186">
        <f t="shared" si="38"/>
        <v>0</v>
      </c>
      <c r="Q578" s="186">
        <f t="shared" si="38"/>
        <v>0</v>
      </c>
      <c r="R578" s="186">
        <f t="shared" si="38"/>
        <v>0</v>
      </c>
      <c r="S578" s="1"/>
      <c r="T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R579" si="39">IF(COLUMN() &lt; (COLUMN($H$573) + (ROW()-ROW($H$573))), 0, IF(COLUMN() = (COLUMN($H$573) + (ROW()-ROW($H$573))), INDEX($H$555:$R$555,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86">
        <f t="shared" si="39"/>
        <v>0</v>
      </c>
      <c r="N579" s="186">
        <f t="shared" si="39"/>
        <v>0</v>
      </c>
      <c r="O579" s="186">
        <f t="shared" si="39"/>
        <v>0</v>
      </c>
      <c r="P579" s="186">
        <f t="shared" si="39"/>
        <v>0</v>
      </c>
      <c r="Q579" s="186">
        <f t="shared" si="39"/>
        <v>0</v>
      </c>
      <c r="R579" s="186">
        <f t="shared" si="39"/>
        <v>0</v>
      </c>
      <c r="S579" s="1"/>
      <c r="T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R580" si="40">IF(COLUMN() &lt; (COLUMN($H$573) + (ROW()-ROW($H$573))), 0, IF(COLUMN() = (COLUMN($H$573) + (ROW()-ROW($H$573))), INDEX($H$555:$R$555,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86">
        <f t="shared" si="40"/>
        <v>0</v>
      </c>
      <c r="N580" s="186">
        <f t="shared" si="40"/>
        <v>0</v>
      </c>
      <c r="O580" s="186">
        <f t="shared" si="40"/>
        <v>0</v>
      </c>
      <c r="P580" s="186">
        <f t="shared" si="40"/>
        <v>0</v>
      </c>
      <c r="Q580" s="186">
        <f t="shared" si="40"/>
        <v>0</v>
      </c>
      <c r="R580" s="186">
        <f t="shared" si="40"/>
        <v>0</v>
      </c>
      <c r="S580" s="1"/>
      <c r="T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R581" si="41">IF(COLUMN() &lt; (COLUMN($H$573) + (ROW()-ROW($H$573))), 0, IF(COLUMN() = (COLUMN($H$573) + (ROW()-ROW($H$573))), INDEX($H$555:$R$555,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86">
        <f t="shared" si="41"/>
        <v>0</v>
      </c>
      <c r="N581" s="186">
        <f t="shared" si="41"/>
        <v>0</v>
      </c>
      <c r="O581" s="186">
        <f t="shared" si="41"/>
        <v>0</v>
      </c>
      <c r="P581" s="186">
        <f t="shared" si="41"/>
        <v>0</v>
      </c>
      <c r="Q581" s="186">
        <f t="shared" si="41"/>
        <v>0</v>
      </c>
      <c r="R581" s="186">
        <f t="shared" si="41"/>
        <v>0</v>
      </c>
      <c r="S581" s="1"/>
      <c r="T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R582" si="42">IF(COLUMN() &lt; (COLUMN($H$573) + (ROW()-ROW($H$573))), 0, IF(COLUMN() = (COLUMN($H$573) + (ROW()-ROW($H$573))), INDEX($H$555:$R$555,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86">
        <f t="shared" si="42"/>
        <v>0</v>
      </c>
      <c r="N582" s="186">
        <f t="shared" si="42"/>
        <v>0</v>
      </c>
      <c r="O582" s="186">
        <f t="shared" si="42"/>
        <v>0</v>
      </c>
      <c r="P582" s="186">
        <f t="shared" si="42"/>
        <v>0</v>
      </c>
      <c r="Q582" s="186">
        <f t="shared" si="42"/>
        <v>0</v>
      </c>
      <c r="R582" s="186">
        <f t="shared" si="42"/>
        <v>0</v>
      </c>
      <c r="S582" s="1"/>
      <c r="T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R583" si="43">IF(COLUMN() &lt; (COLUMN($H$573) + (ROW()-ROW($H$573))), 0, IF(COLUMN() = (COLUMN($H$573) + (ROW()-ROW($H$573))), INDEX($H$555:$R$555,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86">
        <f t="shared" si="43"/>
        <v>0</v>
      </c>
      <c r="N583" s="186">
        <f t="shared" si="43"/>
        <v>0</v>
      </c>
      <c r="O583" s="186">
        <f t="shared" si="43"/>
        <v>0</v>
      </c>
      <c r="P583" s="186">
        <f t="shared" si="43"/>
        <v>0</v>
      </c>
      <c r="Q583" s="186">
        <f t="shared" si="43"/>
        <v>0</v>
      </c>
      <c r="R583" s="186">
        <f t="shared" si="43"/>
        <v>0</v>
      </c>
      <c r="S583" s="1"/>
      <c r="T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R584" si="44">IF(COLUMN() &lt; (COLUMN($H$573) + (ROW()-ROW($H$573))), 0, IF(COLUMN() = (COLUMN($H$573) + (ROW()-ROW($H$573))), INDEX($H$555:$R$555,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86">
        <f t="shared" si="44"/>
        <v>0</v>
      </c>
      <c r="N584" s="186">
        <f t="shared" si="44"/>
        <v>0</v>
      </c>
      <c r="O584" s="186">
        <f t="shared" si="44"/>
        <v>0</v>
      </c>
      <c r="P584" s="186">
        <f t="shared" si="44"/>
        <v>0</v>
      </c>
      <c r="Q584" s="186">
        <f t="shared" si="44"/>
        <v>0</v>
      </c>
      <c r="R584" s="186">
        <f t="shared" si="44"/>
        <v>0</v>
      </c>
      <c r="S584" s="1"/>
      <c r="T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"/>
      <c r="T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"/>
      <c r="T586" s="1"/>
    </row>
    <row r="587">
      <c r="A587" s="1"/>
      <c r="B587" s="1"/>
      <c r="C587" s="1"/>
      <c r="D587" s="1"/>
      <c r="E587" s="13"/>
      <c r="F587" s="1" t="str">
        <f t="shared" ref="F587:R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70">
        <f t="shared" si="45"/>
        <v>0</v>
      </c>
      <c r="N587" s="170">
        <f t="shared" si="45"/>
        <v>0</v>
      </c>
      <c r="O587" s="170">
        <f t="shared" si="45"/>
        <v>0</v>
      </c>
      <c r="P587" s="170">
        <f t="shared" si="45"/>
        <v>0</v>
      </c>
      <c r="Q587" s="170">
        <f t="shared" si="45"/>
        <v>0</v>
      </c>
      <c r="R587" s="170">
        <f t="shared" si="45"/>
        <v>0</v>
      </c>
      <c r="S587" s="1"/>
      <c r="T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R588" si="46">H434</f>
        <v>809100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84" t="str">
        <f t="shared" si="46"/>
        <v/>
      </c>
      <c r="N588" s="184" t="str">
        <f t="shared" si="46"/>
        <v/>
      </c>
      <c r="O588" s="184" t="str">
        <f t="shared" si="46"/>
        <v/>
      </c>
      <c r="P588" s="184" t="str">
        <f t="shared" si="46"/>
        <v/>
      </c>
      <c r="Q588" s="184" t="str">
        <f t="shared" si="46"/>
        <v/>
      </c>
      <c r="R588" s="184" t="str">
        <f t="shared" si="46"/>
        <v/>
      </c>
      <c r="S588" s="1"/>
      <c r="T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R589" si="47">SUM(H587:H588)</f>
        <v>809100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84">
        <f t="shared" si="47"/>
        <v>0</v>
      </c>
      <c r="N589" s="184">
        <f t="shared" si="47"/>
        <v>0</v>
      </c>
      <c r="O589" s="184">
        <f t="shared" si="47"/>
        <v>0</v>
      </c>
      <c r="P589" s="184">
        <f t="shared" si="47"/>
        <v>0</v>
      </c>
      <c r="Q589" s="184">
        <f t="shared" si="47"/>
        <v>0</v>
      </c>
      <c r="R589" s="184">
        <f t="shared" si="47"/>
        <v>0</v>
      </c>
      <c r="S589" s="1"/>
      <c r="T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"/>
      <c r="T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R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86">
        <f t="shared" si="48"/>
        <v>5</v>
      </c>
      <c r="N591" s="186">
        <f t="shared" si="48"/>
        <v>4</v>
      </c>
      <c r="O591" s="186">
        <f t="shared" si="48"/>
        <v>3</v>
      </c>
      <c r="P591" s="186">
        <f t="shared" si="48"/>
        <v>2</v>
      </c>
      <c r="Q591" s="186">
        <f t="shared" si="48"/>
        <v>1</v>
      </c>
      <c r="R591" s="186">
        <f t="shared" si="48"/>
        <v>0</v>
      </c>
      <c r="S591" s="1"/>
      <c r="T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R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86">
        <f t="shared" si="49"/>
        <v>6</v>
      </c>
      <c r="N592" s="186">
        <f t="shared" si="49"/>
        <v>5</v>
      </c>
      <c r="O592" s="186">
        <f t="shared" si="49"/>
        <v>4</v>
      </c>
      <c r="P592" s="186">
        <f t="shared" si="49"/>
        <v>3</v>
      </c>
      <c r="Q592" s="186">
        <f t="shared" si="49"/>
        <v>2</v>
      </c>
      <c r="R592" s="186">
        <f t="shared" si="49"/>
        <v>1</v>
      </c>
      <c r="S592" s="1"/>
      <c r="T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R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86">
        <f t="shared" si="50"/>
        <v>7</v>
      </c>
      <c r="N593" s="186">
        <f t="shared" si="50"/>
        <v>6</v>
      </c>
      <c r="O593" s="186">
        <f t="shared" si="50"/>
        <v>5</v>
      </c>
      <c r="P593" s="186">
        <f t="shared" si="50"/>
        <v>4</v>
      </c>
      <c r="Q593" s="186">
        <f t="shared" si="50"/>
        <v>3</v>
      </c>
      <c r="R593" s="186">
        <f t="shared" si="50"/>
        <v>2</v>
      </c>
      <c r="S593" s="1"/>
      <c r="T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R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86">
        <f t="shared" si="51"/>
        <v>8</v>
      </c>
      <c r="N594" s="186">
        <f t="shared" si="51"/>
        <v>7</v>
      </c>
      <c r="O594" s="186">
        <f t="shared" si="51"/>
        <v>6</v>
      </c>
      <c r="P594" s="186">
        <f t="shared" si="51"/>
        <v>5</v>
      </c>
      <c r="Q594" s="186">
        <f t="shared" si="51"/>
        <v>4</v>
      </c>
      <c r="R594" s="186">
        <f t="shared" si="51"/>
        <v>3</v>
      </c>
      <c r="S594" s="1"/>
      <c r="T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R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86">
        <f t="shared" si="52"/>
        <v>9</v>
      </c>
      <c r="N595" s="186">
        <f t="shared" si="52"/>
        <v>8</v>
      </c>
      <c r="O595" s="186">
        <f t="shared" si="52"/>
        <v>7</v>
      </c>
      <c r="P595" s="186">
        <f t="shared" si="52"/>
        <v>6</v>
      </c>
      <c r="Q595" s="186">
        <f t="shared" si="52"/>
        <v>5</v>
      </c>
      <c r="R595" s="186">
        <f t="shared" si="52"/>
        <v>4</v>
      </c>
      <c r="S595" s="1"/>
      <c r="T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R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86">
        <f t="shared" si="53"/>
        <v>10</v>
      </c>
      <c r="N596" s="186">
        <f t="shared" si="53"/>
        <v>9</v>
      </c>
      <c r="O596" s="186">
        <f t="shared" si="53"/>
        <v>8</v>
      </c>
      <c r="P596" s="186">
        <f t="shared" si="53"/>
        <v>7</v>
      </c>
      <c r="Q596" s="186">
        <f t="shared" si="53"/>
        <v>6</v>
      </c>
      <c r="R596" s="186">
        <f t="shared" si="53"/>
        <v>5</v>
      </c>
      <c r="S596" s="1"/>
      <c r="T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R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86">
        <f t="shared" si="54"/>
        <v>0</v>
      </c>
      <c r="N597" s="186">
        <f t="shared" si="54"/>
        <v>10</v>
      </c>
      <c r="O597" s="186">
        <f t="shared" si="54"/>
        <v>9</v>
      </c>
      <c r="P597" s="186">
        <f t="shared" si="54"/>
        <v>8</v>
      </c>
      <c r="Q597" s="186">
        <f t="shared" si="54"/>
        <v>7</v>
      </c>
      <c r="R597" s="186">
        <f t="shared" si="54"/>
        <v>6</v>
      </c>
      <c r="S597" s="1"/>
      <c r="T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R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86">
        <f t="shared" si="55"/>
        <v>0</v>
      </c>
      <c r="N598" s="186">
        <f t="shared" si="55"/>
        <v>0</v>
      </c>
      <c r="O598" s="186">
        <f t="shared" si="55"/>
        <v>10</v>
      </c>
      <c r="P598" s="186">
        <f t="shared" si="55"/>
        <v>9</v>
      </c>
      <c r="Q598" s="186">
        <f t="shared" si="55"/>
        <v>8</v>
      </c>
      <c r="R598" s="186">
        <f t="shared" si="55"/>
        <v>7</v>
      </c>
      <c r="S598" s="1"/>
      <c r="T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R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86">
        <f t="shared" si="56"/>
        <v>0</v>
      </c>
      <c r="N599" s="186">
        <f t="shared" si="56"/>
        <v>0</v>
      </c>
      <c r="O599" s="186">
        <f t="shared" si="56"/>
        <v>0</v>
      </c>
      <c r="P599" s="186">
        <f t="shared" si="56"/>
        <v>10</v>
      </c>
      <c r="Q599" s="186">
        <f t="shared" si="56"/>
        <v>9</v>
      </c>
      <c r="R599" s="186">
        <f t="shared" si="56"/>
        <v>8</v>
      </c>
      <c r="S599" s="1"/>
      <c r="T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R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86">
        <f t="shared" si="57"/>
        <v>0</v>
      </c>
      <c r="N600" s="186">
        <f t="shared" si="57"/>
        <v>0</v>
      </c>
      <c r="O600" s="186">
        <f t="shared" si="57"/>
        <v>0</v>
      </c>
      <c r="P600" s="186">
        <f t="shared" si="57"/>
        <v>0</v>
      </c>
      <c r="Q600" s="186">
        <f t="shared" si="57"/>
        <v>10</v>
      </c>
      <c r="R600" s="186">
        <f t="shared" si="57"/>
        <v>9</v>
      </c>
      <c r="S600" s="1"/>
      <c r="T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R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86">
        <f t="shared" si="58"/>
        <v>0</v>
      </c>
      <c r="N601" s="186">
        <f t="shared" si="58"/>
        <v>0</v>
      </c>
      <c r="O601" s="186">
        <f t="shared" si="58"/>
        <v>0</v>
      </c>
      <c r="P601" s="186">
        <f t="shared" si="58"/>
        <v>0</v>
      </c>
      <c r="Q601" s="186">
        <f t="shared" si="58"/>
        <v>0</v>
      </c>
      <c r="R601" s="186">
        <f t="shared" si="58"/>
        <v>10</v>
      </c>
      <c r="S601" s="1"/>
      <c r="T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R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86">
        <f t="shared" si="59"/>
        <v>0</v>
      </c>
      <c r="N602" s="186">
        <f t="shared" si="59"/>
        <v>0</v>
      </c>
      <c r="O602" s="186">
        <f t="shared" si="59"/>
        <v>0</v>
      </c>
      <c r="P602" s="186">
        <f t="shared" si="59"/>
        <v>0</v>
      </c>
      <c r="Q602" s="186">
        <f t="shared" si="59"/>
        <v>0</v>
      </c>
      <c r="R602" s="186">
        <f t="shared" si="59"/>
        <v>0</v>
      </c>
      <c r="S602" s="1"/>
      <c r="T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"/>
      <c r="T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"/>
      <c r="T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R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84">
        <f t="shared" si="60"/>
        <v>0</v>
      </c>
      <c r="N605" s="184">
        <f t="shared" si="60"/>
        <v>0</v>
      </c>
      <c r="O605" s="184">
        <f t="shared" si="60"/>
        <v>0</v>
      </c>
      <c r="P605" s="184">
        <f t="shared" si="60"/>
        <v>0</v>
      </c>
      <c r="Q605" s="184">
        <f t="shared" si="60"/>
        <v>0</v>
      </c>
      <c r="R605" s="184">
        <f t="shared" si="60"/>
        <v>161820</v>
      </c>
      <c r="S605" s="1"/>
      <c r="T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R606" si="61">SUM(H607:H618)</f>
        <v>809100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84">
        <f t="shared" si="61"/>
        <v>0</v>
      </c>
      <c r="N606" s="184">
        <f t="shared" si="61"/>
        <v>0</v>
      </c>
      <c r="O606" s="184">
        <f t="shared" si="61"/>
        <v>0</v>
      </c>
      <c r="P606" s="184">
        <f t="shared" si="61"/>
        <v>0</v>
      </c>
      <c r="Q606" s="184">
        <f t="shared" si="61"/>
        <v>0</v>
      </c>
      <c r="R606" s="184">
        <f t="shared" si="61"/>
        <v>161820</v>
      </c>
      <c r="S606" s="1"/>
      <c r="T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R607" si="62">IF(COLUMN() &lt; (COLUMN($H$607) + (ROW()-ROW($H$607))), 0, IF(COLUMN() = (COLUMN($H$607) + (ROW()-ROW($H$607))), INDEX($H$589:$R$589, 1, COLUMN()-COLUMN($H$589)+1), IF(H591=0, OFFSET(H607, 0, -$H$590) * $H$604, 0)))</f>
        <v>809100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86">
        <f t="shared" si="62"/>
        <v>0</v>
      </c>
      <c r="N607" s="186">
        <f t="shared" si="62"/>
        <v>0</v>
      </c>
      <c r="O607" s="186">
        <f t="shared" si="62"/>
        <v>0</v>
      </c>
      <c r="P607" s="186">
        <f t="shared" si="62"/>
        <v>0</v>
      </c>
      <c r="Q607" s="186">
        <f t="shared" si="62"/>
        <v>0</v>
      </c>
      <c r="R607" s="186">
        <f t="shared" si="62"/>
        <v>161820</v>
      </c>
      <c r="S607" s="1"/>
      <c r="T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R608" si="63">IF(COLUMN() &lt; (COLUMN($H$607) + (ROW()-ROW($H$607))), 0, IF(COLUMN() = (COLUMN($H$607) + (ROW()-ROW($H$607))), INDEX($H$589:$R$589,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86">
        <f t="shared" si="63"/>
        <v>0</v>
      </c>
      <c r="N608" s="186">
        <f t="shared" si="63"/>
        <v>0</v>
      </c>
      <c r="O608" s="186">
        <f t="shared" si="63"/>
        <v>0</v>
      </c>
      <c r="P608" s="186">
        <f t="shared" si="63"/>
        <v>0</v>
      </c>
      <c r="Q608" s="186">
        <f t="shared" si="63"/>
        <v>0</v>
      </c>
      <c r="R608" s="186">
        <f t="shared" si="63"/>
        <v>0</v>
      </c>
      <c r="S608" s="1"/>
      <c r="T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R609" si="64">IF(COLUMN() &lt; (COLUMN($H$607) + (ROW()-ROW($H$607))), 0, IF(COLUMN() = (COLUMN($H$607) + (ROW()-ROW($H$607))), INDEX($H$589:$R$589,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86">
        <f t="shared" si="64"/>
        <v>0</v>
      </c>
      <c r="N609" s="186">
        <f t="shared" si="64"/>
        <v>0</v>
      </c>
      <c r="O609" s="186">
        <f t="shared" si="64"/>
        <v>0</v>
      </c>
      <c r="P609" s="186">
        <f t="shared" si="64"/>
        <v>0</v>
      </c>
      <c r="Q609" s="186">
        <f t="shared" si="64"/>
        <v>0</v>
      </c>
      <c r="R609" s="186">
        <f t="shared" si="64"/>
        <v>0</v>
      </c>
      <c r="S609" s="1"/>
      <c r="T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R610" si="65">IF(COLUMN() &lt; (COLUMN($H$607) + (ROW()-ROW($H$607))), 0, IF(COLUMN() = (COLUMN($H$607) + (ROW()-ROW($H$607))), INDEX($H$589:$R$589,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86">
        <f t="shared" si="65"/>
        <v>0</v>
      </c>
      <c r="N610" s="186">
        <f t="shared" si="65"/>
        <v>0</v>
      </c>
      <c r="O610" s="186">
        <f t="shared" si="65"/>
        <v>0</v>
      </c>
      <c r="P610" s="186">
        <f t="shared" si="65"/>
        <v>0</v>
      </c>
      <c r="Q610" s="186">
        <f t="shared" si="65"/>
        <v>0</v>
      </c>
      <c r="R610" s="186">
        <f t="shared" si="65"/>
        <v>0</v>
      </c>
      <c r="S610" s="1"/>
      <c r="T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R611" si="66">IF(COLUMN() &lt; (COLUMN($H$607) + (ROW()-ROW($H$607))), 0, IF(COLUMN() = (COLUMN($H$607) + (ROW()-ROW($H$607))), INDEX($H$589:$R$589,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86">
        <f t="shared" si="66"/>
        <v>0</v>
      </c>
      <c r="N611" s="186">
        <f t="shared" si="66"/>
        <v>0</v>
      </c>
      <c r="O611" s="186">
        <f t="shared" si="66"/>
        <v>0</v>
      </c>
      <c r="P611" s="186">
        <f t="shared" si="66"/>
        <v>0</v>
      </c>
      <c r="Q611" s="186">
        <f t="shared" si="66"/>
        <v>0</v>
      </c>
      <c r="R611" s="186">
        <f t="shared" si="66"/>
        <v>0</v>
      </c>
      <c r="S611" s="1"/>
      <c r="T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R612" si="67">IF(COLUMN() &lt; (COLUMN($H$607) + (ROW()-ROW($H$607))), 0, IF(COLUMN() = (COLUMN($H$607) + (ROW()-ROW($H$607))), INDEX($H$589:$R$589,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86">
        <f t="shared" si="67"/>
        <v>0</v>
      </c>
      <c r="N612" s="186">
        <f t="shared" si="67"/>
        <v>0</v>
      </c>
      <c r="O612" s="186">
        <f t="shared" si="67"/>
        <v>0</v>
      </c>
      <c r="P612" s="186">
        <f t="shared" si="67"/>
        <v>0</v>
      </c>
      <c r="Q612" s="186">
        <f t="shared" si="67"/>
        <v>0</v>
      </c>
      <c r="R612" s="186">
        <f t="shared" si="67"/>
        <v>0</v>
      </c>
      <c r="S612" s="1"/>
      <c r="T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R613" si="68">IF(COLUMN() &lt; (COLUMN($H$607) + (ROW()-ROW($H$607))), 0, IF(COLUMN() = (COLUMN($H$607) + (ROW()-ROW($H$607))), INDEX($H$589:$R$589,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86">
        <f t="shared" si="68"/>
        <v>0</v>
      </c>
      <c r="N613" s="186">
        <f t="shared" si="68"/>
        <v>0</v>
      </c>
      <c r="O613" s="186">
        <f t="shared" si="68"/>
        <v>0</v>
      </c>
      <c r="P613" s="186">
        <f t="shared" si="68"/>
        <v>0</v>
      </c>
      <c r="Q613" s="186">
        <f t="shared" si="68"/>
        <v>0</v>
      </c>
      <c r="R613" s="186">
        <f t="shared" si="68"/>
        <v>0</v>
      </c>
      <c r="S613" s="1"/>
      <c r="T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R614" si="69">IF(COLUMN() &lt; (COLUMN($H$607) + (ROW()-ROW($H$607))), 0, IF(COLUMN() = (COLUMN($H$607) + (ROW()-ROW($H$607))), INDEX($H$589:$R$589,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86">
        <f t="shared" si="69"/>
        <v>0</v>
      </c>
      <c r="N614" s="186">
        <f t="shared" si="69"/>
        <v>0</v>
      </c>
      <c r="O614" s="186">
        <f t="shared" si="69"/>
        <v>0</v>
      </c>
      <c r="P614" s="186">
        <f t="shared" si="69"/>
        <v>0</v>
      </c>
      <c r="Q614" s="186">
        <f t="shared" si="69"/>
        <v>0</v>
      </c>
      <c r="R614" s="186">
        <f t="shared" si="69"/>
        <v>0</v>
      </c>
      <c r="S614" s="1"/>
      <c r="T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R615" si="70">IF(COLUMN() &lt; (COLUMN($H$607) + (ROW()-ROW($H$607))), 0, IF(COLUMN() = (COLUMN($H$607) + (ROW()-ROW($H$607))), INDEX($H$589:$R$589,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86">
        <f t="shared" si="70"/>
        <v>0</v>
      </c>
      <c r="N615" s="186">
        <f t="shared" si="70"/>
        <v>0</v>
      </c>
      <c r="O615" s="186">
        <f t="shared" si="70"/>
        <v>0</v>
      </c>
      <c r="P615" s="186">
        <f t="shared" si="70"/>
        <v>0</v>
      </c>
      <c r="Q615" s="186">
        <f t="shared" si="70"/>
        <v>0</v>
      </c>
      <c r="R615" s="186">
        <f t="shared" si="70"/>
        <v>0</v>
      </c>
      <c r="S615" s="1"/>
      <c r="T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R616" si="71">IF(COLUMN() &lt; (COLUMN($H$607) + (ROW()-ROW($H$607))), 0, IF(COLUMN() = (COLUMN($H$607) + (ROW()-ROW($H$607))), INDEX($H$589:$R$589,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86">
        <f t="shared" si="71"/>
        <v>0</v>
      </c>
      <c r="N616" s="186">
        <f t="shared" si="71"/>
        <v>0</v>
      </c>
      <c r="O616" s="186">
        <f t="shared" si="71"/>
        <v>0</v>
      </c>
      <c r="P616" s="186">
        <f t="shared" si="71"/>
        <v>0</v>
      </c>
      <c r="Q616" s="186">
        <f t="shared" si="71"/>
        <v>0</v>
      </c>
      <c r="R616" s="186">
        <f t="shared" si="71"/>
        <v>0</v>
      </c>
      <c r="S616" s="1"/>
      <c r="T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R617" si="72">IF(COLUMN() &lt; (COLUMN($H$607) + (ROW()-ROW($H$607))), 0, IF(COLUMN() = (COLUMN($H$607) + (ROW()-ROW($H$607))), INDEX($H$589:$R$589,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86">
        <f t="shared" si="72"/>
        <v>0</v>
      </c>
      <c r="N617" s="186">
        <f t="shared" si="72"/>
        <v>0</v>
      </c>
      <c r="O617" s="186">
        <f t="shared" si="72"/>
        <v>0</v>
      </c>
      <c r="P617" s="186">
        <f t="shared" si="72"/>
        <v>0</v>
      </c>
      <c r="Q617" s="186">
        <f t="shared" si="72"/>
        <v>0</v>
      </c>
      <c r="R617" s="186">
        <f t="shared" si="72"/>
        <v>0</v>
      </c>
      <c r="S617" s="1"/>
      <c r="T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R618" si="73">IF(COLUMN() &lt; (COLUMN($H$607) + (ROW()-ROW($H$607))), 0, IF(COLUMN() = (COLUMN($H$607) + (ROW()-ROW($H$607))), INDEX($H$589:$R$589,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86">
        <f t="shared" si="73"/>
        <v>0</v>
      </c>
      <c r="N618" s="186">
        <f t="shared" si="73"/>
        <v>0</v>
      </c>
      <c r="O618" s="186">
        <f t="shared" si="73"/>
        <v>0</v>
      </c>
      <c r="P618" s="186">
        <f t="shared" si="73"/>
        <v>0</v>
      </c>
      <c r="Q618" s="186">
        <f t="shared" si="73"/>
        <v>0</v>
      </c>
      <c r="R618" s="186">
        <f t="shared" si="73"/>
        <v>0</v>
      </c>
      <c r="S618" s="1"/>
      <c r="T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"/>
      <c r="T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"/>
      <c r="T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R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86">
        <f t="shared" si="74"/>
        <v>3</v>
      </c>
      <c r="N621" s="186">
        <f t="shared" si="74"/>
        <v>3</v>
      </c>
      <c r="O621" s="186">
        <f t="shared" si="74"/>
        <v>3</v>
      </c>
      <c r="P621" s="186">
        <f t="shared" si="74"/>
        <v>3</v>
      </c>
      <c r="Q621" s="186">
        <f t="shared" si="74"/>
        <v>3</v>
      </c>
      <c r="R621" s="186">
        <f t="shared" si="74"/>
        <v>3</v>
      </c>
      <c r="S621" s="1"/>
      <c r="T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R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84">
        <f t="shared" si="75"/>
        <v>7247.295</v>
      </c>
      <c r="N622" s="184">
        <f t="shared" si="75"/>
        <v>7972.0245</v>
      </c>
      <c r="O622" s="184">
        <f t="shared" si="75"/>
        <v>8769.22695</v>
      </c>
      <c r="P622" s="184">
        <f t="shared" si="75"/>
        <v>9646.149645</v>
      </c>
      <c r="Q622" s="184">
        <f t="shared" si="75"/>
        <v>10610.76461</v>
      </c>
      <c r="R622" s="184">
        <f t="shared" si="75"/>
        <v>11671.84107</v>
      </c>
      <c r="S622" s="1"/>
      <c r="T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55">
        <v>1.1</v>
      </c>
      <c r="N623" s="155">
        <v>1.1</v>
      </c>
      <c r="O623" s="155">
        <v>1.1</v>
      </c>
      <c r="P623" s="155">
        <v>1.1</v>
      </c>
      <c r="Q623" s="155">
        <v>1.1</v>
      </c>
      <c r="R623" s="155">
        <v>1.1</v>
      </c>
      <c r="S623" s="1"/>
      <c r="T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>H621*G622</f>
        <v>0</v>
      </c>
      <c r="I624" s="184">
        <f t="shared" ref="I624:R624" si="76">I621*I622</f>
        <v>14850</v>
      </c>
      <c r="J624" s="184">
        <f t="shared" si="76"/>
        <v>16335</v>
      </c>
      <c r="K624" s="184">
        <f t="shared" si="76"/>
        <v>17968.5</v>
      </c>
      <c r="L624" s="184">
        <f t="shared" si="76"/>
        <v>19765.35</v>
      </c>
      <c r="M624" s="184">
        <f t="shared" si="76"/>
        <v>21741.885</v>
      </c>
      <c r="N624" s="184">
        <f t="shared" si="76"/>
        <v>23916.0735</v>
      </c>
      <c r="O624" s="184">
        <f t="shared" si="76"/>
        <v>26307.68085</v>
      </c>
      <c r="P624" s="184">
        <f t="shared" si="76"/>
        <v>28938.44894</v>
      </c>
      <c r="Q624" s="184">
        <f t="shared" si="76"/>
        <v>31832.29383</v>
      </c>
      <c r="R624" s="184">
        <f t="shared" si="76"/>
        <v>35015.52321</v>
      </c>
      <c r="S624" s="1"/>
      <c r="T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"/>
      <c r="T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36"/>
      <c r="T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"/>
      <c r="T627" s="1"/>
    </row>
    <row r="628">
      <c r="A628" s="1"/>
      <c r="B628" s="1"/>
      <c r="C628" s="1"/>
      <c r="D628" s="1"/>
      <c r="E628" s="13"/>
      <c r="F628" s="1" t="str">
        <f t="shared" ref="F628:R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24000</v>
      </c>
      <c r="K628" s="178">
        <f t="shared" si="77"/>
        <v>0</v>
      </c>
      <c r="L628" s="178">
        <f t="shared" si="77"/>
        <v>0</v>
      </c>
      <c r="M628" s="178">
        <f t="shared" si="77"/>
        <v>48000</v>
      </c>
      <c r="N628" s="178">
        <f t="shared" si="77"/>
        <v>0</v>
      </c>
      <c r="O628" s="178">
        <f t="shared" si="77"/>
        <v>0</v>
      </c>
      <c r="P628" s="178">
        <f t="shared" si="77"/>
        <v>32000</v>
      </c>
      <c r="Q628" s="178">
        <f t="shared" si="77"/>
        <v>0</v>
      </c>
      <c r="R628" s="178">
        <f t="shared" si="77"/>
        <v>0</v>
      </c>
      <c r="S628" s="1"/>
      <c r="T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R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84" t="str">
        <f t="shared" si="78"/>
        <v/>
      </c>
      <c r="N629" s="184" t="str">
        <f t="shared" si="78"/>
        <v/>
      </c>
      <c r="O629" s="184" t="str">
        <f t="shared" si="78"/>
        <v/>
      </c>
      <c r="P629" s="184" t="str">
        <f t="shared" si="78"/>
        <v/>
      </c>
      <c r="Q629" s="184" t="str">
        <f t="shared" si="78"/>
        <v/>
      </c>
      <c r="R629" s="184" t="str">
        <f t="shared" si="78"/>
        <v/>
      </c>
      <c r="S629" s="1"/>
      <c r="T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R630" si="79">SUM(H628:H629)</f>
        <v>0</v>
      </c>
      <c r="I630" s="184">
        <f t="shared" si="79"/>
        <v>0</v>
      </c>
      <c r="J630" s="184">
        <f t="shared" si="79"/>
        <v>24000</v>
      </c>
      <c r="K630" s="184">
        <f t="shared" si="79"/>
        <v>0</v>
      </c>
      <c r="L630" s="184">
        <f t="shared" si="79"/>
        <v>0</v>
      </c>
      <c r="M630" s="184">
        <f t="shared" si="79"/>
        <v>48000</v>
      </c>
      <c r="N630" s="184">
        <f t="shared" si="79"/>
        <v>0</v>
      </c>
      <c r="O630" s="184">
        <f t="shared" si="79"/>
        <v>0</v>
      </c>
      <c r="P630" s="184">
        <f t="shared" si="79"/>
        <v>32000</v>
      </c>
      <c r="Q630" s="184">
        <f t="shared" si="79"/>
        <v>0</v>
      </c>
      <c r="R630" s="184">
        <f t="shared" si="79"/>
        <v>0</v>
      </c>
      <c r="S630" s="1"/>
      <c r="T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"/>
      <c r="T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R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86">
        <f t="shared" si="80"/>
        <v>1</v>
      </c>
      <c r="N632" s="186">
        <f t="shared" si="80"/>
        <v>0</v>
      </c>
      <c r="O632" s="186">
        <f t="shared" si="80"/>
        <v>1</v>
      </c>
      <c r="P632" s="186">
        <f t="shared" si="80"/>
        <v>0</v>
      </c>
      <c r="Q632" s="186">
        <f t="shared" si="80"/>
        <v>1</v>
      </c>
      <c r="R632" s="186">
        <f t="shared" si="80"/>
        <v>0</v>
      </c>
      <c r="S632" s="1"/>
      <c r="T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R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86">
        <f t="shared" si="81"/>
        <v>0</v>
      </c>
      <c r="N633" s="186">
        <f t="shared" si="81"/>
        <v>1</v>
      </c>
      <c r="O633" s="186">
        <f t="shared" si="81"/>
        <v>0</v>
      </c>
      <c r="P633" s="186">
        <f t="shared" si="81"/>
        <v>1</v>
      </c>
      <c r="Q633" s="186">
        <f t="shared" si="81"/>
        <v>0</v>
      </c>
      <c r="R633" s="186">
        <f t="shared" si="81"/>
        <v>1</v>
      </c>
      <c r="S633" s="1"/>
      <c r="T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R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86">
        <f t="shared" si="82"/>
        <v>1</v>
      </c>
      <c r="N634" s="186">
        <f t="shared" si="82"/>
        <v>0</v>
      </c>
      <c r="O634" s="186">
        <f t="shared" si="82"/>
        <v>1</v>
      </c>
      <c r="P634" s="186">
        <f t="shared" si="82"/>
        <v>0</v>
      </c>
      <c r="Q634" s="186">
        <f t="shared" si="82"/>
        <v>1</v>
      </c>
      <c r="R634" s="186">
        <f t="shared" si="82"/>
        <v>0</v>
      </c>
      <c r="S634" s="1"/>
      <c r="T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R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86">
        <f t="shared" si="83"/>
        <v>0</v>
      </c>
      <c r="N635" s="186">
        <f t="shared" si="83"/>
        <v>1</v>
      </c>
      <c r="O635" s="186">
        <f t="shared" si="83"/>
        <v>0</v>
      </c>
      <c r="P635" s="186">
        <f t="shared" si="83"/>
        <v>1</v>
      </c>
      <c r="Q635" s="186">
        <f t="shared" si="83"/>
        <v>0</v>
      </c>
      <c r="R635" s="186">
        <f t="shared" si="83"/>
        <v>1</v>
      </c>
      <c r="S635" s="1"/>
      <c r="T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R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86">
        <f t="shared" si="84"/>
        <v>1</v>
      </c>
      <c r="N636" s="186">
        <f t="shared" si="84"/>
        <v>0</v>
      </c>
      <c r="O636" s="186">
        <f t="shared" si="84"/>
        <v>1</v>
      </c>
      <c r="P636" s="186">
        <f t="shared" si="84"/>
        <v>0</v>
      </c>
      <c r="Q636" s="186">
        <f t="shared" si="84"/>
        <v>1</v>
      </c>
      <c r="R636" s="186">
        <f t="shared" si="84"/>
        <v>0</v>
      </c>
      <c r="S636" s="1"/>
      <c r="T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R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86">
        <f t="shared" si="85"/>
        <v>2</v>
      </c>
      <c r="N637" s="186">
        <f t="shared" si="85"/>
        <v>1</v>
      </c>
      <c r="O637" s="186">
        <f t="shared" si="85"/>
        <v>0</v>
      </c>
      <c r="P637" s="186">
        <f t="shared" si="85"/>
        <v>1</v>
      </c>
      <c r="Q637" s="186">
        <f t="shared" si="85"/>
        <v>0</v>
      </c>
      <c r="R637" s="186">
        <f t="shared" si="85"/>
        <v>1</v>
      </c>
      <c r="S637" s="1"/>
      <c r="T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R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86">
        <f t="shared" si="86"/>
        <v>0</v>
      </c>
      <c r="N638" s="186">
        <f t="shared" si="86"/>
        <v>2</v>
      </c>
      <c r="O638" s="186">
        <f t="shared" si="86"/>
        <v>1</v>
      </c>
      <c r="P638" s="186">
        <f t="shared" si="86"/>
        <v>0</v>
      </c>
      <c r="Q638" s="186">
        <f t="shared" si="86"/>
        <v>1</v>
      </c>
      <c r="R638" s="186">
        <f t="shared" si="86"/>
        <v>0</v>
      </c>
      <c r="S638" s="1"/>
      <c r="T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R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86">
        <f t="shared" si="87"/>
        <v>0</v>
      </c>
      <c r="N639" s="186">
        <f t="shared" si="87"/>
        <v>0</v>
      </c>
      <c r="O639" s="186">
        <f t="shared" si="87"/>
        <v>2</v>
      </c>
      <c r="P639" s="186">
        <f t="shared" si="87"/>
        <v>1</v>
      </c>
      <c r="Q639" s="186">
        <f t="shared" si="87"/>
        <v>0</v>
      </c>
      <c r="R639" s="186">
        <f t="shared" si="87"/>
        <v>1</v>
      </c>
      <c r="S639" s="1"/>
      <c r="T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R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86">
        <f t="shared" si="88"/>
        <v>0</v>
      </c>
      <c r="N640" s="186">
        <f t="shared" si="88"/>
        <v>0</v>
      </c>
      <c r="O640" s="186">
        <f t="shared" si="88"/>
        <v>0</v>
      </c>
      <c r="P640" s="186">
        <f t="shared" si="88"/>
        <v>2</v>
      </c>
      <c r="Q640" s="186">
        <f t="shared" si="88"/>
        <v>1</v>
      </c>
      <c r="R640" s="186">
        <f t="shared" si="88"/>
        <v>0</v>
      </c>
      <c r="S640" s="1"/>
      <c r="T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R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86">
        <f t="shared" si="89"/>
        <v>0</v>
      </c>
      <c r="N641" s="186">
        <f t="shared" si="89"/>
        <v>0</v>
      </c>
      <c r="O641" s="186">
        <f t="shared" si="89"/>
        <v>0</v>
      </c>
      <c r="P641" s="186">
        <f t="shared" si="89"/>
        <v>0</v>
      </c>
      <c r="Q641" s="186">
        <f t="shared" si="89"/>
        <v>2</v>
      </c>
      <c r="R641" s="186">
        <f t="shared" si="89"/>
        <v>1</v>
      </c>
      <c r="S641" s="1"/>
      <c r="T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R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86">
        <f t="shared" si="90"/>
        <v>0</v>
      </c>
      <c r="N642" s="186">
        <f t="shared" si="90"/>
        <v>0</v>
      </c>
      <c r="O642" s="186">
        <f t="shared" si="90"/>
        <v>0</v>
      </c>
      <c r="P642" s="186">
        <f t="shared" si="90"/>
        <v>0</v>
      </c>
      <c r="Q642" s="186">
        <f t="shared" si="90"/>
        <v>0</v>
      </c>
      <c r="R642" s="186">
        <f t="shared" si="90"/>
        <v>2</v>
      </c>
      <c r="S642" s="1"/>
      <c r="T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R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86">
        <f t="shared" si="91"/>
        <v>0</v>
      </c>
      <c r="N643" s="186">
        <f t="shared" si="91"/>
        <v>0</v>
      </c>
      <c r="O643" s="186">
        <f t="shared" si="91"/>
        <v>0</v>
      </c>
      <c r="P643" s="186">
        <f t="shared" si="91"/>
        <v>0</v>
      </c>
      <c r="Q643" s="186">
        <f t="shared" si="91"/>
        <v>0</v>
      </c>
      <c r="R643" s="186">
        <f t="shared" si="91"/>
        <v>0</v>
      </c>
      <c r="S643" s="1"/>
      <c r="T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"/>
      <c r="T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55">
        <v>0.8</v>
      </c>
      <c r="N645" s="155">
        <v>0.8</v>
      </c>
      <c r="O645" s="155">
        <v>0.8</v>
      </c>
      <c r="P645" s="155">
        <v>0.8</v>
      </c>
      <c r="Q645" s="155">
        <v>0.8</v>
      </c>
      <c r="R645" s="155">
        <v>0.8</v>
      </c>
      <c r="S645" s="1"/>
      <c r="T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R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19200</v>
      </c>
      <c r="M646" s="184">
        <f t="shared" si="92"/>
        <v>0</v>
      </c>
      <c r="N646" s="184">
        <f t="shared" si="92"/>
        <v>15360</v>
      </c>
      <c r="O646" s="184">
        <f t="shared" si="92"/>
        <v>38400</v>
      </c>
      <c r="P646" s="184">
        <f t="shared" si="92"/>
        <v>12288</v>
      </c>
      <c r="Q646" s="184">
        <f t="shared" si="92"/>
        <v>30720</v>
      </c>
      <c r="R646" s="184">
        <f t="shared" si="92"/>
        <v>35430.4</v>
      </c>
      <c r="S646" s="1"/>
      <c r="T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R647" si="93">SUM(H648:H659)</f>
        <v>0</v>
      </c>
      <c r="I647" s="184">
        <f t="shared" si="93"/>
        <v>0</v>
      </c>
      <c r="J647" s="184">
        <f t="shared" si="93"/>
        <v>24000</v>
      </c>
      <c r="K647" s="184">
        <f t="shared" si="93"/>
        <v>0</v>
      </c>
      <c r="L647" s="184">
        <f t="shared" si="93"/>
        <v>19200</v>
      </c>
      <c r="M647" s="184">
        <f t="shared" si="93"/>
        <v>48000</v>
      </c>
      <c r="N647" s="184">
        <f t="shared" si="93"/>
        <v>15360</v>
      </c>
      <c r="O647" s="184">
        <f t="shared" si="93"/>
        <v>38400</v>
      </c>
      <c r="P647" s="184">
        <f t="shared" si="93"/>
        <v>44288</v>
      </c>
      <c r="Q647" s="184">
        <f t="shared" si="93"/>
        <v>30720</v>
      </c>
      <c r="R647" s="184">
        <f t="shared" si="93"/>
        <v>35430.4</v>
      </c>
      <c r="S647" s="1"/>
      <c r="T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R648" si="94">IF(COLUMN() &lt; (COLUMN($H$648) + (ROW()-ROW($H$648))), 0, IF(COLUMN() = (COLUMN($H$648) + (ROW()-ROW($H$648))), INDEX($H$630:$R$630,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86">
        <f t="shared" si="94"/>
        <v>0</v>
      </c>
      <c r="N648" s="186">
        <f t="shared" si="94"/>
        <v>0</v>
      </c>
      <c r="O648" s="186">
        <f t="shared" si="94"/>
        <v>0</v>
      </c>
      <c r="P648" s="186">
        <f t="shared" si="94"/>
        <v>0</v>
      </c>
      <c r="Q648" s="186">
        <f t="shared" si="94"/>
        <v>0</v>
      </c>
      <c r="R648" s="186">
        <f t="shared" si="94"/>
        <v>0</v>
      </c>
      <c r="S648" s="1"/>
      <c r="T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R649" si="95">IF(COLUMN() &lt; (COLUMN($H$648) + (ROW()-ROW($H$648))), 0, IF(COLUMN() = (COLUMN($H$648) + (ROW()-ROW($H$648))), INDEX($H$630:$R$630,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86">
        <f t="shared" si="95"/>
        <v>0</v>
      </c>
      <c r="N649" s="186">
        <f t="shared" si="95"/>
        <v>0</v>
      </c>
      <c r="O649" s="186">
        <f t="shared" si="95"/>
        <v>0</v>
      </c>
      <c r="P649" s="186">
        <f t="shared" si="95"/>
        <v>0</v>
      </c>
      <c r="Q649" s="186">
        <f t="shared" si="95"/>
        <v>0</v>
      </c>
      <c r="R649" s="186">
        <f t="shared" si="95"/>
        <v>0</v>
      </c>
      <c r="S649" s="1"/>
      <c r="T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R650" si="96">IF(COLUMN() &lt; (COLUMN($H$648) + (ROW()-ROW($H$648))), 0, IF(COLUMN() = (COLUMN($H$648) + (ROW()-ROW($H$648))), INDEX($H$630:$R$630, 1, COLUMN()-COLUMN($H$630)+1), IF(H634=0, OFFSET(H650, 0, -$H$631) * $H$645, 0)))</f>
        <v>0</v>
      </c>
      <c r="I650" s="186">
        <f t="shared" si="96"/>
        <v>0</v>
      </c>
      <c r="J650" s="186">
        <f t="shared" si="96"/>
        <v>24000</v>
      </c>
      <c r="K650" s="186">
        <f t="shared" si="96"/>
        <v>0</v>
      </c>
      <c r="L650" s="186">
        <f t="shared" si="96"/>
        <v>19200</v>
      </c>
      <c r="M650" s="186">
        <f t="shared" si="96"/>
        <v>0</v>
      </c>
      <c r="N650" s="186">
        <f t="shared" si="96"/>
        <v>15360</v>
      </c>
      <c r="O650" s="186">
        <f t="shared" si="96"/>
        <v>0</v>
      </c>
      <c r="P650" s="186">
        <f t="shared" si="96"/>
        <v>12288</v>
      </c>
      <c r="Q650" s="186">
        <f t="shared" si="96"/>
        <v>0</v>
      </c>
      <c r="R650" s="186">
        <f t="shared" si="96"/>
        <v>9830.4</v>
      </c>
      <c r="S650" s="1"/>
      <c r="T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R651" si="97">IF(COLUMN() &lt; (COLUMN($H$648) + (ROW()-ROW($H$648))), 0, IF(COLUMN() = (COLUMN($H$648) + (ROW()-ROW($H$648))), INDEX($H$630:$R$630,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86">
        <f t="shared" si="97"/>
        <v>0</v>
      </c>
      <c r="N651" s="186">
        <f t="shared" si="97"/>
        <v>0</v>
      </c>
      <c r="O651" s="186">
        <f t="shared" si="97"/>
        <v>0</v>
      </c>
      <c r="P651" s="186">
        <f t="shared" si="97"/>
        <v>0</v>
      </c>
      <c r="Q651" s="186">
        <f t="shared" si="97"/>
        <v>0</v>
      </c>
      <c r="R651" s="186">
        <f t="shared" si="97"/>
        <v>0</v>
      </c>
      <c r="S651" s="1"/>
      <c r="T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R652" si="98">IF(COLUMN() &lt; (COLUMN($H$648) + (ROW()-ROW($H$648))), 0, IF(COLUMN() = (COLUMN($H$648) + (ROW()-ROW($H$648))), INDEX($H$630:$R$630,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86">
        <f t="shared" si="98"/>
        <v>0</v>
      </c>
      <c r="N652" s="186">
        <f t="shared" si="98"/>
        <v>0</v>
      </c>
      <c r="O652" s="186">
        <f t="shared" si="98"/>
        <v>0</v>
      </c>
      <c r="P652" s="186">
        <f t="shared" si="98"/>
        <v>0</v>
      </c>
      <c r="Q652" s="186">
        <f t="shared" si="98"/>
        <v>0</v>
      </c>
      <c r="R652" s="186">
        <f t="shared" si="98"/>
        <v>0</v>
      </c>
      <c r="S652" s="1"/>
      <c r="T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R653" si="99">IF(COLUMN() &lt; (COLUMN($H$648) + (ROW()-ROW($H$648))), 0, IF(COLUMN() = (COLUMN($H$648) + (ROW()-ROW($H$648))), INDEX($H$630:$R$630,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86">
        <f t="shared" si="99"/>
        <v>48000</v>
      </c>
      <c r="N653" s="186">
        <f t="shared" si="99"/>
        <v>0</v>
      </c>
      <c r="O653" s="186">
        <f t="shared" si="99"/>
        <v>38400</v>
      </c>
      <c r="P653" s="186">
        <f t="shared" si="99"/>
        <v>0</v>
      </c>
      <c r="Q653" s="186">
        <f t="shared" si="99"/>
        <v>30720</v>
      </c>
      <c r="R653" s="186">
        <f t="shared" si="99"/>
        <v>0</v>
      </c>
      <c r="S653" s="1"/>
      <c r="T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R654" si="100">IF(COLUMN() &lt; (COLUMN($H$648) + (ROW()-ROW($H$648))), 0, IF(COLUMN() = (COLUMN($H$648) + (ROW()-ROW($H$648))), INDEX($H$630:$R$630,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86">
        <f t="shared" si="100"/>
        <v>0</v>
      </c>
      <c r="N654" s="186">
        <f t="shared" si="100"/>
        <v>0</v>
      </c>
      <c r="O654" s="186">
        <f t="shared" si="100"/>
        <v>0</v>
      </c>
      <c r="P654" s="186">
        <f t="shared" si="100"/>
        <v>0</v>
      </c>
      <c r="Q654" s="186">
        <f t="shared" si="100"/>
        <v>0</v>
      </c>
      <c r="R654" s="186">
        <f t="shared" si="100"/>
        <v>0</v>
      </c>
      <c r="S654" s="1"/>
      <c r="T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R655" si="101">IF(COLUMN() &lt; (COLUMN($H$648) + (ROW()-ROW($H$648))), 0, IF(COLUMN() = (COLUMN($H$648) + (ROW()-ROW($H$648))), INDEX($H$630:$R$630,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86">
        <f t="shared" si="101"/>
        <v>0</v>
      </c>
      <c r="N655" s="186">
        <f t="shared" si="101"/>
        <v>0</v>
      </c>
      <c r="O655" s="186">
        <f t="shared" si="101"/>
        <v>0</v>
      </c>
      <c r="P655" s="186">
        <f t="shared" si="101"/>
        <v>0</v>
      </c>
      <c r="Q655" s="186">
        <f t="shared" si="101"/>
        <v>0</v>
      </c>
      <c r="R655" s="186">
        <f t="shared" si="101"/>
        <v>0</v>
      </c>
      <c r="S655" s="1"/>
      <c r="T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R656" si="102">IF(COLUMN() &lt; (COLUMN($H$648) + (ROW()-ROW($H$648))), 0, IF(COLUMN() = (COLUMN($H$648) + (ROW()-ROW($H$648))), INDEX($H$630:$R$630,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86">
        <f t="shared" si="102"/>
        <v>0</v>
      </c>
      <c r="N656" s="186">
        <f t="shared" si="102"/>
        <v>0</v>
      </c>
      <c r="O656" s="186">
        <f t="shared" si="102"/>
        <v>0</v>
      </c>
      <c r="P656" s="186">
        <f t="shared" si="102"/>
        <v>32000</v>
      </c>
      <c r="Q656" s="186">
        <f t="shared" si="102"/>
        <v>0</v>
      </c>
      <c r="R656" s="186">
        <f t="shared" si="102"/>
        <v>25600</v>
      </c>
      <c r="S656" s="1"/>
      <c r="T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R657" si="103">IF(COLUMN() &lt; (COLUMN($H$648) + (ROW()-ROW($H$648))), 0, IF(COLUMN() = (COLUMN($H$648) + (ROW()-ROW($H$648))), INDEX($H$630:$R$630,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86">
        <f t="shared" si="103"/>
        <v>0</v>
      </c>
      <c r="N657" s="186">
        <f t="shared" si="103"/>
        <v>0</v>
      </c>
      <c r="O657" s="186">
        <f t="shared" si="103"/>
        <v>0</v>
      </c>
      <c r="P657" s="186">
        <f t="shared" si="103"/>
        <v>0</v>
      </c>
      <c r="Q657" s="186">
        <f t="shared" si="103"/>
        <v>0</v>
      </c>
      <c r="R657" s="186">
        <f t="shared" si="103"/>
        <v>0</v>
      </c>
      <c r="S657" s="1"/>
      <c r="T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R658" si="104">IF(COLUMN() &lt; (COLUMN($H$648) + (ROW()-ROW($H$648))), 0, IF(COLUMN() = (COLUMN($H$648) + (ROW()-ROW($H$648))), INDEX($H$630:$R$630,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86">
        <f t="shared" si="104"/>
        <v>0</v>
      </c>
      <c r="N658" s="186">
        <f t="shared" si="104"/>
        <v>0</v>
      </c>
      <c r="O658" s="186">
        <f t="shared" si="104"/>
        <v>0</v>
      </c>
      <c r="P658" s="186">
        <f t="shared" si="104"/>
        <v>0</v>
      </c>
      <c r="Q658" s="186">
        <f t="shared" si="104"/>
        <v>0</v>
      </c>
      <c r="R658" s="186">
        <f t="shared" si="104"/>
        <v>0</v>
      </c>
      <c r="S658" s="1"/>
      <c r="T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R659" si="105">IF(COLUMN() &lt; (COLUMN($H$648) + (ROW()-ROW($H$648))), 0, IF(COLUMN() = (COLUMN($H$648) + (ROW()-ROW($H$648))), INDEX($H$630:$R$630,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86">
        <f t="shared" si="105"/>
        <v>0</v>
      </c>
      <c r="N659" s="186">
        <f t="shared" si="105"/>
        <v>0</v>
      </c>
      <c r="O659" s="186">
        <f t="shared" si="105"/>
        <v>0</v>
      </c>
      <c r="P659" s="186">
        <f t="shared" si="105"/>
        <v>0</v>
      </c>
      <c r="Q659" s="186">
        <f t="shared" si="105"/>
        <v>0</v>
      </c>
      <c r="R659" s="186">
        <f t="shared" si="105"/>
        <v>0</v>
      </c>
      <c r="S659" s="1"/>
      <c r="T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"/>
      <c r="T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"/>
      <c r="T661" s="1"/>
    </row>
    <row r="662">
      <c r="A662" s="1"/>
      <c r="B662" s="1"/>
      <c r="C662" s="1"/>
      <c r="D662" s="1"/>
      <c r="E662" s="13"/>
      <c r="F662" s="1" t="str">
        <f t="shared" ref="F662:R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72000</v>
      </c>
      <c r="K662" s="178">
        <f t="shared" si="106"/>
        <v>0</v>
      </c>
      <c r="L662" s="178">
        <f t="shared" si="106"/>
        <v>0</v>
      </c>
      <c r="M662" s="178">
        <f t="shared" si="106"/>
        <v>216000</v>
      </c>
      <c r="N662" s="178">
        <f t="shared" si="106"/>
        <v>0</v>
      </c>
      <c r="O662" s="178">
        <f t="shared" si="106"/>
        <v>0</v>
      </c>
      <c r="P662" s="178">
        <f t="shared" si="106"/>
        <v>288000</v>
      </c>
      <c r="Q662" s="178">
        <f t="shared" si="106"/>
        <v>0</v>
      </c>
      <c r="R662" s="178">
        <f t="shared" si="106"/>
        <v>0</v>
      </c>
      <c r="S662" s="1"/>
      <c r="T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R663" si="107">H460</f>
        <v>736560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84" t="str">
        <f t="shared" si="107"/>
        <v/>
      </c>
      <c r="N663" s="184" t="str">
        <f t="shared" si="107"/>
        <v/>
      </c>
      <c r="O663" s="184" t="str">
        <f t="shared" si="107"/>
        <v/>
      </c>
      <c r="P663" s="184" t="str">
        <f t="shared" si="107"/>
        <v/>
      </c>
      <c r="Q663" s="184" t="str">
        <f t="shared" si="107"/>
        <v/>
      </c>
      <c r="R663" s="184" t="str">
        <f t="shared" si="107"/>
        <v/>
      </c>
      <c r="S663" s="1"/>
      <c r="T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R664" si="108">SUM(H662:H663)</f>
        <v>736560</v>
      </c>
      <c r="I664" s="184">
        <f t="shared" si="108"/>
        <v>0</v>
      </c>
      <c r="J664" s="184">
        <f t="shared" si="108"/>
        <v>72000</v>
      </c>
      <c r="K664" s="184">
        <f t="shared" si="108"/>
        <v>0</v>
      </c>
      <c r="L664" s="184">
        <f t="shared" si="108"/>
        <v>0</v>
      </c>
      <c r="M664" s="184">
        <f t="shared" si="108"/>
        <v>216000</v>
      </c>
      <c r="N664" s="184">
        <f t="shared" si="108"/>
        <v>0</v>
      </c>
      <c r="O664" s="184">
        <f t="shared" si="108"/>
        <v>0</v>
      </c>
      <c r="P664" s="184">
        <f t="shared" si="108"/>
        <v>288000</v>
      </c>
      <c r="Q664" s="184">
        <f t="shared" si="108"/>
        <v>0</v>
      </c>
      <c r="R664" s="184">
        <f t="shared" si="108"/>
        <v>0</v>
      </c>
      <c r="S664" s="1"/>
      <c r="T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"/>
      <c r="T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R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86">
        <f t="shared" si="109"/>
        <v>4</v>
      </c>
      <c r="N666" s="186">
        <f t="shared" si="109"/>
        <v>3</v>
      </c>
      <c r="O666" s="186">
        <f t="shared" si="109"/>
        <v>2</v>
      </c>
      <c r="P666" s="186">
        <f t="shared" si="109"/>
        <v>1</v>
      </c>
      <c r="Q666" s="186">
        <f t="shared" si="109"/>
        <v>0</v>
      </c>
      <c r="R666" s="186">
        <f t="shared" si="109"/>
        <v>8</v>
      </c>
      <c r="S666" s="1"/>
      <c r="T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R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86">
        <f t="shared" si="110"/>
        <v>5</v>
      </c>
      <c r="N667" s="186">
        <f t="shared" si="110"/>
        <v>4</v>
      </c>
      <c r="O667" s="186">
        <f t="shared" si="110"/>
        <v>3</v>
      </c>
      <c r="P667" s="186">
        <f t="shared" si="110"/>
        <v>2</v>
      </c>
      <c r="Q667" s="186">
        <f t="shared" si="110"/>
        <v>1</v>
      </c>
      <c r="R667" s="186">
        <f t="shared" si="110"/>
        <v>0</v>
      </c>
      <c r="S667" s="1"/>
      <c r="T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R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86">
        <f t="shared" si="111"/>
        <v>6</v>
      </c>
      <c r="N668" s="186">
        <f t="shared" si="111"/>
        <v>5</v>
      </c>
      <c r="O668" s="186">
        <f t="shared" si="111"/>
        <v>4</v>
      </c>
      <c r="P668" s="186">
        <f t="shared" si="111"/>
        <v>3</v>
      </c>
      <c r="Q668" s="186">
        <f t="shared" si="111"/>
        <v>2</v>
      </c>
      <c r="R668" s="186">
        <f t="shared" si="111"/>
        <v>1</v>
      </c>
      <c r="S668" s="1"/>
      <c r="T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R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86">
        <f t="shared" si="112"/>
        <v>7</v>
      </c>
      <c r="N669" s="186">
        <f t="shared" si="112"/>
        <v>6</v>
      </c>
      <c r="O669" s="186">
        <f t="shared" si="112"/>
        <v>5</v>
      </c>
      <c r="P669" s="186">
        <f t="shared" si="112"/>
        <v>4</v>
      </c>
      <c r="Q669" s="186">
        <f t="shared" si="112"/>
        <v>3</v>
      </c>
      <c r="R669" s="186">
        <f t="shared" si="112"/>
        <v>2</v>
      </c>
      <c r="S669" s="1"/>
      <c r="T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R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86">
        <f t="shared" si="113"/>
        <v>8</v>
      </c>
      <c r="N670" s="186">
        <f t="shared" si="113"/>
        <v>7</v>
      </c>
      <c r="O670" s="186">
        <f t="shared" si="113"/>
        <v>6</v>
      </c>
      <c r="P670" s="186">
        <f t="shared" si="113"/>
        <v>5</v>
      </c>
      <c r="Q670" s="186">
        <f t="shared" si="113"/>
        <v>4</v>
      </c>
      <c r="R670" s="186">
        <f t="shared" si="113"/>
        <v>3</v>
      </c>
      <c r="S670" s="1"/>
      <c r="T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R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86">
        <f t="shared" si="114"/>
        <v>9</v>
      </c>
      <c r="N671" s="186">
        <f t="shared" si="114"/>
        <v>8</v>
      </c>
      <c r="O671" s="186">
        <f t="shared" si="114"/>
        <v>7</v>
      </c>
      <c r="P671" s="186">
        <f t="shared" si="114"/>
        <v>6</v>
      </c>
      <c r="Q671" s="186">
        <f t="shared" si="114"/>
        <v>5</v>
      </c>
      <c r="R671" s="186">
        <f t="shared" si="114"/>
        <v>4</v>
      </c>
      <c r="S671" s="1"/>
      <c r="T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R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86">
        <f t="shared" si="115"/>
        <v>0</v>
      </c>
      <c r="N672" s="186">
        <f t="shared" si="115"/>
        <v>9</v>
      </c>
      <c r="O672" s="186">
        <f t="shared" si="115"/>
        <v>8</v>
      </c>
      <c r="P672" s="186">
        <f t="shared" si="115"/>
        <v>7</v>
      </c>
      <c r="Q672" s="186">
        <f t="shared" si="115"/>
        <v>6</v>
      </c>
      <c r="R672" s="186">
        <f t="shared" si="115"/>
        <v>5</v>
      </c>
      <c r="S672" s="1"/>
      <c r="T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R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86">
        <f t="shared" si="116"/>
        <v>0</v>
      </c>
      <c r="N673" s="186">
        <f t="shared" si="116"/>
        <v>0</v>
      </c>
      <c r="O673" s="186">
        <f t="shared" si="116"/>
        <v>9</v>
      </c>
      <c r="P673" s="186">
        <f t="shared" si="116"/>
        <v>8</v>
      </c>
      <c r="Q673" s="186">
        <f t="shared" si="116"/>
        <v>7</v>
      </c>
      <c r="R673" s="186">
        <f t="shared" si="116"/>
        <v>6</v>
      </c>
      <c r="S673" s="1"/>
      <c r="T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R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86">
        <f t="shared" si="117"/>
        <v>0</v>
      </c>
      <c r="N674" s="186">
        <f t="shared" si="117"/>
        <v>0</v>
      </c>
      <c r="O674" s="186">
        <f t="shared" si="117"/>
        <v>0</v>
      </c>
      <c r="P674" s="186">
        <f t="shared" si="117"/>
        <v>9</v>
      </c>
      <c r="Q674" s="186">
        <f t="shared" si="117"/>
        <v>8</v>
      </c>
      <c r="R674" s="186">
        <f t="shared" si="117"/>
        <v>7</v>
      </c>
      <c r="S674" s="1"/>
      <c r="T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R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86">
        <f t="shared" si="118"/>
        <v>0</v>
      </c>
      <c r="N675" s="186">
        <f t="shared" si="118"/>
        <v>0</v>
      </c>
      <c r="O675" s="186">
        <f t="shared" si="118"/>
        <v>0</v>
      </c>
      <c r="P675" s="186">
        <f t="shared" si="118"/>
        <v>0</v>
      </c>
      <c r="Q675" s="186">
        <f t="shared" si="118"/>
        <v>9</v>
      </c>
      <c r="R675" s="186">
        <f t="shared" si="118"/>
        <v>8</v>
      </c>
      <c r="S675" s="1"/>
      <c r="T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R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86">
        <f t="shared" si="119"/>
        <v>0</v>
      </c>
      <c r="N676" s="186">
        <f t="shared" si="119"/>
        <v>0</v>
      </c>
      <c r="O676" s="186">
        <f t="shared" si="119"/>
        <v>0</v>
      </c>
      <c r="P676" s="186">
        <f t="shared" si="119"/>
        <v>0</v>
      </c>
      <c r="Q676" s="186">
        <f t="shared" si="119"/>
        <v>0</v>
      </c>
      <c r="R676" s="186">
        <f t="shared" si="119"/>
        <v>9</v>
      </c>
      <c r="S676" s="1"/>
      <c r="T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R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86">
        <f t="shared" si="120"/>
        <v>0</v>
      </c>
      <c r="N677" s="186">
        <f t="shared" si="120"/>
        <v>0</v>
      </c>
      <c r="O677" s="186">
        <f t="shared" si="120"/>
        <v>0</v>
      </c>
      <c r="P677" s="186">
        <f t="shared" si="120"/>
        <v>0</v>
      </c>
      <c r="Q677" s="186">
        <f t="shared" si="120"/>
        <v>0</v>
      </c>
      <c r="R677" s="186">
        <f t="shared" si="120"/>
        <v>0</v>
      </c>
      <c r="S677" s="1"/>
      <c r="T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"/>
      <c r="T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R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84">
        <f t="shared" si="121"/>
        <v>0</v>
      </c>
      <c r="N679" s="184">
        <f t="shared" si="121"/>
        <v>0</v>
      </c>
      <c r="O679" s="184">
        <f t="shared" si="121"/>
        <v>0</v>
      </c>
      <c r="P679" s="184">
        <f t="shared" si="121"/>
        <v>0</v>
      </c>
      <c r="Q679" s="184">
        <f t="shared" si="121"/>
        <v>147312</v>
      </c>
      <c r="R679" s="184">
        <f t="shared" si="121"/>
        <v>0</v>
      </c>
      <c r="S679" s="1"/>
      <c r="T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R680" si="122">SUM(H681:H692)</f>
        <v>736560</v>
      </c>
      <c r="I680" s="184">
        <f t="shared" si="122"/>
        <v>0</v>
      </c>
      <c r="J680" s="184">
        <f t="shared" si="122"/>
        <v>72000</v>
      </c>
      <c r="K680" s="184">
        <f t="shared" si="122"/>
        <v>0</v>
      </c>
      <c r="L680" s="184">
        <f t="shared" si="122"/>
        <v>0</v>
      </c>
      <c r="M680" s="184">
        <f t="shared" si="122"/>
        <v>216000</v>
      </c>
      <c r="N680" s="184">
        <f t="shared" si="122"/>
        <v>0</v>
      </c>
      <c r="O680" s="184">
        <f t="shared" si="122"/>
        <v>0</v>
      </c>
      <c r="P680" s="184">
        <f t="shared" si="122"/>
        <v>288000</v>
      </c>
      <c r="Q680" s="184">
        <f t="shared" si="122"/>
        <v>147312</v>
      </c>
      <c r="R680" s="184">
        <f t="shared" si="122"/>
        <v>0</v>
      </c>
      <c r="S680" s="1"/>
      <c r="T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R681" si="123">IF(COLUMN() &lt; (COLUMN($H681) + (ROW()-ROW($H$681))), 0, IF(COLUMN() = (COLUMN($H$681) + (ROW()-ROW($H$681))), INDEX($H$664:$R$664, 1, COLUMN()-COLUMN($H$664)+1), IF(H666=0, OFFSET(H681, 0, -$H$665) * $H$678, 0)))</f>
        <v>736560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86">
        <f t="shared" si="123"/>
        <v>0</v>
      </c>
      <c r="N681" s="186">
        <f t="shared" si="123"/>
        <v>0</v>
      </c>
      <c r="O681" s="186">
        <f t="shared" si="123"/>
        <v>0</v>
      </c>
      <c r="P681" s="186">
        <f t="shared" si="123"/>
        <v>0</v>
      </c>
      <c r="Q681" s="186">
        <f t="shared" si="123"/>
        <v>147312</v>
      </c>
      <c r="R681" s="186">
        <f t="shared" si="123"/>
        <v>0</v>
      </c>
      <c r="S681" s="1"/>
      <c r="T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R682" si="124">IF(COLUMN() &lt; (COLUMN($H682) + (ROW()-ROW($H$681))), 0, IF(COLUMN() = (COLUMN($H$681) + (ROW()-ROW($H$681))), INDEX($H$664:$R$664,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86">
        <f t="shared" si="124"/>
        <v>0</v>
      </c>
      <c r="N682" s="186">
        <f t="shared" si="124"/>
        <v>0</v>
      </c>
      <c r="O682" s="186">
        <f t="shared" si="124"/>
        <v>0</v>
      </c>
      <c r="P682" s="186">
        <f t="shared" si="124"/>
        <v>0</v>
      </c>
      <c r="Q682" s="186">
        <f t="shared" si="124"/>
        <v>0</v>
      </c>
      <c r="R682" s="186">
        <f t="shared" si="124"/>
        <v>0</v>
      </c>
      <c r="S682" s="1"/>
      <c r="T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R683" si="125">IF(COLUMN() &lt; (COLUMN($H683) + (ROW()-ROW($H$681))), 0, IF(COLUMN() = (COLUMN($H$681) + (ROW()-ROW($H$681))), INDEX($H$664:$R$664, 1, COLUMN()-COLUMN($H$664)+1), IF(H668=0, OFFSET(H683, 0, -$H$665) * $H$678, 0)))</f>
        <v>0</v>
      </c>
      <c r="I683" s="186">
        <f t="shared" si="125"/>
        <v>0</v>
      </c>
      <c r="J683" s="186">
        <f t="shared" si="125"/>
        <v>72000</v>
      </c>
      <c r="K683" s="186">
        <f t="shared" si="125"/>
        <v>0</v>
      </c>
      <c r="L683" s="186">
        <f t="shared" si="125"/>
        <v>0</v>
      </c>
      <c r="M683" s="186">
        <f t="shared" si="125"/>
        <v>0</v>
      </c>
      <c r="N683" s="186">
        <f t="shared" si="125"/>
        <v>0</v>
      </c>
      <c r="O683" s="186">
        <f t="shared" si="125"/>
        <v>0</v>
      </c>
      <c r="P683" s="186">
        <f t="shared" si="125"/>
        <v>0</v>
      </c>
      <c r="Q683" s="186">
        <f t="shared" si="125"/>
        <v>0</v>
      </c>
      <c r="R683" s="186">
        <f t="shared" si="125"/>
        <v>0</v>
      </c>
      <c r="S683" s="1"/>
      <c r="T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R684" si="126">IF(COLUMN() &lt; (COLUMN($H684) + (ROW()-ROW($H$681))), 0, IF(COLUMN() = (COLUMN($H$681) + (ROW()-ROW($H$681))), INDEX($H$664:$R$664,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86">
        <f t="shared" si="126"/>
        <v>0</v>
      </c>
      <c r="N684" s="186">
        <f t="shared" si="126"/>
        <v>0</v>
      </c>
      <c r="O684" s="186">
        <f t="shared" si="126"/>
        <v>0</v>
      </c>
      <c r="P684" s="186">
        <f t="shared" si="126"/>
        <v>0</v>
      </c>
      <c r="Q684" s="186">
        <f t="shared" si="126"/>
        <v>0</v>
      </c>
      <c r="R684" s="186">
        <f t="shared" si="126"/>
        <v>0</v>
      </c>
      <c r="S684" s="1"/>
      <c r="T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R685" si="127">IF(COLUMN() &lt; (COLUMN($H685) + (ROW()-ROW($H$681))), 0, IF(COLUMN() = (COLUMN($H$681) + (ROW()-ROW($H$681))), INDEX($H$664:$R$664,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86">
        <f t="shared" si="127"/>
        <v>0</v>
      </c>
      <c r="N685" s="186">
        <f t="shared" si="127"/>
        <v>0</v>
      </c>
      <c r="O685" s="186">
        <f t="shared" si="127"/>
        <v>0</v>
      </c>
      <c r="P685" s="186">
        <f t="shared" si="127"/>
        <v>0</v>
      </c>
      <c r="Q685" s="186">
        <f t="shared" si="127"/>
        <v>0</v>
      </c>
      <c r="R685" s="186">
        <f t="shared" si="127"/>
        <v>0</v>
      </c>
      <c r="S685" s="1"/>
      <c r="T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R686" si="128">IF(COLUMN() &lt; (COLUMN($H686) + (ROW()-ROW($H$681))), 0, IF(COLUMN() = (COLUMN($H$681) + (ROW()-ROW($H$681))), INDEX($H$664:$R$664,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86">
        <f t="shared" si="128"/>
        <v>216000</v>
      </c>
      <c r="N686" s="186">
        <f t="shared" si="128"/>
        <v>0</v>
      </c>
      <c r="O686" s="186">
        <f t="shared" si="128"/>
        <v>0</v>
      </c>
      <c r="P686" s="186">
        <f t="shared" si="128"/>
        <v>0</v>
      </c>
      <c r="Q686" s="186">
        <f t="shared" si="128"/>
        <v>0</v>
      </c>
      <c r="R686" s="186">
        <f t="shared" si="128"/>
        <v>0</v>
      </c>
      <c r="S686" s="1"/>
      <c r="T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R687" si="129">IF(COLUMN() &lt; (COLUMN($H687) + (ROW()-ROW($H$681))), 0, IF(COLUMN() = (COLUMN($H$681) + (ROW()-ROW($H$681))), INDEX($H$664:$R$664,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86">
        <f t="shared" si="129"/>
        <v>0</v>
      </c>
      <c r="N687" s="186">
        <f t="shared" si="129"/>
        <v>0</v>
      </c>
      <c r="O687" s="186">
        <f t="shared" si="129"/>
        <v>0</v>
      </c>
      <c r="P687" s="186">
        <f t="shared" si="129"/>
        <v>0</v>
      </c>
      <c r="Q687" s="186">
        <f t="shared" si="129"/>
        <v>0</v>
      </c>
      <c r="R687" s="186">
        <f t="shared" si="129"/>
        <v>0</v>
      </c>
      <c r="S687" s="1"/>
      <c r="T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R688" si="130">IF(COLUMN() &lt; (COLUMN($H688) + (ROW()-ROW($H$681))), 0, IF(COLUMN() = (COLUMN($H$681) + (ROW()-ROW($H$681))), INDEX($H$664:$R$664,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86">
        <f t="shared" si="130"/>
        <v>0</v>
      </c>
      <c r="N688" s="186">
        <f t="shared" si="130"/>
        <v>0</v>
      </c>
      <c r="O688" s="186">
        <f t="shared" si="130"/>
        <v>0</v>
      </c>
      <c r="P688" s="186">
        <f t="shared" si="130"/>
        <v>0</v>
      </c>
      <c r="Q688" s="186">
        <f t="shared" si="130"/>
        <v>0</v>
      </c>
      <c r="R688" s="186">
        <f t="shared" si="130"/>
        <v>0</v>
      </c>
      <c r="S688" s="1"/>
      <c r="T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R689" si="131">IF(COLUMN() &lt; (COLUMN($H689) + (ROW()-ROW($H$681))), 0, IF(COLUMN() = (COLUMN($H$681) + (ROW()-ROW($H$681))), INDEX($H$664:$R$664,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86">
        <f t="shared" si="131"/>
        <v>0</v>
      </c>
      <c r="N689" s="186">
        <f t="shared" si="131"/>
        <v>0</v>
      </c>
      <c r="O689" s="186">
        <f t="shared" si="131"/>
        <v>0</v>
      </c>
      <c r="P689" s="186">
        <f t="shared" si="131"/>
        <v>288000</v>
      </c>
      <c r="Q689" s="186">
        <f t="shared" si="131"/>
        <v>0</v>
      </c>
      <c r="R689" s="186">
        <f t="shared" si="131"/>
        <v>0</v>
      </c>
      <c r="S689" s="1"/>
      <c r="T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R690" si="132">IF(COLUMN() &lt; (COLUMN($H690) + (ROW()-ROW($H$681))), 0, IF(COLUMN() = (COLUMN($H$681) + (ROW()-ROW($H$681))), INDEX($H$664:$R$664,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86">
        <f t="shared" si="132"/>
        <v>0</v>
      </c>
      <c r="N690" s="186">
        <f t="shared" si="132"/>
        <v>0</v>
      </c>
      <c r="O690" s="186">
        <f t="shared" si="132"/>
        <v>0</v>
      </c>
      <c r="P690" s="186">
        <f t="shared" si="132"/>
        <v>0</v>
      </c>
      <c r="Q690" s="186">
        <f t="shared" si="132"/>
        <v>0</v>
      </c>
      <c r="R690" s="186">
        <f t="shared" si="132"/>
        <v>0</v>
      </c>
      <c r="S690" s="1"/>
      <c r="T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R691" si="133">IF(COLUMN() &lt; (COLUMN($H691) + (ROW()-ROW($H$681))), 0, IF(COLUMN() = (COLUMN($H$681) + (ROW()-ROW($H$681))), INDEX($H$664:$R$664,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86">
        <f t="shared" si="133"/>
        <v>0</v>
      </c>
      <c r="N691" s="186">
        <f t="shared" si="133"/>
        <v>0</v>
      </c>
      <c r="O691" s="186">
        <f t="shared" si="133"/>
        <v>0</v>
      </c>
      <c r="P691" s="186">
        <f t="shared" si="133"/>
        <v>0</v>
      </c>
      <c r="Q691" s="186">
        <f t="shared" si="133"/>
        <v>0</v>
      </c>
      <c r="R691" s="186">
        <f t="shared" si="133"/>
        <v>0</v>
      </c>
      <c r="S691" s="1"/>
      <c r="T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R692" si="134">IF(COLUMN() &lt; (COLUMN($H692) + (ROW()-ROW($H$681))), 0, IF(COLUMN() = (COLUMN($H$681) + (ROW()-ROW($H$681))), INDEX($H$664:$R$664,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86">
        <f t="shared" si="134"/>
        <v>0</v>
      </c>
      <c r="N692" s="186">
        <f t="shared" si="134"/>
        <v>0</v>
      </c>
      <c r="O692" s="186">
        <f t="shared" si="134"/>
        <v>0</v>
      </c>
      <c r="P692" s="186">
        <f t="shared" si="134"/>
        <v>0</v>
      </c>
      <c r="Q692" s="186">
        <f t="shared" si="134"/>
        <v>0</v>
      </c>
      <c r="R692" s="186">
        <f t="shared" si="134"/>
        <v>0</v>
      </c>
      <c r="S692" s="1"/>
      <c r="T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"/>
      <c r="T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R694" si="135">H698</f>
        <v>18000</v>
      </c>
      <c r="I694" s="188">
        <f t="shared" si="135"/>
        <v>19800</v>
      </c>
      <c r="J694" s="188">
        <f t="shared" si="135"/>
        <v>21780</v>
      </c>
      <c r="K694" s="188">
        <f t="shared" si="135"/>
        <v>23958</v>
      </c>
      <c r="L694" s="188">
        <f t="shared" si="135"/>
        <v>26353.8</v>
      </c>
      <c r="M694" s="188">
        <f t="shared" si="135"/>
        <v>28989.18</v>
      </c>
      <c r="N694" s="188">
        <f t="shared" si="135"/>
        <v>31888.098</v>
      </c>
      <c r="O694" s="188">
        <f t="shared" si="135"/>
        <v>35076.9078</v>
      </c>
      <c r="P694" s="188">
        <f t="shared" si="135"/>
        <v>38584.59858</v>
      </c>
      <c r="Q694" s="188">
        <f t="shared" si="135"/>
        <v>42443.05844</v>
      </c>
      <c r="R694" s="188">
        <f t="shared" si="135"/>
        <v>46687.36428</v>
      </c>
      <c r="S694" s="16"/>
      <c r="T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4</v>
      </c>
      <c r="I695" s="190">
        <f t="shared" ref="I695:R695" si="136">H695</f>
        <v>4</v>
      </c>
      <c r="J695" s="190">
        <f t="shared" si="136"/>
        <v>4</v>
      </c>
      <c r="K695" s="190">
        <f t="shared" si="136"/>
        <v>4</v>
      </c>
      <c r="L695" s="190">
        <f t="shared" si="136"/>
        <v>4</v>
      </c>
      <c r="M695" s="190">
        <f t="shared" si="136"/>
        <v>4</v>
      </c>
      <c r="N695" s="190">
        <f t="shared" si="136"/>
        <v>4</v>
      </c>
      <c r="O695" s="190">
        <f t="shared" si="136"/>
        <v>4</v>
      </c>
      <c r="P695" s="190">
        <f t="shared" si="136"/>
        <v>4</v>
      </c>
      <c r="Q695" s="190">
        <f t="shared" si="136"/>
        <v>4</v>
      </c>
      <c r="R695" s="190">
        <f t="shared" si="136"/>
        <v>4</v>
      </c>
      <c r="S695" s="16"/>
      <c r="T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R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88">
        <f t="shared" si="137"/>
        <v>7247.295</v>
      </c>
      <c r="N696" s="188">
        <f t="shared" si="137"/>
        <v>7972.0245</v>
      </c>
      <c r="O696" s="188">
        <f t="shared" si="137"/>
        <v>8769.22695</v>
      </c>
      <c r="P696" s="188">
        <f t="shared" si="137"/>
        <v>9646.149645</v>
      </c>
      <c r="Q696" s="188">
        <f t="shared" si="137"/>
        <v>10610.76461</v>
      </c>
      <c r="R696" s="188">
        <f t="shared" si="137"/>
        <v>11671.84107</v>
      </c>
      <c r="S696" s="16"/>
      <c r="T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54">
        <v>1.1</v>
      </c>
      <c r="N697" s="154">
        <v>1.1</v>
      </c>
      <c r="O697" s="154">
        <v>1.1</v>
      </c>
      <c r="P697" s="154">
        <v>1.1</v>
      </c>
      <c r="Q697" s="152">
        <v>1.1</v>
      </c>
      <c r="R697" s="152">
        <v>1.1</v>
      </c>
      <c r="S697" s="16"/>
      <c r="T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R698" si="138">H695*H696</f>
        <v>18000</v>
      </c>
      <c r="I698" s="188">
        <f t="shared" si="138"/>
        <v>19800</v>
      </c>
      <c r="J698" s="188">
        <f t="shared" si="138"/>
        <v>21780</v>
      </c>
      <c r="K698" s="188">
        <f t="shared" si="138"/>
        <v>23958</v>
      </c>
      <c r="L698" s="188">
        <f t="shared" si="138"/>
        <v>26353.8</v>
      </c>
      <c r="M698" s="188">
        <f t="shared" si="138"/>
        <v>28989.18</v>
      </c>
      <c r="N698" s="188">
        <f t="shared" si="138"/>
        <v>31888.098</v>
      </c>
      <c r="O698" s="188">
        <f t="shared" si="138"/>
        <v>35076.9078</v>
      </c>
      <c r="P698" s="188">
        <f t="shared" si="138"/>
        <v>38584.59858</v>
      </c>
      <c r="Q698" s="188">
        <f t="shared" si="138"/>
        <v>42443.05844</v>
      </c>
      <c r="R698" s="188">
        <f t="shared" si="138"/>
        <v>46687.36428</v>
      </c>
      <c r="S698" s="16"/>
      <c r="T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6"/>
      <c r="T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36"/>
      <c r="T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"/>
      <c r="T701" s="1"/>
    </row>
    <row r="702">
      <c r="A702" s="1"/>
      <c r="B702" s="1"/>
      <c r="C702" s="1"/>
      <c r="D702" s="1"/>
      <c r="E702" s="127"/>
      <c r="F702" s="13" t="str">
        <f t="shared" ref="F702:R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126000</v>
      </c>
      <c r="J702" s="180">
        <f t="shared" si="139"/>
        <v>66000</v>
      </c>
      <c r="K702" s="180">
        <f t="shared" si="139"/>
        <v>60000</v>
      </c>
      <c r="L702" s="180">
        <f t="shared" si="139"/>
        <v>48000</v>
      </c>
      <c r="M702" s="180">
        <f t="shared" si="139"/>
        <v>48000</v>
      </c>
      <c r="N702" s="180">
        <f t="shared" si="139"/>
        <v>36000</v>
      </c>
      <c r="O702" s="180">
        <f t="shared" si="139"/>
        <v>24000</v>
      </c>
      <c r="P702" s="180">
        <f t="shared" si="139"/>
        <v>24000</v>
      </c>
      <c r="Q702" s="180">
        <f t="shared" si="139"/>
        <v>0</v>
      </c>
      <c r="R702" s="180">
        <f t="shared" si="139"/>
        <v>0</v>
      </c>
      <c r="S702" s="1"/>
      <c r="T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R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84" t="str">
        <f t="shared" si="140"/>
        <v/>
      </c>
      <c r="N703" s="184" t="str">
        <f t="shared" si="140"/>
        <v/>
      </c>
      <c r="O703" s="184" t="str">
        <f t="shared" si="140"/>
        <v/>
      </c>
      <c r="P703" s="184" t="str">
        <f t="shared" si="140"/>
        <v/>
      </c>
      <c r="Q703" s="184" t="str">
        <f t="shared" si="140"/>
        <v/>
      </c>
      <c r="R703" s="184" t="str">
        <f t="shared" si="140"/>
        <v/>
      </c>
      <c r="S703" s="1"/>
      <c r="T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R704" si="141">SUM(H702:H703)</f>
        <v>0</v>
      </c>
      <c r="I704" s="184">
        <f t="shared" si="141"/>
        <v>126000</v>
      </c>
      <c r="J704" s="184">
        <f t="shared" si="141"/>
        <v>66000</v>
      </c>
      <c r="K704" s="184">
        <f t="shared" si="141"/>
        <v>60000</v>
      </c>
      <c r="L704" s="184">
        <f t="shared" si="141"/>
        <v>48000</v>
      </c>
      <c r="M704" s="184">
        <f t="shared" si="141"/>
        <v>48000</v>
      </c>
      <c r="N704" s="184">
        <f t="shared" si="141"/>
        <v>36000</v>
      </c>
      <c r="O704" s="184">
        <f t="shared" si="141"/>
        <v>24000</v>
      </c>
      <c r="P704" s="184">
        <f t="shared" si="141"/>
        <v>24000</v>
      </c>
      <c r="Q704" s="184">
        <f t="shared" si="141"/>
        <v>0</v>
      </c>
      <c r="R704" s="184">
        <f t="shared" si="141"/>
        <v>0</v>
      </c>
      <c r="S704" s="1"/>
      <c r="T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"/>
      <c r="T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R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86">
        <f t="shared" si="142"/>
        <v>1</v>
      </c>
      <c r="N706" s="186">
        <f t="shared" si="142"/>
        <v>0</v>
      </c>
      <c r="O706" s="186">
        <f t="shared" si="142"/>
        <v>1</v>
      </c>
      <c r="P706" s="186">
        <f t="shared" si="142"/>
        <v>0</v>
      </c>
      <c r="Q706" s="186">
        <f t="shared" si="142"/>
        <v>1</v>
      </c>
      <c r="R706" s="186">
        <f t="shared" si="142"/>
        <v>0</v>
      </c>
      <c r="S706" s="1"/>
      <c r="T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R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86">
        <f t="shared" si="143"/>
        <v>0</v>
      </c>
      <c r="N707" s="186">
        <f t="shared" si="143"/>
        <v>1</v>
      </c>
      <c r="O707" s="186">
        <f t="shared" si="143"/>
        <v>0</v>
      </c>
      <c r="P707" s="186">
        <f t="shared" si="143"/>
        <v>1</v>
      </c>
      <c r="Q707" s="186">
        <f t="shared" si="143"/>
        <v>0</v>
      </c>
      <c r="R707" s="186">
        <f t="shared" si="143"/>
        <v>1</v>
      </c>
      <c r="S707" s="1"/>
      <c r="T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R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86">
        <f t="shared" si="144"/>
        <v>1</v>
      </c>
      <c r="N708" s="186">
        <f t="shared" si="144"/>
        <v>0</v>
      </c>
      <c r="O708" s="186">
        <f t="shared" si="144"/>
        <v>1</v>
      </c>
      <c r="P708" s="186">
        <f t="shared" si="144"/>
        <v>0</v>
      </c>
      <c r="Q708" s="186">
        <f t="shared" si="144"/>
        <v>1</v>
      </c>
      <c r="R708" s="186">
        <f t="shared" si="144"/>
        <v>0</v>
      </c>
      <c r="S708" s="1"/>
      <c r="T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R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86">
        <f t="shared" si="145"/>
        <v>0</v>
      </c>
      <c r="N709" s="186">
        <f t="shared" si="145"/>
        <v>1</v>
      </c>
      <c r="O709" s="186">
        <f t="shared" si="145"/>
        <v>0</v>
      </c>
      <c r="P709" s="186">
        <f t="shared" si="145"/>
        <v>1</v>
      </c>
      <c r="Q709" s="186">
        <f t="shared" si="145"/>
        <v>0</v>
      </c>
      <c r="R709" s="186">
        <f t="shared" si="145"/>
        <v>1</v>
      </c>
      <c r="S709" s="1"/>
      <c r="T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R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86">
        <f t="shared" si="146"/>
        <v>1</v>
      </c>
      <c r="N710" s="186">
        <f t="shared" si="146"/>
        <v>0</v>
      </c>
      <c r="O710" s="186">
        <f t="shared" si="146"/>
        <v>1</v>
      </c>
      <c r="P710" s="186">
        <f t="shared" si="146"/>
        <v>0</v>
      </c>
      <c r="Q710" s="186">
        <f t="shared" si="146"/>
        <v>1</v>
      </c>
      <c r="R710" s="186">
        <f t="shared" si="146"/>
        <v>0</v>
      </c>
      <c r="S710" s="1"/>
      <c r="T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R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86">
        <f t="shared" si="147"/>
        <v>2</v>
      </c>
      <c r="N711" s="186">
        <f t="shared" si="147"/>
        <v>1</v>
      </c>
      <c r="O711" s="186">
        <f t="shared" si="147"/>
        <v>0</v>
      </c>
      <c r="P711" s="186">
        <f t="shared" si="147"/>
        <v>1</v>
      </c>
      <c r="Q711" s="186">
        <f t="shared" si="147"/>
        <v>0</v>
      </c>
      <c r="R711" s="186">
        <f t="shared" si="147"/>
        <v>1</v>
      </c>
      <c r="S711" s="1"/>
      <c r="T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R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86">
        <f t="shared" si="148"/>
        <v>0</v>
      </c>
      <c r="N712" s="186">
        <f t="shared" si="148"/>
        <v>2</v>
      </c>
      <c r="O712" s="186">
        <f t="shared" si="148"/>
        <v>1</v>
      </c>
      <c r="P712" s="186">
        <f t="shared" si="148"/>
        <v>0</v>
      </c>
      <c r="Q712" s="186">
        <f t="shared" si="148"/>
        <v>1</v>
      </c>
      <c r="R712" s="186">
        <f t="shared" si="148"/>
        <v>0</v>
      </c>
      <c r="S712" s="1"/>
      <c r="T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R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86">
        <f t="shared" si="149"/>
        <v>0</v>
      </c>
      <c r="N713" s="186">
        <f t="shared" si="149"/>
        <v>0</v>
      </c>
      <c r="O713" s="186">
        <f t="shared" si="149"/>
        <v>2</v>
      </c>
      <c r="P713" s="186">
        <f t="shared" si="149"/>
        <v>1</v>
      </c>
      <c r="Q713" s="186">
        <f t="shared" si="149"/>
        <v>0</v>
      </c>
      <c r="R713" s="186">
        <f t="shared" si="149"/>
        <v>1</v>
      </c>
      <c r="S713" s="1"/>
      <c r="T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R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86">
        <f t="shared" si="150"/>
        <v>0</v>
      </c>
      <c r="N714" s="186">
        <f t="shared" si="150"/>
        <v>0</v>
      </c>
      <c r="O714" s="186">
        <f t="shared" si="150"/>
        <v>0</v>
      </c>
      <c r="P714" s="186">
        <f t="shared" si="150"/>
        <v>2</v>
      </c>
      <c r="Q714" s="186">
        <f t="shared" si="150"/>
        <v>1</v>
      </c>
      <c r="R714" s="186">
        <f t="shared" si="150"/>
        <v>0</v>
      </c>
      <c r="S714" s="1"/>
      <c r="T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R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86">
        <f t="shared" si="151"/>
        <v>0</v>
      </c>
      <c r="N715" s="186">
        <f t="shared" si="151"/>
        <v>0</v>
      </c>
      <c r="O715" s="186">
        <f t="shared" si="151"/>
        <v>0</v>
      </c>
      <c r="P715" s="186">
        <f t="shared" si="151"/>
        <v>0</v>
      </c>
      <c r="Q715" s="186">
        <f t="shared" si="151"/>
        <v>2</v>
      </c>
      <c r="R715" s="186">
        <f t="shared" si="151"/>
        <v>1</v>
      </c>
      <c r="S715" s="1"/>
      <c r="T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R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86">
        <f t="shared" si="152"/>
        <v>0</v>
      </c>
      <c r="N716" s="186">
        <f t="shared" si="152"/>
        <v>0</v>
      </c>
      <c r="O716" s="186">
        <f t="shared" si="152"/>
        <v>0</v>
      </c>
      <c r="P716" s="186">
        <f t="shared" si="152"/>
        <v>0</v>
      </c>
      <c r="Q716" s="186">
        <f t="shared" si="152"/>
        <v>0</v>
      </c>
      <c r="R716" s="186">
        <f t="shared" si="152"/>
        <v>2</v>
      </c>
      <c r="S716" s="1"/>
      <c r="T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R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86">
        <f t="shared" si="153"/>
        <v>0</v>
      </c>
      <c r="N717" s="186">
        <f t="shared" si="153"/>
        <v>0</v>
      </c>
      <c r="O717" s="186">
        <f t="shared" si="153"/>
        <v>0</v>
      </c>
      <c r="P717" s="186">
        <f t="shared" si="153"/>
        <v>0</v>
      </c>
      <c r="Q717" s="186">
        <f t="shared" si="153"/>
        <v>0</v>
      </c>
      <c r="R717" s="186">
        <f t="shared" si="153"/>
        <v>0</v>
      </c>
      <c r="S717" s="1"/>
      <c r="T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"/>
      <c r="T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"/>
      <c r="T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R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100800</v>
      </c>
      <c r="L720" s="184">
        <f t="shared" si="154"/>
        <v>52800</v>
      </c>
      <c r="M720" s="184">
        <f t="shared" si="154"/>
        <v>128640</v>
      </c>
      <c r="N720" s="184">
        <f t="shared" si="154"/>
        <v>80640</v>
      </c>
      <c r="O720" s="184">
        <f t="shared" si="154"/>
        <v>141312</v>
      </c>
      <c r="P720" s="184">
        <f t="shared" si="154"/>
        <v>93312</v>
      </c>
      <c r="Q720" s="184">
        <f t="shared" si="154"/>
        <v>132249.6</v>
      </c>
      <c r="R720" s="184">
        <f t="shared" si="154"/>
        <v>93849.6</v>
      </c>
      <c r="S720" s="1"/>
      <c r="T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R721" si="155">SUM(H722:H733)</f>
        <v>0</v>
      </c>
      <c r="I721" s="184">
        <f t="shared" si="155"/>
        <v>126000</v>
      </c>
      <c r="J721" s="184">
        <f t="shared" si="155"/>
        <v>66000</v>
      </c>
      <c r="K721" s="184">
        <f t="shared" si="155"/>
        <v>160800</v>
      </c>
      <c r="L721" s="184">
        <f t="shared" si="155"/>
        <v>100800</v>
      </c>
      <c r="M721" s="184">
        <f t="shared" si="155"/>
        <v>176640</v>
      </c>
      <c r="N721" s="184">
        <f t="shared" si="155"/>
        <v>116640</v>
      </c>
      <c r="O721" s="184">
        <f t="shared" si="155"/>
        <v>165312</v>
      </c>
      <c r="P721" s="184">
        <f t="shared" si="155"/>
        <v>117312</v>
      </c>
      <c r="Q721" s="184">
        <f t="shared" si="155"/>
        <v>132249.6</v>
      </c>
      <c r="R721" s="184">
        <f t="shared" si="155"/>
        <v>93849.6</v>
      </c>
      <c r="S721" s="1"/>
      <c r="T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R722" si="156">IF(COLUMN() &lt; (COLUMN($H$722) + (ROW()-ROW($H$722))), 0, IF(COLUMN() = (COLUMN($H$722) + (ROW()-ROW($H$722))), INDEX($H$704:$R$704,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86">
        <f t="shared" si="156"/>
        <v>0</v>
      </c>
      <c r="N722" s="186">
        <f t="shared" si="156"/>
        <v>0</v>
      </c>
      <c r="O722" s="186">
        <f t="shared" si="156"/>
        <v>0</v>
      </c>
      <c r="P722" s="186">
        <f t="shared" si="156"/>
        <v>0</v>
      </c>
      <c r="Q722" s="186">
        <f t="shared" si="156"/>
        <v>0</v>
      </c>
      <c r="R722" s="186">
        <f t="shared" si="156"/>
        <v>0</v>
      </c>
      <c r="S722" s="1"/>
      <c r="T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R723" si="157">IF(COLUMN() &lt; (COLUMN($H$722) + (ROW()-ROW($H$722))), 0, IF(COLUMN() = (COLUMN($H$722) + (ROW()-ROW($H$722))), INDEX($H$704:$R$704, 1, COLUMN()-COLUMN($H$704)+1), IF(H707=0, OFFSET(H723, 0, -$H$705) * $H$719, 0)))</f>
        <v>0</v>
      </c>
      <c r="I723" s="186">
        <f t="shared" si="157"/>
        <v>126000</v>
      </c>
      <c r="J723" s="186">
        <f t="shared" si="157"/>
        <v>0</v>
      </c>
      <c r="K723" s="186">
        <f t="shared" si="157"/>
        <v>100800</v>
      </c>
      <c r="L723" s="186">
        <f t="shared" si="157"/>
        <v>0</v>
      </c>
      <c r="M723" s="186">
        <f t="shared" si="157"/>
        <v>80640</v>
      </c>
      <c r="N723" s="186">
        <f t="shared" si="157"/>
        <v>0</v>
      </c>
      <c r="O723" s="186">
        <f t="shared" si="157"/>
        <v>64512</v>
      </c>
      <c r="P723" s="186">
        <f t="shared" si="157"/>
        <v>0</v>
      </c>
      <c r="Q723" s="186">
        <f t="shared" si="157"/>
        <v>51609.6</v>
      </c>
      <c r="R723" s="186">
        <f t="shared" si="157"/>
        <v>0</v>
      </c>
      <c r="S723" s="1"/>
      <c r="T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R724" si="158">IF(COLUMN() &lt; (COLUMN($H$722) + (ROW()-ROW($H$722))), 0, IF(COLUMN() = (COLUMN($H$722) + (ROW()-ROW($H$722))), INDEX($H$704:$R$704, 1, COLUMN()-COLUMN($H$704)+1), IF(H708=0, OFFSET(H724, 0, -$H$705) * $H$719, 0)))</f>
        <v>0</v>
      </c>
      <c r="I724" s="186">
        <f t="shared" si="158"/>
        <v>0</v>
      </c>
      <c r="J724" s="186">
        <f t="shared" si="158"/>
        <v>66000</v>
      </c>
      <c r="K724" s="186">
        <f t="shared" si="158"/>
        <v>0</v>
      </c>
      <c r="L724" s="186">
        <f t="shared" si="158"/>
        <v>52800</v>
      </c>
      <c r="M724" s="186">
        <f t="shared" si="158"/>
        <v>0</v>
      </c>
      <c r="N724" s="186">
        <f t="shared" si="158"/>
        <v>42240</v>
      </c>
      <c r="O724" s="186">
        <f t="shared" si="158"/>
        <v>0</v>
      </c>
      <c r="P724" s="186">
        <f t="shared" si="158"/>
        <v>33792</v>
      </c>
      <c r="Q724" s="186">
        <f t="shared" si="158"/>
        <v>0</v>
      </c>
      <c r="R724" s="186">
        <f t="shared" si="158"/>
        <v>27033.6</v>
      </c>
      <c r="S724" s="1"/>
      <c r="T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R725" si="159">IF(COLUMN() &lt; (COLUMN($H$722) + (ROW()-ROW($H$722))), 0, IF(COLUMN() = (COLUMN($H$722) + (ROW()-ROW($H$722))), INDEX($H$704:$R$704,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60000</v>
      </c>
      <c r="L725" s="186">
        <f t="shared" si="159"/>
        <v>0</v>
      </c>
      <c r="M725" s="186">
        <f t="shared" si="159"/>
        <v>48000</v>
      </c>
      <c r="N725" s="186">
        <f t="shared" si="159"/>
        <v>0</v>
      </c>
      <c r="O725" s="186">
        <f t="shared" si="159"/>
        <v>38400</v>
      </c>
      <c r="P725" s="186">
        <f t="shared" si="159"/>
        <v>0</v>
      </c>
      <c r="Q725" s="186">
        <f t="shared" si="159"/>
        <v>30720</v>
      </c>
      <c r="R725" s="186">
        <f t="shared" si="159"/>
        <v>0</v>
      </c>
      <c r="S725" s="1"/>
      <c r="T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R726" si="160">IF(COLUMN() &lt; (COLUMN($H$722) + (ROW()-ROW($H$722))), 0, IF(COLUMN() = (COLUMN($H$722) + (ROW()-ROW($H$722))), INDEX($H$704:$R$704,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48000</v>
      </c>
      <c r="M726" s="186">
        <f t="shared" si="160"/>
        <v>0</v>
      </c>
      <c r="N726" s="186">
        <f t="shared" si="160"/>
        <v>38400</v>
      </c>
      <c r="O726" s="186">
        <f t="shared" si="160"/>
        <v>0</v>
      </c>
      <c r="P726" s="186">
        <f t="shared" si="160"/>
        <v>30720</v>
      </c>
      <c r="Q726" s="186">
        <f t="shared" si="160"/>
        <v>0</v>
      </c>
      <c r="R726" s="186">
        <f t="shared" si="160"/>
        <v>24576</v>
      </c>
      <c r="S726" s="1"/>
      <c r="T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R727" si="161">IF(COLUMN() &lt; (COLUMN($H$722) + (ROW()-ROW($H$722))), 0, IF(COLUMN() = (COLUMN($H$722) + (ROW()-ROW($H$722))), INDEX($H$704:$R$704,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86">
        <f t="shared" si="161"/>
        <v>48000</v>
      </c>
      <c r="N727" s="186">
        <f t="shared" si="161"/>
        <v>0</v>
      </c>
      <c r="O727" s="186">
        <f t="shared" si="161"/>
        <v>38400</v>
      </c>
      <c r="P727" s="186">
        <f t="shared" si="161"/>
        <v>0</v>
      </c>
      <c r="Q727" s="186">
        <f t="shared" si="161"/>
        <v>30720</v>
      </c>
      <c r="R727" s="186">
        <f t="shared" si="161"/>
        <v>0</v>
      </c>
      <c r="S727" s="1"/>
      <c r="T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R728" si="162">IF(COLUMN() &lt; (COLUMN($H$722) + (ROW()-ROW($H$722))), 0, IF(COLUMN() = (COLUMN($H$722) + (ROW()-ROW($H$722))), INDEX($H$704:$R$704,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86">
        <f t="shared" si="162"/>
        <v>0</v>
      </c>
      <c r="N728" s="186">
        <f t="shared" si="162"/>
        <v>36000</v>
      </c>
      <c r="O728" s="186">
        <f t="shared" si="162"/>
        <v>0</v>
      </c>
      <c r="P728" s="186">
        <f t="shared" si="162"/>
        <v>28800</v>
      </c>
      <c r="Q728" s="186">
        <f t="shared" si="162"/>
        <v>0</v>
      </c>
      <c r="R728" s="186">
        <f t="shared" si="162"/>
        <v>23040</v>
      </c>
      <c r="S728" s="1"/>
      <c r="T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R729" si="163">IF(COLUMN() &lt; (COLUMN($H$722) + (ROW()-ROW($H$722))), 0, IF(COLUMN() = (COLUMN($H$722) + (ROW()-ROW($H$722))), INDEX($H$704:$R$704,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86">
        <f t="shared" si="163"/>
        <v>0</v>
      </c>
      <c r="N729" s="186">
        <f t="shared" si="163"/>
        <v>0</v>
      </c>
      <c r="O729" s="186">
        <f t="shared" si="163"/>
        <v>24000</v>
      </c>
      <c r="P729" s="186">
        <f t="shared" si="163"/>
        <v>0</v>
      </c>
      <c r="Q729" s="186">
        <f t="shared" si="163"/>
        <v>19200</v>
      </c>
      <c r="R729" s="186">
        <f t="shared" si="163"/>
        <v>0</v>
      </c>
      <c r="S729" s="1"/>
      <c r="T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R730" si="164">IF(COLUMN() &lt; (COLUMN($H$722) + (ROW()-ROW($H$722))), 0, IF(COLUMN() = (COLUMN($H$722) + (ROW()-ROW($H$722))), INDEX($H$704:$R$704,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86">
        <f t="shared" si="164"/>
        <v>0</v>
      </c>
      <c r="N730" s="186">
        <f t="shared" si="164"/>
        <v>0</v>
      </c>
      <c r="O730" s="186">
        <f t="shared" si="164"/>
        <v>0</v>
      </c>
      <c r="P730" s="186">
        <f t="shared" si="164"/>
        <v>24000</v>
      </c>
      <c r="Q730" s="186">
        <f t="shared" si="164"/>
        <v>0</v>
      </c>
      <c r="R730" s="186">
        <f t="shared" si="164"/>
        <v>19200</v>
      </c>
      <c r="S730" s="1"/>
      <c r="T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R731" si="165">IF(COLUMN() &lt; (COLUMN($H$722) + (ROW()-ROW($H$722))), 0, IF(COLUMN() = (COLUMN($H$722) + (ROW()-ROW($H$722))), INDEX($H$704:$R$704,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86">
        <f t="shared" si="165"/>
        <v>0</v>
      </c>
      <c r="N731" s="186">
        <f t="shared" si="165"/>
        <v>0</v>
      </c>
      <c r="O731" s="186">
        <f t="shared" si="165"/>
        <v>0</v>
      </c>
      <c r="P731" s="186">
        <f t="shared" si="165"/>
        <v>0</v>
      </c>
      <c r="Q731" s="186">
        <f t="shared" si="165"/>
        <v>0</v>
      </c>
      <c r="R731" s="186">
        <f t="shared" si="165"/>
        <v>0</v>
      </c>
      <c r="S731" s="1"/>
      <c r="T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R732" si="166">IF(COLUMN() &lt; (COLUMN($H$722) + (ROW()-ROW($H$722))), 0, IF(COLUMN() = (COLUMN($H$722) + (ROW()-ROW($H$722))), INDEX($H$704:$R$704,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86">
        <f t="shared" si="166"/>
        <v>0</v>
      </c>
      <c r="N732" s="186">
        <f t="shared" si="166"/>
        <v>0</v>
      </c>
      <c r="O732" s="186">
        <f t="shared" si="166"/>
        <v>0</v>
      </c>
      <c r="P732" s="186">
        <f t="shared" si="166"/>
        <v>0</v>
      </c>
      <c r="Q732" s="186">
        <f t="shared" si="166"/>
        <v>0</v>
      </c>
      <c r="R732" s="186">
        <f t="shared" si="166"/>
        <v>0</v>
      </c>
      <c r="S732" s="1"/>
      <c r="T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R733" si="167">IF(COLUMN() &lt; (COLUMN($H$722) + (ROW()-ROW($H$722))), 0, IF(COLUMN() = (COLUMN($H$722) + (ROW()-ROW($H$722))), INDEX($H$704:$R$704,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86">
        <f t="shared" si="167"/>
        <v>0</v>
      </c>
      <c r="N733" s="186">
        <f t="shared" si="167"/>
        <v>0</v>
      </c>
      <c r="O733" s="186">
        <f t="shared" si="167"/>
        <v>0</v>
      </c>
      <c r="P733" s="186">
        <f t="shared" si="167"/>
        <v>0</v>
      </c>
      <c r="Q733" s="186">
        <f t="shared" si="167"/>
        <v>0</v>
      </c>
      <c r="R733" s="186">
        <f t="shared" si="167"/>
        <v>0</v>
      </c>
      <c r="S733" s="1"/>
      <c r="T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"/>
      <c r="T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R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84">
        <f t="shared" si="168"/>
        <v>0</v>
      </c>
      <c r="M735" s="184">
        <f t="shared" si="168"/>
        <v>0</v>
      </c>
      <c r="N735" s="184">
        <f t="shared" si="168"/>
        <v>0</v>
      </c>
      <c r="O735" s="184">
        <f t="shared" si="168"/>
        <v>574182</v>
      </c>
      <c r="P735" s="184">
        <f t="shared" si="168"/>
        <v>159600</v>
      </c>
      <c r="Q735" s="184">
        <f t="shared" si="168"/>
        <v>84000</v>
      </c>
      <c r="R735" s="184">
        <f t="shared" si="168"/>
        <v>75600</v>
      </c>
      <c r="S735" s="1"/>
      <c r="T735" s="1"/>
    </row>
    <row r="736">
      <c r="A736" s="1"/>
      <c r="B736" s="1"/>
      <c r="C736" s="1"/>
      <c r="D736" s="1"/>
      <c r="E736" s="1"/>
      <c r="F736" s="13" t="str">
        <f t="shared" ref="F736:R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798000</v>
      </c>
      <c r="J736" s="180">
        <f t="shared" si="169"/>
        <v>420000</v>
      </c>
      <c r="K736" s="180">
        <f t="shared" si="169"/>
        <v>378000</v>
      </c>
      <c r="L736" s="180">
        <f t="shared" si="169"/>
        <v>252000</v>
      </c>
      <c r="M736" s="180">
        <f t="shared" si="169"/>
        <v>252000</v>
      </c>
      <c r="N736" s="180">
        <f t="shared" si="169"/>
        <v>168000</v>
      </c>
      <c r="O736" s="180">
        <f t="shared" si="169"/>
        <v>126000</v>
      </c>
      <c r="P736" s="180">
        <f t="shared" si="169"/>
        <v>84000</v>
      </c>
      <c r="Q736" s="180">
        <f t="shared" si="169"/>
        <v>0</v>
      </c>
      <c r="R736" s="180">
        <f t="shared" si="169"/>
        <v>0</v>
      </c>
      <c r="S736" s="1"/>
      <c r="T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R737" si="170">H486</f>
        <v>2870910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84" t="str">
        <f t="shared" si="170"/>
        <v/>
      </c>
      <c r="M737" s="184" t="str">
        <f t="shared" si="170"/>
        <v/>
      </c>
      <c r="N737" s="184" t="str">
        <f t="shared" si="170"/>
        <v/>
      </c>
      <c r="O737" s="184" t="str">
        <f t="shared" si="170"/>
        <v/>
      </c>
      <c r="P737" s="184" t="str">
        <f t="shared" si="170"/>
        <v/>
      </c>
      <c r="Q737" s="184" t="str">
        <f t="shared" si="170"/>
        <v/>
      </c>
      <c r="R737" s="184" t="str">
        <f t="shared" si="170"/>
        <v/>
      </c>
      <c r="S737" s="1"/>
      <c r="T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R738" si="171">SUM(H736:H737)</f>
        <v>2870910</v>
      </c>
      <c r="I738" s="184">
        <f t="shared" si="171"/>
        <v>798000</v>
      </c>
      <c r="J738" s="184">
        <f t="shared" si="171"/>
        <v>420000</v>
      </c>
      <c r="K738" s="184">
        <f t="shared" si="171"/>
        <v>378000</v>
      </c>
      <c r="L738" s="184">
        <f t="shared" si="171"/>
        <v>252000</v>
      </c>
      <c r="M738" s="184">
        <f t="shared" si="171"/>
        <v>252000</v>
      </c>
      <c r="N738" s="184">
        <f t="shared" si="171"/>
        <v>168000</v>
      </c>
      <c r="O738" s="184">
        <f t="shared" si="171"/>
        <v>126000</v>
      </c>
      <c r="P738" s="184">
        <f t="shared" si="171"/>
        <v>84000</v>
      </c>
      <c r="Q738" s="184">
        <f t="shared" si="171"/>
        <v>0</v>
      </c>
      <c r="R738" s="184">
        <f t="shared" si="171"/>
        <v>0</v>
      </c>
      <c r="S738" s="1"/>
      <c r="T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"/>
      <c r="T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R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86">
        <f t="shared" si="172"/>
        <v>3</v>
      </c>
      <c r="M740" s="186">
        <f t="shared" si="172"/>
        <v>2</v>
      </c>
      <c r="N740" s="186">
        <f t="shared" si="172"/>
        <v>1</v>
      </c>
      <c r="O740" s="186">
        <f t="shared" si="172"/>
        <v>0</v>
      </c>
      <c r="P740" s="186">
        <f t="shared" si="172"/>
        <v>6</v>
      </c>
      <c r="Q740" s="186">
        <f t="shared" si="172"/>
        <v>5</v>
      </c>
      <c r="R740" s="186">
        <f t="shared" si="172"/>
        <v>4</v>
      </c>
      <c r="S740" s="1"/>
      <c r="T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R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86">
        <f t="shared" si="173"/>
        <v>4</v>
      </c>
      <c r="M741" s="186">
        <f t="shared" si="173"/>
        <v>3</v>
      </c>
      <c r="N741" s="186">
        <f t="shared" si="173"/>
        <v>2</v>
      </c>
      <c r="O741" s="186">
        <f t="shared" si="173"/>
        <v>1</v>
      </c>
      <c r="P741" s="186">
        <f t="shared" si="173"/>
        <v>0</v>
      </c>
      <c r="Q741" s="186">
        <f t="shared" si="173"/>
        <v>6</v>
      </c>
      <c r="R741" s="186">
        <f t="shared" si="173"/>
        <v>5</v>
      </c>
      <c r="S741" s="1"/>
      <c r="T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R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86">
        <f t="shared" si="174"/>
        <v>5</v>
      </c>
      <c r="M742" s="186">
        <f t="shared" si="174"/>
        <v>4</v>
      </c>
      <c r="N742" s="186">
        <f t="shared" si="174"/>
        <v>3</v>
      </c>
      <c r="O742" s="186">
        <f t="shared" si="174"/>
        <v>2</v>
      </c>
      <c r="P742" s="186">
        <f t="shared" si="174"/>
        <v>1</v>
      </c>
      <c r="Q742" s="186">
        <f t="shared" si="174"/>
        <v>0</v>
      </c>
      <c r="R742" s="186">
        <f t="shared" si="174"/>
        <v>6</v>
      </c>
      <c r="S742" s="1"/>
      <c r="T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R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86">
        <f t="shared" si="175"/>
        <v>6</v>
      </c>
      <c r="M743" s="186">
        <f t="shared" si="175"/>
        <v>5</v>
      </c>
      <c r="N743" s="186">
        <f t="shared" si="175"/>
        <v>4</v>
      </c>
      <c r="O743" s="186">
        <f t="shared" si="175"/>
        <v>3</v>
      </c>
      <c r="P743" s="186">
        <f t="shared" si="175"/>
        <v>2</v>
      </c>
      <c r="Q743" s="186">
        <f t="shared" si="175"/>
        <v>1</v>
      </c>
      <c r="R743" s="186">
        <f t="shared" si="175"/>
        <v>0</v>
      </c>
      <c r="S743" s="1"/>
      <c r="T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R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86">
        <f t="shared" si="176"/>
        <v>7</v>
      </c>
      <c r="M744" s="186">
        <f t="shared" si="176"/>
        <v>6</v>
      </c>
      <c r="N744" s="186">
        <f t="shared" si="176"/>
        <v>5</v>
      </c>
      <c r="O744" s="186">
        <f t="shared" si="176"/>
        <v>4</v>
      </c>
      <c r="P744" s="186">
        <f t="shared" si="176"/>
        <v>3</v>
      </c>
      <c r="Q744" s="186">
        <f t="shared" si="176"/>
        <v>2</v>
      </c>
      <c r="R744" s="186">
        <f t="shared" si="176"/>
        <v>1</v>
      </c>
      <c r="S744" s="1"/>
      <c r="T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R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86">
        <f t="shared" si="177"/>
        <v>0</v>
      </c>
      <c r="M745" s="186">
        <f t="shared" si="177"/>
        <v>7</v>
      </c>
      <c r="N745" s="186">
        <f t="shared" si="177"/>
        <v>6</v>
      </c>
      <c r="O745" s="186">
        <f t="shared" si="177"/>
        <v>5</v>
      </c>
      <c r="P745" s="186">
        <f t="shared" si="177"/>
        <v>4</v>
      </c>
      <c r="Q745" s="186">
        <f t="shared" si="177"/>
        <v>3</v>
      </c>
      <c r="R745" s="186">
        <f t="shared" si="177"/>
        <v>2</v>
      </c>
      <c r="S745" s="1"/>
      <c r="T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R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86">
        <f t="shared" si="178"/>
        <v>0</v>
      </c>
      <c r="M746" s="186">
        <f t="shared" si="178"/>
        <v>0</v>
      </c>
      <c r="N746" s="186">
        <f t="shared" si="178"/>
        <v>7</v>
      </c>
      <c r="O746" s="186">
        <f t="shared" si="178"/>
        <v>6</v>
      </c>
      <c r="P746" s="186">
        <f t="shared" si="178"/>
        <v>5</v>
      </c>
      <c r="Q746" s="186">
        <f t="shared" si="178"/>
        <v>4</v>
      </c>
      <c r="R746" s="186">
        <f t="shared" si="178"/>
        <v>3</v>
      </c>
      <c r="S746" s="1"/>
      <c r="T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R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86">
        <f t="shared" si="179"/>
        <v>0</v>
      </c>
      <c r="M747" s="186">
        <f t="shared" si="179"/>
        <v>0</v>
      </c>
      <c r="N747" s="186">
        <f t="shared" si="179"/>
        <v>0</v>
      </c>
      <c r="O747" s="186">
        <f t="shared" si="179"/>
        <v>7</v>
      </c>
      <c r="P747" s="186">
        <f t="shared" si="179"/>
        <v>6</v>
      </c>
      <c r="Q747" s="186">
        <f t="shared" si="179"/>
        <v>5</v>
      </c>
      <c r="R747" s="186">
        <f t="shared" si="179"/>
        <v>4</v>
      </c>
      <c r="S747" s="1"/>
      <c r="T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R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86">
        <f t="shared" si="180"/>
        <v>0</v>
      </c>
      <c r="M748" s="186">
        <f t="shared" si="180"/>
        <v>0</v>
      </c>
      <c r="N748" s="186">
        <f t="shared" si="180"/>
        <v>0</v>
      </c>
      <c r="O748" s="186">
        <f t="shared" si="180"/>
        <v>0</v>
      </c>
      <c r="P748" s="186">
        <f t="shared" si="180"/>
        <v>7</v>
      </c>
      <c r="Q748" s="186">
        <f t="shared" si="180"/>
        <v>6</v>
      </c>
      <c r="R748" s="186">
        <f t="shared" si="180"/>
        <v>5</v>
      </c>
      <c r="S748" s="1"/>
      <c r="T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R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86">
        <f t="shared" si="181"/>
        <v>0</v>
      </c>
      <c r="M749" s="186">
        <f t="shared" si="181"/>
        <v>0</v>
      </c>
      <c r="N749" s="186">
        <f t="shared" si="181"/>
        <v>0</v>
      </c>
      <c r="O749" s="186">
        <f t="shared" si="181"/>
        <v>0</v>
      </c>
      <c r="P749" s="186">
        <f t="shared" si="181"/>
        <v>0</v>
      </c>
      <c r="Q749" s="186">
        <f t="shared" si="181"/>
        <v>7</v>
      </c>
      <c r="R749" s="186">
        <f t="shared" si="181"/>
        <v>6</v>
      </c>
      <c r="S749" s="1"/>
      <c r="T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R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86">
        <f t="shared" si="182"/>
        <v>0</v>
      </c>
      <c r="M750" s="186">
        <f t="shared" si="182"/>
        <v>0</v>
      </c>
      <c r="N750" s="186">
        <f t="shared" si="182"/>
        <v>0</v>
      </c>
      <c r="O750" s="186">
        <f t="shared" si="182"/>
        <v>0</v>
      </c>
      <c r="P750" s="186">
        <f t="shared" si="182"/>
        <v>0</v>
      </c>
      <c r="Q750" s="186">
        <f t="shared" si="182"/>
        <v>0</v>
      </c>
      <c r="R750" s="186">
        <f t="shared" si="182"/>
        <v>7</v>
      </c>
      <c r="S750" s="1"/>
      <c r="T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R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86">
        <f t="shared" si="183"/>
        <v>0</v>
      </c>
      <c r="M751" s="186">
        <f t="shared" si="183"/>
        <v>0</v>
      </c>
      <c r="N751" s="186">
        <f t="shared" si="183"/>
        <v>0</v>
      </c>
      <c r="O751" s="186">
        <f t="shared" si="183"/>
        <v>0</v>
      </c>
      <c r="P751" s="186">
        <f t="shared" si="183"/>
        <v>0</v>
      </c>
      <c r="Q751" s="186">
        <f t="shared" si="183"/>
        <v>0</v>
      </c>
      <c r="R751" s="186">
        <f t="shared" si="183"/>
        <v>0</v>
      </c>
      <c r="S751" s="1"/>
      <c r="T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"/>
      <c r="T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"/>
      <c r="T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R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84">
        <f t="shared" si="184"/>
        <v>0</v>
      </c>
      <c r="M754" s="184">
        <f t="shared" si="184"/>
        <v>0</v>
      </c>
      <c r="N754" s="184">
        <f t="shared" si="184"/>
        <v>0</v>
      </c>
      <c r="O754" s="184">
        <f t="shared" si="184"/>
        <v>574182</v>
      </c>
      <c r="P754" s="184">
        <f t="shared" si="184"/>
        <v>159600</v>
      </c>
      <c r="Q754" s="184">
        <f t="shared" si="184"/>
        <v>84000</v>
      </c>
      <c r="R754" s="184">
        <f t="shared" si="184"/>
        <v>75600</v>
      </c>
      <c r="S754" s="1"/>
      <c r="T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R755" si="185">SUM(H756:H767)</f>
        <v>2870910</v>
      </c>
      <c r="I755" s="184">
        <f t="shared" si="185"/>
        <v>798000</v>
      </c>
      <c r="J755" s="184">
        <f t="shared" si="185"/>
        <v>420000</v>
      </c>
      <c r="K755" s="184">
        <f t="shared" si="185"/>
        <v>378000</v>
      </c>
      <c r="L755" s="184">
        <f t="shared" si="185"/>
        <v>252000</v>
      </c>
      <c r="M755" s="184">
        <f t="shared" si="185"/>
        <v>252000</v>
      </c>
      <c r="N755" s="184">
        <f t="shared" si="185"/>
        <v>168000</v>
      </c>
      <c r="O755" s="184">
        <f t="shared" si="185"/>
        <v>700182</v>
      </c>
      <c r="P755" s="184">
        <f t="shared" si="185"/>
        <v>243600</v>
      </c>
      <c r="Q755" s="184">
        <f t="shared" si="185"/>
        <v>84000</v>
      </c>
      <c r="R755" s="184">
        <f t="shared" si="185"/>
        <v>75600</v>
      </c>
      <c r="S755" s="1"/>
      <c r="T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R756" si="186">IF(COLUMN() &lt; (COLUMN($H$756) + (ROW()-ROW($H$756))), 0, IF(COLUMN() = (COLUMN($H$756) + (ROW()-ROW($H$756))), INDEX($H$738:$R$738, 1, COLUMN()-COLUMN($H$738)+1), IF(H740=0, OFFSET(H756, 0, -$H$739) * $H$753, 0)))</f>
        <v>2870910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86">
        <f t="shared" si="186"/>
        <v>0</v>
      </c>
      <c r="M756" s="186">
        <f t="shared" si="186"/>
        <v>0</v>
      </c>
      <c r="N756" s="186">
        <f t="shared" si="186"/>
        <v>0</v>
      </c>
      <c r="O756" s="186">
        <f t="shared" si="186"/>
        <v>574182</v>
      </c>
      <c r="P756" s="186">
        <f t="shared" si="186"/>
        <v>0</v>
      </c>
      <c r="Q756" s="186">
        <f t="shared" si="186"/>
        <v>0</v>
      </c>
      <c r="R756" s="186">
        <f t="shared" si="186"/>
        <v>0</v>
      </c>
      <c r="S756" s="1"/>
      <c r="T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R757" si="187">IF(COLUMN() &lt; (COLUMN($H$756) + (ROW()-ROW($H$756))), 0, IF(COLUMN() = (COLUMN($H$756) + (ROW()-ROW($H$756))), INDEX($H$738:$R$738, 1, COLUMN()-COLUMN($H$738)+1), IF(H741=0, OFFSET(H757, 0, -$H$739) * $H$753, 0)))</f>
        <v>0</v>
      </c>
      <c r="I757" s="186">
        <f t="shared" si="187"/>
        <v>798000</v>
      </c>
      <c r="J757" s="186">
        <f t="shared" si="187"/>
        <v>0</v>
      </c>
      <c r="K757" s="186">
        <f t="shared" si="187"/>
        <v>0</v>
      </c>
      <c r="L757" s="186">
        <f t="shared" si="187"/>
        <v>0</v>
      </c>
      <c r="M757" s="186">
        <f t="shared" si="187"/>
        <v>0</v>
      </c>
      <c r="N757" s="186">
        <f t="shared" si="187"/>
        <v>0</v>
      </c>
      <c r="O757" s="186">
        <f t="shared" si="187"/>
        <v>0</v>
      </c>
      <c r="P757" s="186">
        <f t="shared" si="187"/>
        <v>159600</v>
      </c>
      <c r="Q757" s="186">
        <f t="shared" si="187"/>
        <v>0</v>
      </c>
      <c r="R757" s="186">
        <f t="shared" si="187"/>
        <v>0</v>
      </c>
      <c r="S757" s="1"/>
      <c r="T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R758" si="188">IF(COLUMN() &lt; (COLUMN($H$756) + (ROW()-ROW($H$756))), 0, IF(COLUMN() = (COLUMN($H$756) + (ROW()-ROW($H$756))), INDEX($H$738:$R$738, 1, COLUMN()-COLUMN($H$738)+1), IF(H742=0, OFFSET(H758, 0, -$H$739) * $H$753, 0)))</f>
        <v>0</v>
      </c>
      <c r="I758" s="186">
        <f t="shared" si="188"/>
        <v>0</v>
      </c>
      <c r="J758" s="186">
        <f t="shared" si="188"/>
        <v>420000</v>
      </c>
      <c r="K758" s="186">
        <f t="shared" si="188"/>
        <v>0</v>
      </c>
      <c r="L758" s="186">
        <f t="shared" si="188"/>
        <v>0</v>
      </c>
      <c r="M758" s="186">
        <f t="shared" si="188"/>
        <v>0</v>
      </c>
      <c r="N758" s="186">
        <f t="shared" si="188"/>
        <v>0</v>
      </c>
      <c r="O758" s="186">
        <f t="shared" si="188"/>
        <v>0</v>
      </c>
      <c r="P758" s="186">
        <f t="shared" si="188"/>
        <v>0</v>
      </c>
      <c r="Q758" s="186">
        <f t="shared" si="188"/>
        <v>84000</v>
      </c>
      <c r="R758" s="186">
        <f t="shared" si="188"/>
        <v>0</v>
      </c>
      <c r="S758" s="1"/>
      <c r="T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R759" si="189">IF(COLUMN() &lt; (COLUMN($H$756) + (ROW()-ROW($H$756))), 0, IF(COLUMN() = (COLUMN($H$756) + (ROW()-ROW($H$756))), INDEX($H$738:$R$738,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378000</v>
      </c>
      <c r="L759" s="186">
        <f t="shared" si="189"/>
        <v>0</v>
      </c>
      <c r="M759" s="186">
        <f t="shared" si="189"/>
        <v>0</v>
      </c>
      <c r="N759" s="186">
        <f t="shared" si="189"/>
        <v>0</v>
      </c>
      <c r="O759" s="186">
        <f t="shared" si="189"/>
        <v>0</v>
      </c>
      <c r="P759" s="186">
        <f t="shared" si="189"/>
        <v>0</v>
      </c>
      <c r="Q759" s="186">
        <f t="shared" si="189"/>
        <v>0</v>
      </c>
      <c r="R759" s="186">
        <f t="shared" si="189"/>
        <v>75600</v>
      </c>
      <c r="S759" s="1"/>
      <c r="T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R760" si="190">IF(COLUMN() &lt; (COLUMN($H$756) + (ROW()-ROW($H$756))), 0, IF(COLUMN() = (COLUMN($H$756) + (ROW()-ROW($H$756))), INDEX($H$738:$R$738,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86">
        <f t="shared" si="190"/>
        <v>252000</v>
      </c>
      <c r="M760" s="186">
        <f t="shared" si="190"/>
        <v>0</v>
      </c>
      <c r="N760" s="186">
        <f t="shared" si="190"/>
        <v>0</v>
      </c>
      <c r="O760" s="186">
        <f t="shared" si="190"/>
        <v>0</v>
      </c>
      <c r="P760" s="186">
        <f t="shared" si="190"/>
        <v>0</v>
      </c>
      <c r="Q760" s="186">
        <f t="shared" si="190"/>
        <v>0</v>
      </c>
      <c r="R760" s="186">
        <f t="shared" si="190"/>
        <v>0</v>
      </c>
      <c r="S760" s="1"/>
      <c r="T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R761" si="191">IF(COLUMN() &lt; (COLUMN($H$756) + (ROW()-ROW($H$756))), 0, IF(COLUMN() = (COLUMN($H$756) + (ROW()-ROW($H$756))), INDEX($H$738:$R$738,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86">
        <f t="shared" si="191"/>
        <v>0</v>
      </c>
      <c r="M761" s="186">
        <f t="shared" si="191"/>
        <v>252000</v>
      </c>
      <c r="N761" s="186">
        <f t="shared" si="191"/>
        <v>0</v>
      </c>
      <c r="O761" s="186">
        <f t="shared" si="191"/>
        <v>0</v>
      </c>
      <c r="P761" s="186">
        <f t="shared" si="191"/>
        <v>0</v>
      </c>
      <c r="Q761" s="186">
        <f t="shared" si="191"/>
        <v>0</v>
      </c>
      <c r="R761" s="186">
        <f t="shared" si="191"/>
        <v>0</v>
      </c>
      <c r="S761" s="1"/>
      <c r="T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R762" si="192">IF(COLUMN() &lt; (COLUMN($H$756) + (ROW()-ROW($H$756))), 0, IF(COLUMN() = (COLUMN($H$756) + (ROW()-ROW($H$756))), INDEX($H$738:$R$738,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86">
        <f t="shared" si="192"/>
        <v>0</v>
      </c>
      <c r="M762" s="186">
        <f t="shared" si="192"/>
        <v>0</v>
      </c>
      <c r="N762" s="186">
        <f t="shared" si="192"/>
        <v>168000</v>
      </c>
      <c r="O762" s="186">
        <f t="shared" si="192"/>
        <v>0</v>
      </c>
      <c r="P762" s="186">
        <f t="shared" si="192"/>
        <v>0</v>
      </c>
      <c r="Q762" s="186">
        <f t="shared" si="192"/>
        <v>0</v>
      </c>
      <c r="R762" s="186">
        <f t="shared" si="192"/>
        <v>0</v>
      </c>
      <c r="S762" s="1"/>
      <c r="T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R763" si="193">IF(COLUMN() &lt; (COLUMN($H$756) + (ROW()-ROW($H$756))), 0, IF(COLUMN() = (COLUMN($H$756) + (ROW()-ROW($H$756))), INDEX($H$738:$R$738,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86">
        <f t="shared" si="193"/>
        <v>0</v>
      </c>
      <c r="M763" s="186">
        <f t="shared" si="193"/>
        <v>0</v>
      </c>
      <c r="N763" s="186">
        <f t="shared" si="193"/>
        <v>0</v>
      </c>
      <c r="O763" s="186">
        <f t="shared" si="193"/>
        <v>126000</v>
      </c>
      <c r="P763" s="186">
        <f t="shared" si="193"/>
        <v>0</v>
      </c>
      <c r="Q763" s="186">
        <f t="shared" si="193"/>
        <v>0</v>
      </c>
      <c r="R763" s="186">
        <f t="shared" si="193"/>
        <v>0</v>
      </c>
      <c r="S763" s="1"/>
      <c r="T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R764" si="194">IF(COLUMN() &lt; (COLUMN($H$756) + (ROW()-ROW($H$756))), 0, IF(COLUMN() = (COLUMN($H$756) + (ROW()-ROW($H$756))), INDEX($H$738:$R$738,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86">
        <f t="shared" si="194"/>
        <v>0</v>
      </c>
      <c r="M764" s="186">
        <f t="shared" si="194"/>
        <v>0</v>
      </c>
      <c r="N764" s="186">
        <f t="shared" si="194"/>
        <v>0</v>
      </c>
      <c r="O764" s="186">
        <f t="shared" si="194"/>
        <v>0</v>
      </c>
      <c r="P764" s="186">
        <f t="shared" si="194"/>
        <v>84000</v>
      </c>
      <c r="Q764" s="186">
        <f t="shared" si="194"/>
        <v>0</v>
      </c>
      <c r="R764" s="186">
        <f t="shared" si="194"/>
        <v>0</v>
      </c>
      <c r="S764" s="1"/>
      <c r="T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R765" si="195">IF(COLUMN() &lt; (COLUMN($H$756) + (ROW()-ROW($H$756))), 0, IF(COLUMN() = (COLUMN($H$756) + (ROW()-ROW($H$756))), INDEX($H$738:$R$738,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86">
        <f t="shared" si="195"/>
        <v>0</v>
      </c>
      <c r="M765" s="186">
        <f t="shared" si="195"/>
        <v>0</v>
      </c>
      <c r="N765" s="186">
        <f t="shared" si="195"/>
        <v>0</v>
      </c>
      <c r="O765" s="186">
        <f t="shared" si="195"/>
        <v>0</v>
      </c>
      <c r="P765" s="186">
        <f t="shared" si="195"/>
        <v>0</v>
      </c>
      <c r="Q765" s="186">
        <f t="shared" si="195"/>
        <v>0</v>
      </c>
      <c r="R765" s="186">
        <f t="shared" si="195"/>
        <v>0</v>
      </c>
      <c r="S765" s="1"/>
      <c r="T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R766" si="196">IF(COLUMN() &lt; (COLUMN($H$756) + (ROW()-ROW($H$756))), 0, IF(COLUMN() = (COLUMN($H$756) + (ROW()-ROW($H$756))), INDEX($H$738:$R$738,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86">
        <f t="shared" si="196"/>
        <v>0</v>
      </c>
      <c r="M766" s="186">
        <f t="shared" si="196"/>
        <v>0</v>
      </c>
      <c r="N766" s="186">
        <f t="shared" si="196"/>
        <v>0</v>
      </c>
      <c r="O766" s="186">
        <f t="shared" si="196"/>
        <v>0</v>
      </c>
      <c r="P766" s="186">
        <f t="shared" si="196"/>
        <v>0</v>
      </c>
      <c r="Q766" s="186">
        <f t="shared" si="196"/>
        <v>0</v>
      </c>
      <c r="R766" s="186">
        <f t="shared" si="196"/>
        <v>0</v>
      </c>
      <c r="S766" s="1"/>
      <c r="T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R767" si="197">IF(COLUMN() &lt; (COLUMN($H$756) + (ROW()-ROW($H$756))), 0, IF(COLUMN() = (COLUMN($H$756) + (ROW()-ROW($H$756))), INDEX($H$738:$R$738,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86">
        <f t="shared" si="197"/>
        <v>0</v>
      </c>
      <c r="M767" s="186">
        <f t="shared" si="197"/>
        <v>0</v>
      </c>
      <c r="N767" s="186">
        <f t="shared" si="197"/>
        <v>0</v>
      </c>
      <c r="O767" s="186">
        <f t="shared" si="197"/>
        <v>0</v>
      </c>
      <c r="P767" s="186">
        <f t="shared" si="197"/>
        <v>0</v>
      </c>
      <c r="Q767" s="186">
        <f t="shared" si="197"/>
        <v>0</v>
      </c>
      <c r="R767" s="186">
        <f t="shared" si="197"/>
        <v>0</v>
      </c>
      <c r="S767" s="1"/>
      <c r="T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R768" si="198">IF(COLUMN() &lt; (COLUMN($H$756) + (ROW()-ROW($H$756))), 0, IF(COLUMN() = (COLUMN($H$756) + (ROW()-ROW($H$756))), INDEX($H$738:$R$738,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86">
        <f t="shared" si="198"/>
        <v>0</v>
      </c>
      <c r="M768" s="186">
        <f t="shared" si="198"/>
        <v>0</v>
      </c>
      <c r="N768" s="186">
        <f t="shared" si="198"/>
        <v>0</v>
      </c>
      <c r="O768" s="186">
        <f t="shared" si="198"/>
        <v>0</v>
      </c>
      <c r="P768" s="186">
        <f t="shared" si="198"/>
        <v>0</v>
      </c>
      <c r="Q768" s="186">
        <f t="shared" si="198"/>
        <v>0</v>
      </c>
      <c r="R768" s="186">
        <f t="shared" si="198"/>
        <v>0</v>
      </c>
      <c r="S768" s="192"/>
      <c r="T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92"/>
      <c r="T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R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88">
        <f t="shared" si="199"/>
        <v>0</v>
      </c>
      <c r="M770" s="188">
        <f t="shared" si="199"/>
        <v>0</v>
      </c>
      <c r="N770" s="188">
        <f t="shared" si="199"/>
        <v>0</v>
      </c>
      <c r="O770" s="188">
        <f t="shared" si="199"/>
        <v>0</v>
      </c>
      <c r="P770" s="188">
        <f t="shared" si="199"/>
        <v>0</v>
      </c>
      <c r="Q770" s="188">
        <f t="shared" si="199"/>
        <v>0</v>
      </c>
      <c r="R770" s="188">
        <f t="shared" si="199"/>
        <v>0</v>
      </c>
      <c r="S770" s="192"/>
      <c r="T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R771" si="200">H771</f>
        <v>0</v>
      </c>
      <c r="J771" s="190">
        <f t="shared" si="200"/>
        <v>0</v>
      </c>
      <c r="K771" s="190">
        <f t="shared" si="200"/>
        <v>0</v>
      </c>
      <c r="L771" s="190">
        <f t="shared" si="200"/>
        <v>0</v>
      </c>
      <c r="M771" s="190">
        <f t="shared" si="200"/>
        <v>0</v>
      </c>
      <c r="N771" s="190">
        <f t="shared" si="200"/>
        <v>0</v>
      </c>
      <c r="O771" s="190">
        <f t="shared" si="200"/>
        <v>0</v>
      </c>
      <c r="P771" s="190">
        <f t="shared" si="200"/>
        <v>0</v>
      </c>
      <c r="Q771" s="190">
        <f t="shared" si="200"/>
        <v>0</v>
      </c>
      <c r="R771" s="190">
        <f t="shared" si="200"/>
        <v>0</v>
      </c>
      <c r="S771" s="192"/>
      <c r="T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R772" si="201">H772*H773</f>
        <v>0</v>
      </c>
      <c r="J772" s="188">
        <f t="shared" si="201"/>
        <v>0</v>
      </c>
      <c r="K772" s="188">
        <f t="shared" si="201"/>
        <v>0</v>
      </c>
      <c r="L772" s="188">
        <f t="shared" si="201"/>
        <v>0</v>
      </c>
      <c r="M772" s="188">
        <f t="shared" si="201"/>
        <v>0</v>
      </c>
      <c r="N772" s="188">
        <f t="shared" si="201"/>
        <v>0</v>
      </c>
      <c r="O772" s="188">
        <f t="shared" si="201"/>
        <v>0</v>
      </c>
      <c r="P772" s="188">
        <f t="shared" si="201"/>
        <v>0</v>
      </c>
      <c r="Q772" s="188">
        <f t="shared" si="201"/>
        <v>0</v>
      </c>
      <c r="R772" s="188">
        <f t="shared" si="201"/>
        <v>0</v>
      </c>
      <c r="S772" s="192"/>
      <c r="T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54">
        <v>0.0</v>
      </c>
      <c r="N773" s="154">
        <v>0.0</v>
      </c>
      <c r="O773" s="154">
        <v>0.0</v>
      </c>
      <c r="P773" s="154">
        <v>0.0</v>
      </c>
      <c r="Q773" s="154">
        <v>0.0</v>
      </c>
      <c r="R773" s="154">
        <v>0.0</v>
      </c>
      <c r="S773" s="192"/>
      <c r="T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R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88">
        <f t="shared" si="202"/>
        <v>0</v>
      </c>
      <c r="M774" s="188">
        <f t="shared" si="202"/>
        <v>0</v>
      </c>
      <c r="N774" s="188">
        <f t="shared" si="202"/>
        <v>0</v>
      </c>
      <c r="O774" s="188">
        <f t="shared" si="202"/>
        <v>0</v>
      </c>
      <c r="P774" s="188">
        <f t="shared" si="202"/>
        <v>0</v>
      </c>
      <c r="Q774" s="188">
        <f t="shared" si="202"/>
        <v>0</v>
      </c>
      <c r="R774" s="188">
        <f t="shared" si="202"/>
        <v>0</v>
      </c>
      <c r="S774" s="192"/>
      <c r="T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2"/>
      <c r="T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2"/>
      <c r="T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"/>
      <c r="T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"/>
      <c r="T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R779" si="203">SUM(H782,H785,H788,H791,H794)</f>
        <v>0</v>
      </c>
      <c r="I779" s="173">
        <f t="shared" si="203"/>
        <v>3572000</v>
      </c>
      <c r="J779" s="173">
        <f t="shared" si="203"/>
        <v>2329000</v>
      </c>
      <c r="K779" s="173">
        <f t="shared" si="203"/>
        <v>1682000</v>
      </c>
      <c r="L779" s="173">
        <f t="shared" si="203"/>
        <v>1120000</v>
      </c>
      <c r="M779" s="173">
        <f t="shared" si="203"/>
        <v>2295000</v>
      </c>
      <c r="N779" s="173">
        <f t="shared" si="203"/>
        <v>780000</v>
      </c>
      <c r="O779" s="173">
        <f t="shared" si="203"/>
        <v>578000</v>
      </c>
      <c r="P779" s="173">
        <f t="shared" si="203"/>
        <v>1728000</v>
      </c>
      <c r="Q779" s="173">
        <f t="shared" si="203"/>
        <v>0</v>
      </c>
      <c r="R779" s="173">
        <f t="shared" si="203"/>
        <v>0</v>
      </c>
      <c r="S779" s="1"/>
      <c r="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76" t="s">
        <v>287</v>
      </c>
      <c r="D781" s="176" t="s">
        <v>325</v>
      </c>
      <c r="E781" s="1"/>
      <c r="F781" s="1"/>
      <c r="G781" s="128"/>
      <c r="H781" s="128">
        <f t="shared" ref="H781:R781" si="204">IFERROR(H782/H$779,0)</f>
        <v>0</v>
      </c>
      <c r="I781" s="128">
        <f t="shared" si="204"/>
        <v>0.4300111982</v>
      </c>
      <c r="J781" s="128">
        <f t="shared" si="204"/>
        <v>0.4693001288</v>
      </c>
      <c r="K781" s="128">
        <f t="shared" si="204"/>
        <v>0.4256837099</v>
      </c>
      <c r="L781" s="128">
        <f t="shared" si="204"/>
        <v>0.425</v>
      </c>
      <c r="M781" s="128">
        <f t="shared" si="204"/>
        <v>0.5198257081</v>
      </c>
      <c r="N781" s="128">
        <f t="shared" si="204"/>
        <v>0.4358974359</v>
      </c>
      <c r="O781" s="128">
        <f t="shared" si="204"/>
        <v>0.4290657439</v>
      </c>
      <c r="P781" s="128">
        <f t="shared" si="204"/>
        <v>0.5474537037</v>
      </c>
      <c r="Q781" s="128">
        <f t="shared" si="204"/>
        <v>0</v>
      </c>
      <c r="R781" s="128">
        <f t="shared" si="204"/>
        <v>0</v>
      </c>
      <c r="S781" s="1"/>
      <c r="T781" s="1"/>
    </row>
    <row r="782">
      <c r="A782" s="1"/>
      <c r="B782" s="1"/>
      <c r="C782" s="176" t="s">
        <v>285</v>
      </c>
      <c r="D782" s="176" t="s">
        <v>326</v>
      </c>
      <c r="E782" s="1"/>
      <c r="F782" s="1"/>
      <c r="G782" s="173"/>
      <c r="H782" s="173">
        <f t="shared" ref="H782:R782" si="205">SUM(H827,H872,H917,H963,H1008)</f>
        <v>0</v>
      </c>
      <c r="I782" s="173">
        <f t="shared" si="205"/>
        <v>1536000</v>
      </c>
      <c r="J782" s="173">
        <f t="shared" si="205"/>
        <v>1093000</v>
      </c>
      <c r="K782" s="173">
        <f t="shared" si="205"/>
        <v>716000</v>
      </c>
      <c r="L782" s="173">
        <f t="shared" si="205"/>
        <v>476000</v>
      </c>
      <c r="M782" s="173">
        <f t="shared" si="205"/>
        <v>1193000</v>
      </c>
      <c r="N782" s="173">
        <f t="shared" si="205"/>
        <v>340000</v>
      </c>
      <c r="O782" s="173">
        <f t="shared" si="205"/>
        <v>248000</v>
      </c>
      <c r="P782" s="173">
        <f t="shared" si="205"/>
        <v>946000</v>
      </c>
      <c r="Q782" s="173">
        <f t="shared" si="205"/>
        <v>0</v>
      </c>
      <c r="R782" s="173">
        <f t="shared" si="205"/>
        <v>0</v>
      </c>
      <c r="S782" s="1"/>
      <c r="T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"/>
      <c r="T783" s="1"/>
    </row>
    <row r="784">
      <c r="A784" s="1"/>
      <c r="B784" s="1"/>
      <c r="C784" s="176" t="s">
        <v>287</v>
      </c>
      <c r="D784" s="176" t="s">
        <v>327</v>
      </c>
      <c r="E784" s="1"/>
      <c r="F784" s="1"/>
      <c r="G784" s="128"/>
      <c r="H784" s="128">
        <f t="shared" ref="H784:R784" si="206">IFERROR(H785/H$779,0)</f>
        <v>0</v>
      </c>
      <c r="I784" s="128">
        <f t="shared" si="206"/>
        <v>0.3113101904</v>
      </c>
      <c r="J784" s="128">
        <f t="shared" si="206"/>
        <v>0.2808072134</v>
      </c>
      <c r="K784" s="128">
        <f t="shared" si="206"/>
        <v>0.3139120095</v>
      </c>
      <c r="L784" s="128">
        <f t="shared" si="206"/>
        <v>0.3071428571</v>
      </c>
      <c r="M784" s="128">
        <f t="shared" si="206"/>
        <v>0.234422658</v>
      </c>
      <c r="N784" s="128">
        <f t="shared" si="206"/>
        <v>0.3025641026</v>
      </c>
      <c r="O784" s="128">
        <f t="shared" si="206"/>
        <v>0.3114186851</v>
      </c>
      <c r="P784" s="128">
        <f t="shared" si="206"/>
        <v>0.2048611111</v>
      </c>
      <c r="Q784" s="128">
        <f t="shared" si="206"/>
        <v>0</v>
      </c>
      <c r="R784" s="128">
        <f t="shared" si="206"/>
        <v>0</v>
      </c>
      <c r="S784" s="1"/>
      <c r="T784" s="1"/>
    </row>
    <row r="785">
      <c r="A785" s="1"/>
      <c r="B785" s="1"/>
      <c r="C785" s="176" t="s">
        <v>285</v>
      </c>
      <c r="D785" s="176" t="s">
        <v>328</v>
      </c>
      <c r="E785" s="1"/>
      <c r="F785" s="1"/>
      <c r="G785" s="173"/>
      <c r="H785" s="173">
        <f t="shared" ref="H785:R785" si="207">SUM(H830,H875,H920,H966,H1011)</f>
        <v>0</v>
      </c>
      <c r="I785" s="173">
        <f t="shared" si="207"/>
        <v>1112000</v>
      </c>
      <c r="J785" s="173">
        <f t="shared" si="207"/>
        <v>654000</v>
      </c>
      <c r="K785" s="173">
        <f t="shared" si="207"/>
        <v>528000</v>
      </c>
      <c r="L785" s="173">
        <f t="shared" si="207"/>
        <v>344000</v>
      </c>
      <c r="M785" s="173">
        <f t="shared" si="207"/>
        <v>538000</v>
      </c>
      <c r="N785" s="173">
        <f t="shared" si="207"/>
        <v>236000</v>
      </c>
      <c r="O785" s="173">
        <f t="shared" si="207"/>
        <v>180000</v>
      </c>
      <c r="P785" s="173">
        <f t="shared" si="207"/>
        <v>354000</v>
      </c>
      <c r="Q785" s="173">
        <f t="shared" si="207"/>
        <v>0</v>
      </c>
      <c r="R785" s="173">
        <f t="shared" si="207"/>
        <v>0</v>
      </c>
      <c r="S785" s="1"/>
      <c r="T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"/>
      <c r="T786" s="1"/>
    </row>
    <row r="787">
      <c r="A787" s="1"/>
      <c r="B787" s="1"/>
      <c r="C787" s="176" t="s">
        <v>287</v>
      </c>
      <c r="D787" s="13" t="s">
        <v>329</v>
      </c>
      <c r="E787" s="1"/>
      <c r="F787" s="1"/>
      <c r="G787" s="128"/>
      <c r="H787" s="128">
        <f t="shared" ref="H787:R787" si="208">IFERROR(H788/H$779,0)</f>
        <v>0</v>
      </c>
      <c r="I787" s="128">
        <f t="shared" si="208"/>
        <v>0.0352743561</v>
      </c>
      <c r="J787" s="128">
        <f t="shared" si="208"/>
        <v>0.0386431945</v>
      </c>
      <c r="K787" s="128">
        <f t="shared" si="208"/>
        <v>0.03567181926</v>
      </c>
      <c r="L787" s="128">
        <f t="shared" si="208"/>
        <v>0.04285714286</v>
      </c>
      <c r="M787" s="128">
        <f t="shared" si="208"/>
        <v>0.04183006536</v>
      </c>
      <c r="N787" s="128">
        <f t="shared" si="208"/>
        <v>0.04615384615</v>
      </c>
      <c r="O787" s="128">
        <f t="shared" si="208"/>
        <v>0.04152249135</v>
      </c>
      <c r="P787" s="128">
        <f t="shared" si="208"/>
        <v>0.03240740741</v>
      </c>
      <c r="Q787" s="128">
        <f t="shared" si="208"/>
        <v>0</v>
      </c>
      <c r="R787" s="128">
        <f t="shared" si="208"/>
        <v>0</v>
      </c>
      <c r="S787" s="1"/>
      <c r="T787" s="1"/>
    </row>
    <row r="788" ht="18.0" customHeight="1">
      <c r="A788" s="1"/>
      <c r="B788" s="1"/>
      <c r="C788" s="176" t="s">
        <v>285</v>
      </c>
      <c r="D788" s="13" t="s">
        <v>330</v>
      </c>
      <c r="E788" s="1"/>
      <c r="F788" s="1"/>
      <c r="G788" s="173"/>
      <c r="H788" s="173">
        <f t="shared" ref="H788:R788" si="209">SUM(H833,H878,H923)</f>
        <v>0</v>
      </c>
      <c r="I788" s="173">
        <f t="shared" si="209"/>
        <v>126000</v>
      </c>
      <c r="J788" s="173">
        <f t="shared" si="209"/>
        <v>90000</v>
      </c>
      <c r="K788" s="173">
        <f t="shared" si="209"/>
        <v>60000</v>
      </c>
      <c r="L788" s="173">
        <f t="shared" si="209"/>
        <v>48000</v>
      </c>
      <c r="M788" s="173">
        <f t="shared" si="209"/>
        <v>96000</v>
      </c>
      <c r="N788" s="173">
        <f t="shared" si="209"/>
        <v>36000</v>
      </c>
      <c r="O788" s="173">
        <f t="shared" si="209"/>
        <v>24000</v>
      </c>
      <c r="P788" s="173">
        <f t="shared" si="209"/>
        <v>56000</v>
      </c>
      <c r="Q788" s="173">
        <f t="shared" si="209"/>
        <v>0</v>
      </c>
      <c r="R788" s="173">
        <f t="shared" si="209"/>
        <v>0</v>
      </c>
      <c r="S788" s="1"/>
      <c r="T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"/>
      <c r="T789" s="1"/>
    </row>
    <row r="790">
      <c r="A790" s="1"/>
      <c r="B790" s="1"/>
      <c r="C790" s="176" t="s">
        <v>287</v>
      </c>
      <c r="D790" s="13" t="s">
        <v>331</v>
      </c>
      <c r="E790" s="1"/>
      <c r="F790" s="1"/>
      <c r="G790" s="128"/>
      <c r="H790" s="128">
        <f t="shared" ref="H790:R790" si="210">IFERROR(H791/H$779,0)</f>
        <v>0</v>
      </c>
      <c r="I790" s="128">
        <f t="shared" si="210"/>
        <v>0.2234042553</v>
      </c>
      <c r="J790" s="128">
        <f t="shared" si="210"/>
        <v>0.2112494633</v>
      </c>
      <c r="K790" s="128">
        <f t="shared" si="210"/>
        <v>0.2247324614</v>
      </c>
      <c r="L790" s="128">
        <f t="shared" si="210"/>
        <v>0.225</v>
      </c>
      <c r="M790" s="128">
        <f t="shared" si="210"/>
        <v>0.2039215686</v>
      </c>
      <c r="N790" s="128">
        <f t="shared" si="210"/>
        <v>0.2153846154</v>
      </c>
      <c r="O790" s="128">
        <f t="shared" si="210"/>
        <v>0.2179930796</v>
      </c>
      <c r="P790" s="128">
        <f t="shared" si="210"/>
        <v>0.2152777778</v>
      </c>
      <c r="Q790" s="128">
        <f t="shared" si="210"/>
        <v>0</v>
      </c>
      <c r="R790" s="128">
        <f t="shared" si="210"/>
        <v>0</v>
      </c>
      <c r="S790" s="1"/>
      <c r="T790" s="1"/>
    </row>
    <row r="791" ht="18.0" customHeight="1">
      <c r="A791" s="1"/>
      <c r="B791" s="1"/>
      <c r="C791" s="176" t="s">
        <v>285</v>
      </c>
      <c r="D791" s="13" t="s">
        <v>332</v>
      </c>
      <c r="E791" s="1"/>
      <c r="F791" s="1"/>
      <c r="G791" s="173"/>
      <c r="H791" s="173">
        <f t="shared" ref="H791:R791" si="211">SUM(H836,H881,H926)</f>
        <v>0</v>
      </c>
      <c r="I791" s="173">
        <f t="shared" si="211"/>
        <v>798000</v>
      </c>
      <c r="J791" s="173">
        <f t="shared" si="211"/>
        <v>492000</v>
      </c>
      <c r="K791" s="173">
        <f t="shared" si="211"/>
        <v>378000</v>
      </c>
      <c r="L791" s="173">
        <f t="shared" si="211"/>
        <v>252000</v>
      </c>
      <c r="M791" s="173">
        <f t="shared" si="211"/>
        <v>468000</v>
      </c>
      <c r="N791" s="173">
        <f t="shared" si="211"/>
        <v>168000</v>
      </c>
      <c r="O791" s="173">
        <f t="shared" si="211"/>
        <v>126000</v>
      </c>
      <c r="P791" s="173">
        <f t="shared" si="211"/>
        <v>372000</v>
      </c>
      <c r="Q791" s="173">
        <f t="shared" si="211"/>
        <v>0</v>
      </c>
      <c r="R791" s="173">
        <f t="shared" si="211"/>
        <v>0</v>
      </c>
      <c r="S791" s="1"/>
      <c r="T791" s="1"/>
    </row>
    <row r="792">
      <c r="A792" s="1"/>
      <c r="B792" s="1"/>
      <c r="C792" s="1"/>
      <c r="D792" s="1"/>
      <c r="E792" s="1"/>
      <c r="F792" s="1"/>
      <c r="G792" s="167"/>
      <c r="H792" s="178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"/>
      <c r="T792" s="1"/>
    </row>
    <row r="793">
      <c r="A793" s="1"/>
      <c r="B793" s="1"/>
      <c r="C793" s="176" t="s">
        <v>287</v>
      </c>
      <c r="D793" s="176" t="s">
        <v>333</v>
      </c>
      <c r="E793" s="1"/>
      <c r="F793" s="1"/>
      <c r="G793" s="167"/>
      <c r="H793" s="128">
        <f t="shared" ref="H793:R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28">
        <f t="shared" si="212"/>
        <v>0</v>
      </c>
      <c r="M793" s="128">
        <f t="shared" si="212"/>
        <v>0</v>
      </c>
      <c r="N793" s="128">
        <f t="shared" si="212"/>
        <v>0</v>
      </c>
      <c r="O793" s="128">
        <f t="shared" si="212"/>
        <v>0</v>
      </c>
      <c r="P793" s="128">
        <f t="shared" si="212"/>
        <v>0</v>
      </c>
      <c r="Q793" s="128">
        <f t="shared" si="212"/>
        <v>0</v>
      </c>
      <c r="R793" s="128">
        <f t="shared" si="212"/>
        <v>0</v>
      </c>
      <c r="S793" s="1"/>
      <c r="T793" s="1"/>
    </row>
    <row r="794">
      <c r="A794" s="1"/>
      <c r="B794" s="1"/>
      <c r="C794" s="176" t="s">
        <v>285</v>
      </c>
      <c r="D794" s="176" t="s">
        <v>334</v>
      </c>
      <c r="E794" s="1"/>
      <c r="F794" s="1"/>
      <c r="G794" s="167"/>
      <c r="H794" s="173">
        <f t="shared" ref="H794:R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73">
        <f t="shared" si="213"/>
        <v>0</v>
      </c>
      <c r="M794" s="173">
        <f t="shared" si="213"/>
        <v>0</v>
      </c>
      <c r="N794" s="173">
        <f t="shared" si="213"/>
        <v>0</v>
      </c>
      <c r="O794" s="173">
        <f t="shared" si="213"/>
        <v>0</v>
      </c>
      <c r="P794" s="173">
        <f t="shared" si="213"/>
        <v>0</v>
      </c>
      <c r="Q794" s="173">
        <f t="shared" si="213"/>
        <v>0</v>
      </c>
      <c r="R794" s="173">
        <f t="shared" si="213"/>
        <v>0</v>
      </c>
      <c r="S794" s="1"/>
      <c r="T794" s="1"/>
    </row>
    <row r="795">
      <c r="A795" s="1"/>
      <c r="B795" s="1"/>
      <c r="C795" s="1"/>
      <c r="D795" s="1"/>
      <c r="E795" s="1"/>
      <c r="F795" s="1"/>
      <c r="G795" s="167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"/>
      <c r="T795" s="1"/>
    </row>
    <row r="796">
      <c r="A796" s="160"/>
      <c r="B796" s="160"/>
      <c r="C796" s="160"/>
      <c r="D796" s="144" t="s">
        <v>46</v>
      </c>
      <c r="E796" s="160"/>
      <c r="F796" s="160"/>
      <c r="G796" s="16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28</v>
      </c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8"/>
      <c r="T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0.01039474286</v>
      </c>
      <c r="H798" s="149">
        <f>SUM($H$416)</f>
        <v>1455264</v>
      </c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72"/>
      <c r="T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60"/>
      <c r="T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140000000</v>
      </c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60"/>
      <c r="T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60"/>
      <c r="T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0.02078948571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>
        <v>0.3</v>
      </c>
      <c r="N802" s="145">
        <v>0.0</v>
      </c>
      <c r="O802" s="145">
        <v>0.0</v>
      </c>
      <c r="P802" s="145">
        <v>0.3</v>
      </c>
      <c r="Q802" s="145">
        <v>0.0</v>
      </c>
      <c r="R802" s="145">
        <v>0.0</v>
      </c>
      <c r="S802" s="145"/>
      <c r="T802" s="160"/>
    </row>
    <row r="803">
      <c r="A803" s="160"/>
      <c r="B803" s="160"/>
      <c r="C803" s="160"/>
      <c r="D803" s="160"/>
      <c r="E803" s="172" t="s">
        <v>301</v>
      </c>
      <c r="G803" s="149">
        <f>H800*G802</f>
        <v>2910528</v>
      </c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60"/>
      <c r="T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1455264</v>
      </c>
      <c r="I804" s="149">
        <f t="shared" ref="I804:R804" si="214">H804+I813</f>
        <v>1455264</v>
      </c>
      <c r="J804" s="149">
        <f t="shared" si="214"/>
        <v>1615264</v>
      </c>
      <c r="K804" s="149">
        <f t="shared" si="214"/>
        <v>1615264</v>
      </c>
      <c r="L804" s="149">
        <f t="shared" si="214"/>
        <v>1615264</v>
      </c>
      <c r="M804" s="149">
        <f t="shared" si="214"/>
        <v>2015264</v>
      </c>
      <c r="N804" s="149">
        <f t="shared" si="214"/>
        <v>2015264</v>
      </c>
      <c r="O804" s="149">
        <f t="shared" si="214"/>
        <v>2015264</v>
      </c>
      <c r="P804" s="149">
        <f t="shared" si="214"/>
        <v>2415264</v>
      </c>
      <c r="Q804" s="149">
        <f t="shared" si="214"/>
        <v>2415264</v>
      </c>
      <c r="R804" s="149">
        <f t="shared" si="214"/>
        <v>2415264</v>
      </c>
      <c r="S804" s="199">
        <f>R804</f>
        <v>2415264</v>
      </c>
      <c r="T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1455264</v>
      </c>
      <c r="H805" s="149">
        <f>$G$895*H802</f>
        <v>0</v>
      </c>
      <c r="I805" s="149">
        <f t="shared" ref="I805:R805" si="215">$G$805*I802</f>
        <v>0</v>
      </c>
      <c r="J805" s="149">
        <f t="shared" si="215"/>
        <v>145526.4</v>
      </c>
      <c r="K805" s="149">
        <f t="shared" si="215"/>
        <v>0</v>
      </c>
      <c r="L805" s="149">
        <f t="shared" si="215"/>
        <v>0</v>
      </c>
      <c r="M805" s="149">
        <f t="shared" si="215"/>
        <v>436579.2</v>
      </c>
      <c r="N805" s="149">
        <f t="shared" si="215"/>
        <v>0</v>
      </c>
      <c r="O805" s="149">
        <f t="shared" si="215"/>
        <v>0</v>
      </c>
      <c r="P805" s="149">
        <f t="shared" si="215"/>
        <v>436579.2</v>
      </c>
      <c r="Q805" s="149">
        <f t="shared" si="215"/>
        <v>0</v>
      </c>
      <c r="R805" s="149">
        <f t="shared" si="215"/>
        <v>0</v>
      </c>
      <c r="S805" s="199">
        <f>SUM(H805:R805)</f>
        <v>1018684.8</v>
      </c>
      <c r="T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60"/>
      <c r="T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R807" si="216">$H$800-H804</f>
        <v>138544736</v>
      </c>
      <c r="I807" s="149">
        <f t="shared" si="216"/>
        <v>138544736</v>
      </c>
      <c r="J807" s="149">
        <f t="shared" si="216"/>
        <v>138384736</v>
      </c>
      <c r="K807" s="149">
        <f t="shared" si="216"/>
        <v>138384736</v>
      </c>
      <c r="L807" s="149">
        <f t="shared" si="216"/>
        <v>138384736</v>
      </c>
      <c r="M807" s="149">
        <f t="shared" si="216"/>
        <v>137984736</v>
      </c>
      <c r="N807" s="149">
        <f t="shared" si="216"/>
        <v>137984736</v>
      </c>
      <c r="O807" s="149">
        <f t="shared" si="216"/>
        <v>137984736</v>
      </c>
      <c r="P807" s="149">
        <f t="shared" si="216"/>
        <v>137584736</v>
      </c>
      <c r="Q807" s="149">
        <f t="shared" si="216"/>
        <v>137584736</v>
      </c>
      <c r="R807" s="149">
        <f t="shared" si="216"/>
        <v>137584736</v>
      </c>
      <c r="S807" s="160"/>
      <c r="T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S808" si="217">IFERROR(H804/$H$890,0)</f>
        <v>0.007424816327</v>
      </c>
      <c r="I808" s="142">
        <f t="shared" si="217"/>
        <v>0.007424816327</v>
      </c>
      <c r="J808" s="142">
        <f t="shared" si="217"/>
        <v>0.008241142857</v>
      </c>
      <c r="K808" s="142">
        <f t="shared" si="217"/>
        <v>0.008241142857</v>
      </c>
      <c r="L808" s="142">
        <f t="shared" si="217"/>
        <v>0.008241142857</v>
      </c>
      <c r="M808" s="142">
        <f t="shared" si="217"/>
        <v>0.01028195918</v>
      </c>
      <c r="N808" s="142">
        <f t="shared" si="217"/>
        <v>0.01028195918</v>
      </c>
      <c r="O808" s="142">
        <f t="shared" si="217"/>
        <v>0.01028195918</v>
      </c>
      <c r="P808" s="142">
        <f t="shared" si="217"/>
        <v>0.01232277551</v>
      </c>
      <c r="Q808" s="142">
        <f t="shared" si="217"/>
        <v>0.01232277551</v>
      </c>
      <c r="R808" s="142">
        <f t="shared" si="217"/>
        <v>0.01232277551</v>
      </c>
      <c r="S808" s="200">
        <f t="shared" si="217"/>
        <v>0.01232277551</v>
      </c>
      <c r="T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S809" si="218">IFERROR(1-(H804/$H$800),0)</f>
        <v>0.9896052571</v>
      </c>
      <c r="I809" s="142">
        <f t="shared" si="218"/>
        <v>0.9896052571</v>
      </c>
      <c r="J809" s="142">
        <f t="shared" si="218"/>
        <v>0.9884624</v>
      </c>
      <c r="K809" s="142">
        <f t="shared" si="218"/>
        <v>0.9884624</v>
      </c>
      <c r="L809" s="142">
        <f t="shared" si="218"/>
        <v>0.9884624</v>
      </c>
      <c r="M809" s="142">
        <f t="shared" si="218"/>
        <v>0.9856052571</v>
      </c>
      <c r="N809" s="142">
        <f t="shared" si="218"/>
        <v>0.9856052571</v>
      </c>
      <c r="O809" s="142">
        <f t="shared" si="218"/>
        <v>0.9856052571</v>
      </c>
      <c r="P809" s="142">
        <f t="shared" si="218"/>
        <v>0.9827481143</v>
      </c>
      <c r="Q809" s="142">
        <f t="shared" si="218"/>
        <v>0.9827481143</v>
      </c>
      <c r="R809" s="142">
        <f t="shared" si="218"/>
        <v>0.9827481143</v>
      </c>
      <c r="S809" s="200">
        <f t="shared" si="218"/>
        <v>0.9827481143</v>
      </c>
      <c r="T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98"/>
      <c r="T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9">ROUNDUP(H805/H812,0)</f>
        <v>0</v>
      </c>
      <c r="I811" s="190">
        <f t="shared" si="219"/>
        <v>0</v>
      </c>
      <c r="J811" s="190">
        <f t="shared" si="219"/>
        <v>4</v>
      </c>
      <c r="K811" s="190">
        <f t="shared" si="219"/>
        <v>0</v>
      </c>
      <c r="L811" s="190">
        <f t="shared" si="219"/>
        <v>0</v>
      </c>
      <c r="M811" s="190">
        <f>ROUND(M805/M812,0)</f>
        <v>10</v>
      </c>
      <c r="N811" s="190">
        <f t="shared" ref="N811:R811" si="220">ROUNDUP(N805/N812,0)</f>
        <v>0</v>
      </c>
      <c r="O811" s="190">
        <f t="shared" si="220"/>
        <v>0</v>
      </c>
      <c r="P811" s="190">
        <f t="shared" si="220"/>
        <v>10</v>
      </c>
      <c r="Q811" s="190">
        <f t="shared" si="220"/>
        <v>0</v>
      </c>
      <c r="R811" s="190">
        <f t="shared" si="220"/>
        <v>0</v>
      </c>
      <c r="S811" s="201">
        <f>SUM(H811:R811)</f>
        <v>24</v>
      </c>
      <c r="T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56">
        <v>44500.0</v>
      </c>
      <c r="N812" s="156">
        <v>44500.0</v>
      </c>
      <c r="O812" s="156">
        <v>44500.0</v>
      </c>
      <c r="P812" s="156">
        <v>44500.0</v>
      </c>
      <c r="Q812" s="156">
        <v>44500.0</v>
      </c>
      <c r="R812" s="156">
        <v>44500.0</v>
      </c>
      <c r="S812" s="198"/>
      <c r="T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R813" si="221">SUM(H827,H830,H833,H836,H839)</f>
        <v>0</v>
      </c>
      <c r="I813" s="188">
        <f t="shared" si="221"/>
        <v>0</v>
      </c>
      <c r="J813" s="188">
        <f t="shared" si="221"/>
        <v>160000</v>
      </c>
      <c r="K813" s="188">
        <f t="shared" si="221"/>
        <v>0</v>
      </c>
      <c r="L813" s="188">
        <f t="shared" si="221"/>
        <v>0</v>
      </c>
      <c r="M813" s="188">
        <f t="shared" si="221"/>
        <v>400000</v>
      </c>
      <c r="N813" s="188">
        <f t="shared" si="221"/>
        <v>0</v>
      </c>
      <c r="O813" s="188">
        <f t="shared" si="221"/>
        <v>0</v>
      </c>
      <c r="P813" s="188">
        <f t="shared" si="221"/>
        <v>400000</v>
      </c>
      <c r="Q813" s="188">
        <f t="shared" si="221"/>
        <v>0</v>
      </c>
      <c r="R813" s="188">
        <f t="shared" si="221"/>
        <v>0</v>
      </c>
      <c r="S813" s="196">
        <f>SUM(H813:R813)</f>
        <v>960000</v>
      </c>
      <c r="T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203">
        <v>0.5</v>
      </c>
      <c r="N814" s="203">
        <v>0.5</v>
      </c>
      <c r="O814" s="203">
        <v>0.5</v>
      </c>
      <c r="P814" s="203">
        <v>0.5</v>
      </c>
      <c r="Q814" s="203">
        <v>0.5</v>
      </c>
      <c r="R814" s="203">
        <v>0.5</v>
      </c>
      <c r="S814" s="198"/>
      <c r="T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203">
        <v>0.4</v>
      </c>
      <c r="N815" s="203">
        <v>0.4</v>
      </c>
      <c r="O815" s="203">
        <v>0.4</v>
      </c>
      <c r="P815" s="203">
        <v>0.4</v>
      </c>
      <c r="Q815" s="203">
        <v>0.4</v>
      </c>
      <c r="R815" s="203">
        <v>0.4</v>
      </c>
      <c r="S815" s="198"/>
      <c r="T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203">
        <v>0.05</v>
      </c>
      <c r="N816" s="203">
        <v>0.05</v>
      </c>
      <c r="O816" s="203">
        <v>0.05</v>
      </c>
      <c r="P816" s="203">
        <v>0.05</v>
      </c>
      <c r="Q816" s="203">
        <v>0.05</v>
      </c>
      <c r="R816" s="203">
        <v>0.05</v>
      </c>
      <c r="S816" s="198"/>
      <c r="T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203">
        <v>0.05</v>
      </c>
      <c r="N817" s="203">
        <v>0.05</v>
      </c>
      <c r="O817" s="203">
        <v>0.05</v>
      </c>
      <c r="P817" s="203">
        <v>0.05</v>
      </c>
      <c r="Q817" s="203">
        <v>0.05</v>
      </c>
      <c r="R817" s="203">
        <v>0.05</v>
      </c>
      <c r="S817" s="198"/>
      <c r="T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203">
        <v>0.0</v>
      </c>
      <c r="N818" s="203">
        <v>0.0</v>
      </c>
      <c r="O818" s="203">
        <v>0.0</v>
      </c>
      <c r="P818" s="203">
        <v>0.0</v>
      </c>
      <c r="Q818" s="203">
        <v>0.0</v>
      </c>
      <c r="R818" s="203">
        <v>0.0</v>
      </c>
      <c r="S818" s="198"/>
      <c r="T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204">
        <v>70000.0</v>
      </c>
      <c r="N819" s="204">
        <v>70000.0</v>
      </c>
      <c r="O819" s="204">
        <v>70000.0</v>
      </c>
      <c r="P819" s="204">
        <v>70000.0</v>
      </c>
      <c r="Q819" s="204">
        <v>70000.0</v>
      </c>
      <c r="R819" s="204">
        <v>70000.0</v>
      </c>
      <c r="S819" s="198"/>
      <c r="T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204">
        <v>10000.0</v>
      </c>
      <c r="N820" s="204">
        <v>10000.0</v>
      </c>
      <c r="O820" s="204">
        <v>10000.0</v>
      </c>
      <c r="P820" s="204">
        <v>10000.0</v>
      </c>
      <c r="Q820" s="204">
        <v>10000.0</v>
      </c>
      <c r="R820" s="204">
        <v>10000.0</v>
      </c>
      <c r="S820" s="198"/>
      <c r="T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204">
        <v>10000.0</v>
      </c>
      <c r="N821" s="204">
        <v>10000.0</v>
      </c>
      <c r="O821" s="204">
        <v>10000.0</v>
      </c>
      <c r="P821" s="204">
        <v>10000.0</v>
      </c>
      <c r="Q821" s="204">
        <v>10000.0</v>
      </c>
      <c r="R821" s="204">
        <v>10000.0</v>
      </c>
      <c r="S821" s="198"/>
      <c r="T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204">
        <v>100000.0</v>
      </c>
      <c r="N822" s="204">
        <v>100000.0</v>
      </c>
      <c r="O822" s="204">
        <v>100000.0</v>
      </c>
      <c r="P822" s="204">
        <v>100000.0</v>
      </c>
      <c r="Q822" s="204">
        <v>100000.0</v>
      </c>
      <c r="R822" s="204">
        <v>100000.0</v>
      </c>
      <c r="S822" s="198"/>
      <c r="T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204">
        <v>0.0</v>
      </c>
      <c r="N823" s="204">
        <v>0.0</v>
      </c>
      <c r="O823" s="204">
        <v>0.0</v>
      </c>
      <c r="P823" s="204">
        <v>0.0</v>
      </c>
      <c r="Q823" s="204">
        <v>0.0</v>
      </c>
      <c r="R823" s="204">
        <v>0.0</v>
      </c>
      <c r="S823" s="198"/>
      <c r="T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62">
        <f>IFERROR(__xludf.DUMMYFUNCTION("MATCH(
  MIN(FILTER(M819:M823,M819:M823&gt;0)),
  M819:M823,
  0
)
"),2.0)</f>
        <v>2</v>
      </c>
      <c r="N824" s="162">
        <f>IFERROR(__xludf.DUMMYFUNCTION("MATCH(
  MIN(FILTER(N819:N823,N819:N823&gt;0)),
  N819:N823,
  0
)
"),2.0)</f>
        <v>2</v>
      </c>
      <c r="O824" s="162">
        <f>IFERROR(__xludf.DUMMYFUNCTION("MATCH(
  MIN(FILTER(O819:O823,O819:O823&gt;0)),
  O819:O823,
  0
)
"),2.0)</f>
        <v>2</v>
      </c>
      <c r="P824" s="162">
        <f>IFERROR(__xludf.DUMMYFUNCTION("MATCH(
  MIN(FILTER(P819:P823,P819:P823&gt;0)),
  P819:P823,
  0
)
"),2.0)</f>
        <v>2</v>
      </c>
      <c r="Q824" s="162">
        <f>IFERROR(__xludf.DUMMYFUNCTION("MATCH(
  MIN(FILTER(Q819:Q823,Q819:Q823&gt;0)),
  Q819:Q823,
  0
)
"),2.0)</f>
        <v>2</v>
      </c>
      <c r="R824" s="162">
        <f>IFERROR(__xludf.DUMMYFUNCTION("MATCH(
  MIN(FILTER(R819:R823,R819:R823&gt;0)),
  R819:R823,
  0
)
"),2.0)</f>
        <v>2</v>
      </c>
      <c r="S824" s="198"/>
      <c r="T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98"/>
      <c r="T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R826" si="222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2"/>
        <v>0</v>
      </c>
      <c r="J826" s="148">
        <f t="shared" si="222"/>
        <v>2</v>
      </c>
      <c r="K826" s="148">
        <f t="shared" si="222"/>
        <v>0</v>
      </c>
      <c r="L826" s="148">
        <f t="shared" si="222"/>
        <v>0</v>
      </c>
      <c r="M826" s="148">
        <f t="shared" si="222"/>
        <v>5</v>
      </c>
      <c r="N826" s="148">
        <f t="shared" si="222"/>
        <v>0</v>
      </c>
      <c r="O826" s="148">
        <f t="shared" si="222"/>
        <v>0</v>
      </c>
      <c r="P826" s="148">
        <f t="shared" si="222"/>
        <v>5</v>
      </c>
      <c r="Q826" s="148">
        <f t="shared" si="222"/>
        <v>0</v>
      </c>
      <c r="R826" s="148">
        <f t="shared" si="222"/>
        <v>0</v>
      </c>
      <c r="S826" s="198"/>
      <c r="T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R827" si="223">(H826*H819)</f>
        <v>0</v>
      </c>
      <c r="I827" s="150">
        <f t="shared" si="223"/>
        <v>0</v>
      </c>
      <c r="J827" s="150">
        <f t="shared" si="223"/>
        <v>140000</v>
      </c>
      <c r="K827" s="150">
        <f t="shared" si="223"/>
        <v>0</v>
      </c>
      <c r="L827" s="150">
        <f t="shared" si="223"/>
        <v>0</v>
      </c>
      <c r="M827" s="150">
        <f t="shared" si="223"/>
        <v>350000</v>
      </c>
      <c r="N827" s="150">
        <f t="shared" si="223"/>
        <v>0</v>
      </c>
      <c r="O827" s="150">
        <f t="shared" si="223"/>
        <v>0</v>
      </c>
      <c r="P827" s="150">
        <f t="shared" si="223"/>
        <v>350000</v>
      </c>
      <c r="Q827" s="150">
        <f t="shared" si="223"/>
        <v>0</v>
      </c>
      <c r="R827" s="150">
        <f t="shared" si="223"/>
        <v>0</v>
      </c>
      <c r="S827" s="198"/>
      <c r="T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98"/>
      <c r="T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R829" si="224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4"/>
        <v>0</v>
      </c>
      <c r="J829" s="148">
        <f t="shared" si="224"/>
        <v>2</v>
      </c>
      <c r="K829" s="148">
        <f t="shared" si="224"/>
        <v>0</v>
      </c>
      <c r="L829" s="148">
        <f t="shared" si="224"/>
        <v>0</v>
      </c>
      <c r="M829" s="148">
        <f t="shared" si="224"/>
        <v>5</v>
      </c>
      <c r="N829" s="148">
        <f t="shared" si="224"/>
        <v>0</v>
      </c>
      <c r="O829" s="148">
        <f t="shared" si="224"/>
        <v>0</v>
      </c>
      <c r="P829" s="148">
        <f t="shared" si="224"/>
        <v>5</v>
      </c>
      <c r="Q829" s="148">
        <f t="shared" si="224"/>
        <v>0</v>
      </c>
      <c r="R829" s="148">
        <f t="shared" si="224"/>
        <v>0</v>
      </c>
      <c r="S829" s="198"/>
      <c r="T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R830" si="225">(H820*H829)</f>
        <v>0</v>
      </c>
      <c r="I830" s="150">
        <f t="shared" si="225"/>
        <v>0</v>
      </c>
      <c r="J830" s="150">
        <f t="shared" si="225"/>
        <v>20000</v>
      </c>
      <c r="K830" s="150">
        <f t="shared" si="225"/>
        <v>0</v>
      </c>
      <c r="L830" s="150">
        <f t="shared" si="225"/>
        <v>0</v>
      </c>
      <c r="M830" s="150">
        <f t="shared" si="225"/>
        <v>50000</v>
      </c>
      <c r="N830" s="150">
        <f t="shared" si="225"/>
        <v>0</v>
      </c>
      <c r="O830" s="150">
        <f t="shared" si="225"/>
        <v>0</v>
      </c>
      <c r="P830" s="150">
        <f t="shared" si="225"/>
        <v>50000</v>
      </c>
      <c r="Q830" s="150">
        <f t="shared" si="225"/>
        <v>0</v>
      </c>
      <c r="R830" s="150">
        <f t="shared" si="225"/>
        <v>0</v>
      </c>
      <c r="S830" s="198"/>
      <c r="T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98"/>
      <c r="T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R832" si="226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6"/>
        <v>0</v>
      </c>
      <c r="J832" s="148">
        <f t="shared" si="226"/>
        <v>0</v>
      </c>
      <c r="K832" s="148">
        <f t="shared" si="226"/>
        <v>0</v>
      </c>
      <c r="L832" s="148">
        <f t="shared" si="226"/>
        <v>0</v>
      </c>
      <c r="M832" s="148">
        <f t="shared" si="226"/>
        <v>0</v>
      </c>
      <c r="N832" s="148">
        <f t="shared" si="226"/>
        <v>0</v>
      </c>
      <c r="O832" s="148">
        <f t="shared" si="226"/>
        <v>0</v>
      </c>
      <c r="P832" s="148">
        <f t="shared" si="226"/>
        <v>0</v>
      </c>
      <c r="Q832" s="148">
        <f t="shared" si="226"/>
        <v>0</v>
      </c>
      <c r="R832" s="148">
        <f t="shared" si="226"/>
        <v>0</v>
      </c>
      <c r="S832" s="198"/>
      <c r="T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R833" si="227">(H821*H832)</f>
        <v>0</v>
      </c>
      <c r="I833" s="150">
        <f t="shared" si="227"/>
        <v>0</v>
      </c>
      <c r="J833" s="150">
        <f t="shared" si="227"/>
        <v>0</v>
      </c>
      <c r="K833" s="150">
        <f t="shared" si="227"/>
        <v>0</v>
      </c>
      <c r="L833" s="150">
        <f t="shared" si="227"/>
        <v>0</v>
      </c>
      <c r="M833" s="150">
        <f t="shared" si="227"/>
        <v>0</v>
      </c>
      <c r="N833" s="150">
        <f t="shared" si="227"/>
        <v>0</v>
      </c>
      <c r="O833" s="150">
        <f t="shared" si="227"/>
        <v>0</v>
      </c>
      <c r="P833" s="150">
        <f t="shared" si="227"/>
        <v>0</v>
      </c>
      <c r="Q833" s="150">
        <f t="shared" si="227"/>
        <v>0</v>
      </c>
      <c r="R833" s="150">
        <f t="shared" si="227"/>
        <v>0</v>
      </c>
      <c r="S833" s="198"/>
      <c r="T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98"/>
      <c r="T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R835" si="228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8"/>
        <v>0</v>
      </c>
      <c r="J835" s="148">
        <f t="shared" si="228"/>
        <v>0</v>
      </c>
      <c r="K835" s="148">
        <f t="shared" si="228"/>
        <v>0</v>
      </c>
      <c r="L835" s="148">
        <f t="shared" si="228"/>
        <v>0</v>
      </c>
      <c r="M835" s="148">
        <f t="shared" si="228"/>
        <v>0</v>
      </c>
      <c r="N835" s="148">
        <f t="shared" si="228"/>
        <v>0</v>
      </c>
      <c r="O835" s="148">
        <f t="shared" si="228"/>
        <v>0</v>
      </c>
      <c r="P835" s="148">
        <f t="shared" si="228"/>
        <v>0</v>
      </c>
      <c r="Q835" s="148">
        <f t="shared" si="228"/>
        <v>0</v>
      </c>
      <c r="R835" s="148">
        <f t="shared" si="228"/>
        <v>0</v>
      </c>
      <c r="S835" s="198"/>
      <c r="T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R836" si="229">(H822*H835)</f>
        <v>0</v>
      </c>
      <c r="I836" s="150">
        <f t="shared" si="229"/>
        <v>0</v>
      </c>
      <c r="J836" s="150">
        <f t="shared" si="229"/>
        <v>0</v>
      </c>
      <c r="K836" s="150">
        <f t="shared" si="229"/>
        <v>0</v>
      </c>
      <c r="L836" s="150">
        <f t="shared" si="229"/>
        <v>0</v>
      </c>
      <c r="M836" s="150">
        <f t="shared" si="229"/>
        <v>0</v>
      </c>
      <c r="N836" s="150">
        <f t="shared" si="229"/>
        <v>0</v>
      </c>
      <c r="O836" s="150">
        <f t="shared" si="229"/>
        <v>0</v>
      </c>
      <c r="P836" s="150">
        <f t="shared" si="229"/>
        <v>0</v>
      </c>
      <c r="Q836" s="150">
        <f t="shared" si="229"/>
        <v>0</v>
      </c>
      <c r="R836" s="150">
        <f t="shared" si="229"/>
        <v>0</v>
      </c>
      <c r="S836" s="198"/>
      <c r="T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98"/>
      <c r="T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R838" si="230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30"/>
        <v>0</v>
      </c>
      <c r="J838" s="148">
        <f t="shared" si="230"/>
        <v>0</v>
      </c>
      <c r="K838" s="148">
        <f t="shared" si="230"/>
        <v>0</v>
      </c>
      <c r="L838" s="148">
        <f t="shared" si="230"/>
        <v>0</v>
      </c>
      <c r="M838" s="148">
        <f t="shared" si="230"/>
        <v>0</v>
      </c>
      <c r="N838" s="148">
        <f t="shared" si="230"/>
        <v>0</v>
      </c>
      <c r="O838" s="148">
        <f t="shared" si="230"/>
        <v>0</v>
      </c>
      <c r="P838" s="148">
        <f t="shared" si="230"/>
        <v>0</v>
      </c>
      <c r="Q838" s="148">
        <f t="shared" si="230"/>
        <v>0</v>
      </c>
      <c r="R838" s="148">
        <f t="shared" si="230"/>
        <v>0</v>
      </c>
      <c r="S838" s="198"/>
      <c r="T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R839" si="231">(H823*H838)</f>
        <v>0</v>
      </c>
      <c r="I839" s="150">
        <f t="shared" si="231"/>
        <v>0</v>
      </c>
      <c r="J839" s="150">
        <f t="shared" si="231"/>
        <v>0</v>
      </c>
      <c r="K839" s="150">
        <f t="shared" si="231"/>
        <v>0</v>
      </c>
      <c r="L839" s="150">
        <f t="shared" si="231"/>
        <v>0</v>
      </c>
      <c r="M839" s="150">
        <f t="shared" si="231"/>
        <v>0</v>
      </c>
      <c r="N839" s="150">
        <f t="shared" si="231"/>
        <v>0</v>
      </c>
      <c r="O839" s="150">
        <f t="shared" si="231"/>
        <v>0</v>
      </c>
      <c r="P839" s="150">
        <f t="shared" si="231"/>
        <v>0</v>
      </c>
      <c r="Q839" s="150">
        <f t="shared" si="231"/>
        <v>0</v>
      </c>
      <c r="R839" s="150">
        <f t="shared" si="231"/>
        <v>0</v>
      </c>
      <c r="S839" s="198"/>
      <c r="T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98"/>
      <c r="T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37</v>
      </c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198"/>
      <c r="T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0.01298648649</v>
      </c>
      <c r="H843" s="149">
        <f>H442</f>
        <v>1441500</v>
      </c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60"/>
      <c r="T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60"/>
      <c r="T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111000000</v>
      </c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60"/>
      <c r="T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60"/>
      <c r="T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0.03895945946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>
        <v>0.3</v>
      </c>
      <c r="N847" s="145">
        <v>0.0</v>
      </c>
      <c r="O847" s="145">
        <v>0.0</v>
      </c>
      <c r="P847" s="145">
        <v>0.3</v>
      </c>
      <c r="Q847" s="145">
        <v>0.0</v>
      </c>
      <c r="R847" s="145">
        <v>0.0</v>
      </c>
      <c r="S847" s="145"/>
      <c r="T847" s="160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4324500</v>
      </c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6"/>
      <c r="T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1441500</v>
      </c>
      <c r="I849" s="149">
        <f t="shared" ref="I849:R849" si="232">H849+I858</f>
        <v>1441500</v>
      </c>
      <c r="J849" s="149">
        <f t="shared" si="232"/>
        <v>1712500</v>
      </c>
      <c r="K849" s="149">
        <f t="shared" si="232"/>
        <v>1712500</v>
      </c>
      <c r="L849" s="149">
        <f t="shared" si="232"/>
        <v>1712500</v>
      </c>
      <c r="M849" s="149">
        <f t="shared" si="232"/>
        <v>2501500</v>
      </c>
      <c r="N849" s="149">
        <f t="shared" si="232"/>
        <v>2501500</v>
      </c>
      <c r="O849" s="149">
        <f t="shared" si="232"/>
        <v>2501500</v>
      </c>
      <c r="P849" s="149">
        <f t="shared" si="232"/>
        <v>3381500</v>
      </c>
      <c r="Q849" s="149">
        <f t="shared" si="232"/>
        <v>3381500</v>
      </c>
      <c r="R849" s="149">
        <f t="shared" si="232"/>
        <v>3381500</v>
      </c>
      <c r="S849" s="199">
        <f>R849</f>
        <v>3381500</v>
      </c>
      <c r="T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2883000</v>
      </c>
      <c r="H850" s="149">
        <f t="shared" ref="H850:R850" si="233">$G$850*H847</f>
        <v>0</v>
      </c>
      <c r="I850" s="149">
        <f t="shared" si="233"/>
        <v>0</v>
      </c>
      <c r="J850" s="149">
        <f t="shared" si="233"/>
        <v>288300</v>
      </c>
      <c r="K850" s="149">
        <f t="shared" si="233"/>
        <v>0</v>
      </c>
      <c r="L850" s="149">
        <f t="shared" si="233"/>
        <v>0</v>
      </c>
      <c r="M850" s="149">
        <f t="shared" si="233"/>
        <v>864900</v>
      </c>
      <c r="N850" s="149">
        <f t="shared" si="233"/>
        <v>0</v>
      </c>
      <c r="O850" s="149">
        <f t="shared" si="233"/>
        <v>0</v>
      </c>
      <c r="P850" s="149">
        <f t="shared" si="233"/>
        <v>864900</v>
      </c>
      <c r="Q850" s="149">
        <f t="shared" si="233"/>
        <v>0</v>
      </c>
      <c r="R850" s="149">
        <f t="shared" si="233"/>
        <v>0</v>
      </c>
      <c r="S850" s="199">
        <f>SUM(H850:R850)</f>
        <v>2018100</v>
      </c>
      <c r="T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60"/>
      <c r="T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R852" si="234">$H$845-H849</f>
        <v>109558500</v>
      </c>
      <c r="I852" s="149">
        <f t="shared" si="234"/>
        <v>109558500</v>
      </c>
      <c r="J852" s="149">
        <f t="shared" si="234"/>
        <v>109287500</v>
      </c>
      <c r="K852" s="149">
        <f t="shared" si="234"/>
        <v>109287500</v>
      </c>
      <c r="L852" s="149">
        <f t="shared" si="234"/>
        <v>109287500</v>
      </c>
      <c r="M852" s="149">
        <f t="shared" si="234"/>
        <v>108498500</v>
      </c>
      <c r="N852" s="149">
        <f t="shared" si="234"/>
        <v>108498500</v>
      </c>
      <c r="O852" s="149">
        <f t="shared" si="234"/>
        <v>108498500</v>
      </c>
      <c r="P852" s="149">
        <f t="shared" si="234"/>
        <v>107618500</v>
      </c>
      <c r="Q852" s="149">
        <f t="shared" si="234"/>
        <v>107618500</v>
      </c>
      <c r="R852" s="149">
        <f t="shared" si="234"/>
        <v>107618500</v>
      </c>
      <c r="S852" s="160"/>
      <c r="T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S853" si="235">IFERROR(H849/$H$845,0)</f>
        <v>0.01298648649</v>
      </c>
      <c r="I853" s="142">
        <f t="shared" si="235"/>
        <v>0.01298648649</v>
      </c>
      <c r="J853" s="142">
        <f t="shared" si="235"/>
        <v>0.01542792793</v>
      </c>
      <c r="K853" s="142">
        <f t="shared" si="235"/>
        <v>0.01542792793</v>
      </c>
      <c r="L853" s="142">
        <f t="shared" si="235"/>
        <v>0.01542792793</v>
      </c>
      <c r="M853" s="142">
        <f t="shared" si="235"/>
        <v>0.02253603604</v>
      </c>
      <c r="N853" s="142">
        <f t="shared" si="235"/>
        <v>0.02253603604</v>
      </c>
      <c r="O853" s="142">
        <f t="shared" si="235"/>
        <v>0.02253603604</v>
      </c>
      <c r="P853" s="142">
        <f t="shared" si="235"/>
        <v>0.03046396396</v>
      </c>
      <c r="Q853" s="142">
        <f t="shared" si="235"/>
        <v>0.03046396396</v>
      </c>
      <c r="R853" s="142">
        <f t="shared" si="235"/>
        <v>0.03046396396</v>
      </c>
      <c r="S853" s="200">
        <f t="shared" si="235"/>
        <v>0.03046396396</v>
      </c>
      <c r="T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S854" si="236">IFERROR(1-(H849/$H$845),0)</f>
        <v>0.9870135135</v>
      </c>
      <c r="I854" s="142">
        <f t="shared" si="236"/>
        <v>0.9870135135</v>
      </c>
      <c r="J854" s="142">
        <f t="shared" si="236"/>
        <v>0.9845720721</v>
      </c>
      <c r="K854" s="142">
        <f t="shared" si="236"/>
        <v>0.9845720721</v>
      </c>
      <c r="L854" s="142">
        <f t="shared" si="236"/>
        <v>0.9845720721</v>
      </c>
      <c r="M854" s="142">
        <f t="shared" si="236"/>
        <v>0.977463964</v>
      </c>
      <c r="N854" s="142">
        <f t="shared" si="236"/>
        <v>0.977463964</v>
      </c>
      <c r="O854" s="142">
        <f t="shared" si="236"/>
        <v>0.977463964</v>
      </c>
      <c r="P854" s="142">
        <f t="shared" si="236"/>
        <v>0.969536036</v>
      </c>
      <c r="Q854" s="142">
        <f t="shared" si="236"/>
        <v>0.969536036</v>
      </c>
      <c r="R854" s="142">
        <f t="shared" si="236"/>
        <v>0.969536036</v>
      </c>
      <c r="S854" s="200">
        <f t="shared" si="236"/>
        <v>0.969536036</v>
      </c>
      <c r="T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8"/>
      <c r="T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7">ROUNDUP(H850/H857,0)</f>
        <v>0</v>
      </c>
      <c r="I856" s="190">
        <f t="shared" si="237"/>
        <v>0</v>
      </c>
      <c r="J856" s="190">
        <f t="shared" si="237"/>
        <v>14</v>
      </c>
      <c r="K856" s="190">
        <f t="shared" si="237"/>
        <v>0</v>
      </c>
      <c r="L856" s="190">
        <f t="shared" si="237"/>
        <v>0</v>
      </c>
      <c r="M856" s="190">
        <f>ROUND(M850/M857,0)</f>
        <v>39</v>
      </c>
      <c r="N856" s="190">
        <f t="shared" ref="N856:R856" si="238">ROUNDUP(N850/N857,0)</f>
        <v>0</v>
      </c>
      <c r="O856" s="190">
        <f t="shared" si="238"/>
        <v>0</v>
      </c>
      <c r="P856" s="190">
        <f t="shared" si="238"/>
        <v>40</v>
      </c>
      <c r="Q856" s="190">
        <f t="shared" si="238"/>
        <v>0</v>
      </c>
      <c r="R856" s="190">
        <f t="shared" si="238"/>
        <v>0</v>
      </c>
      <c r="S856" s="201">
        <f>SUM(H856:R856)</f>
        <v>93</v>
      </c>
      <c r="T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56">
        <v>22000.0</v>
      </c>
      <c r="N857" s="156">
        <v>22000.0</v>
      </c>
      <c r="O857" s="156">
        <v>22000.0</v>
      </c>
      <c r="P857" s="156">
        <v>22000.0</v>
      </c>
      <c r="Q857" s="156">
        <v>22000.0</v>
      </c>
      <c r="R857" s="156">
        <v>22000.0</v>
      </c>
      <c r="S857" s="198"/>
      <c r="T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R858" si="239">SUM(H872,H875,H878,H881,H884)</f>
        <v>0</v>
      </c>
      <c r="I858" s="188">
        <f t="shared" si="239"/>
        <v>0</v>
      </c>
      <c r="J858" s="188">
        <f t="shared" si="239"/>
        <v>271000</v>
      </c>
      <c r="K858" s="188">
        <f t="shared" si="239"/>
        <v>0</v>
      </c>
      <c r="L858" s="188">
        <f t="shared" si="239"/>
        <v>0</v>
      </c>
      <c r="M858" s="188">
        <f t="shared" si="239"/>
        <v>789000</v>
      </c>
      <c r="N858" s="188">
        <f t="shared" si="239"/>
        <v>0</v>
      </c>
      <c r="O858" s="188">
        <f t="shared" si="239"/>
        <v>0</v>
      </c>
      <c r="P858" s="188">
        <f t="shared" si="239"/>
        <v>880000</v>
      </c>
      <c r="Q858" s="188">
        <f t="shared" si="239"/>
        <v>0</v>
      </c>
      <c r="R858" s="188">
        <f t="shared" si="239"/>
        <v>0</v>
      </c>
      <c r="S858" s="196">
        <f>SUM(H858:R858)</f>
        <v>1940000</v>
      </c>
      <c r="T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203">
        <v>0.4</v>
      </c>
      <c r="N859" s="203">
        <v>0.4</v>
      </c>
      <c r="O859" s="203">
        <v>0.4</v>
      </c>
      <c r="P859" s="203">
        <v>0.4</v>
      </c>
      <c r="Q859" s="203">
        <v>0.4</v>
      </c>
      <c r="R859" s="203">
        <v>0.4</v>
      </c>
      <c r="S859" s="198"/>
      <c r="T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203">
        <v>0.4</v>
      </c>
      <c r="N860" s="203">
        <v>0.4</v>
      </c>
      <c r="O860" s="203">
        <v>0.4</v>
      </c>
      <c r="P860" s="203">
        <v>0.4</v>
      </c>
      <c r="Q860" s="203">
        <v>0.4</v>
      </c>
      <c r="R860" s="203">
        <v>0.4</v>
      </c>
      <c r="S860" s="198"/>
      <c r="T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203">
        <v>0.1</v>
      </c>
      <c r="N861" s="203">
        <v>0.1</v>
      </c>
      <c r="O861" s="203">
        <v>0.1</v>
      </c>
      <c r="P861" s="203">
        <v>0.1</v>
      </c>
      <c r="Q861" s="203">
        <v>0.1</v>
      </c>
      <c r="R861" s="203">
        <v>0.1</v>
      </c>
      <c r="S861" s="198"/>
      <c r="T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203">
        <v>0.1</v>
      </c>
      <c r="N862" s="203">
        <v>0.1</v>
      </c>
      <c r="O862" s="203">
        <v>0.1</v>
      </c>
      <c r="P862" s="203">
        <v>0.1</v>
      </c>
      <c r="Q862" s="203">
        <v>0.1</v>
      </c>
      <c r="R862" s="203">
        <v>0.1</v>
      </c>
      <c r="S862" s="198"/>
      <c r="T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203">
        <v>0.0</v>
      </c>
      <c r="N863" s="203">
        <v>0.0</v>
      </c>
      <c r="O863" s="203">
        <v>0.0</v>
      </c>
      <c r="P863" s="203">
        <v>0.0</v>
      </c>
      <c r="Q863" s="203">
        <v>0.0</v>
      </c>
      <c r="R863" s="203">
        <v>0.0</v>
      </c>
      <c r="S863" s="198"/>
      <c r="T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204">
        <v>25000.0</v>
      </c>
      <c r="N864" s="204">
        <v>25000.0</v>
      </c>
      <c r="O864" s="204">
        <v>25000.0</v>
      </c>
      <c r="P864" s="204">
        <v>25000.0</v>
      </c>
      <c r="Q864" s="204">
        <v>25000.0</v>
      </c>
      <c r="R864" s="204">
        <v>25000.0</v>
      </c>
      <c r="S864" s="198"/>
      <c r="T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204">
        <v>10000.0</v>
      </c>
      <c r="N865" s="204">
        <v>10000.0</v>
      </c>
      <c r="O865" s="204">
        <v>10000.0</v>
      </c>
      <c r="P865" s="204">
        <v>10000.0</v>
      </c>
      <c r="Q865" s="204">
        <v>10000.0</v>
      </c>
      <c r="R865" s="204">
        <v>10000.0</v>
      </c>
      <c r="S865" s="198"/>
      <c r="T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204">
        <v>8000.0</v>
      </c>
      <c r="N866" s="204">
        <v>8000.0</v>
      </c>
      <c r="O866" s="204">
        <v>8000.0</v>
      </c>
      <c r="P866" s="204">
        <v>8000.0</v>
      </c>
      <c r="Q866" s="204">
        <v>8000.0</v>
      </c>
      <c r="R866" s="204">
        <v>8000.0</v>
      </c>
      <c r="S866" s="198"/>
      <c r="T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204">
        <v>72000.0</v>
      </c>
      <c r="N867" s="204">
        <v>72000.0</v>
      </c>
      <c r="O867" s="204">
        <v>72000.0</v>
      </c>
      <c r="P867" s="204">
        <v>72000.0</v>
      </c>
      <c r="Q867" s="204">
        <v>72000.0</v>
      </c>
      <c r="R867" s="204">
        <v>72000.0</v>
      </c>
      <c r="S867" s="198"/>
      <c r="T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204">
        <v>0.0</v>
      </c>
      <c r="N868" s="204">
        <v>0.0</v>
      </c>
      <c r="O868" s="204">
        <v>0.0</v>
      </c>
      <c r="P868" s="204">
        <v>0.0</v>
      </c>
      <c r="Q868" s="204">
        <v>0.0</v>
      </c>
      <c r="R868" s="204">
        <v>0.0</v>
      </c>
      <c r="S868" s="198"/>
      <c r="T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62">
        <f>IFERROR(__xludf.DUMMYFUNCTION("MATCH(
  MIN(FILTER(M864:M868,M864:M868&gt;0)),
  M864:M868,
  0
)
"),3.0)</f>
        <v>3</v>
      </c>
      <c r="N869" s="162">
        <f>IFERROR(__xludf.DUMMYFUNCTION("MATCH(
  MIN(FILTER(N864:N868,N864:N868&gt;0)),
  N864:N868,
  0
)
"),3.0)</f>
        <v>3</v>
      </c>
      <c r="O869" s="162">
        <f>IFERROR(__xludf.DUMMYFUNCTION("MATCH(
  MIN(FILTER(O864:O868,O864:O868&gt;0)),
  O864:O868,
  0
)
"),3.0)</f>
        <v>3</v>
      </c>
      <c r="P869" s="162">
        <f>IFERROR(__xludf.DUMMYFUNCTION("MATCH(
  MIN(FILTER(P864:P868,P864:P868&gt;0)),
  P864:P868,
  0
)
"),3.0)</f>
        <v>3</v>
      </c>
      <c r="Q869" s="162">
        <f>IFERROR(__xludf.DUMMYFUNCTION("MATCH(
  MIN(FILTER(Q864:Q868,Q864:Q868&gt;0)),
  Q864:Q868,
  0
)
"),3.0)</f>
        <v>3</v>
      </c>
      <c r="R869" s="162">
        <f>IFERROR(__xludf.DUMMYFUNCTION("MATCH(
  MIN(FILTER(R864:R868,R864:R868&gt;0)),
  R864:R868,
  0
)
"),3.0)</f>
        <v>3</v>
      </c>
      <c r="S869" s="198"/>
      <c r="T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98"/>
      <c r="T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R871" si="240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40"/>
        <v>0</v>
      </c>
      <c r="J871" s="148">
        <f t="shared" si="240"/>
        <v>5</v>
      </c>
      <c r="K871" s="148">
        <f t="shared" si="240"/>
        <v>0</v>
      </c>
      <c r="L871" s="148">
        <f t="shared" si="240"/>
        <v>0</v>
      </c>
      <c r="M871" s="148">
        <f t="shared" si="240"/>
        <v>15</v>
      </c>
      <c r="N871" s="148">
        <f t="shared" si="240"/>
        <v>0</v>
      </c>
      <c r="O871" s="148">
        <f t="shared" si="240"/>
        <v>0</v>
      </c>
      <c r="P871" s="148">
        <f t="shared" si="240"/>
        <v>16</v>
      </c>
      <c r="Q871" s="148">
        <f t="shared" si="240"/>
        <v>0</v>
      </c>
      <c r="R871" s="148">
        <f t="shared" si="240"/>
        <v>0</v>
      </c>
      <c r="S871" s="198"/>
      <c r="T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R872" si="241">(H871*H864)</f>
        <v>0</v>
      </c>
      <c r="I872" s="150">
        <f t="shared" si="241"/>
        <v>0</v>
      </c>
      <c r="J872" s="150">
        <f t="shared" si="241"/>
        <v>125000</v>
      </c>
      <c r="K872" s="150">
        <f t="shared" si="241"/>
        <v>0</v>
      </c>
      <c r="L872" s="150">
        <f t="shared" si="241"/>
        <v>0</v>
      </c>
      <c r="M872" s="150">
        <f t="shared" si="241"/>
        <v>375000</v>
      </c>
      <c r="N872" s="150">
        <f t="shared" si="241"/>
        <v>0</v>
      </c>
      <c r="O872" s="150">
        <f t="shared" si="241"/>
        <v>0</v>
      </c>
      <c r="P872" s="150">
        <f t="shared" si="241"/>
        <v>400000</v>
      </c>
      <c r="Q872" s="150">
        <f t="shared" si="241"/>
        <v>0</v>
      </c>
      <c r="R872" s="150">
        <f t="shared" si="241"/>
        <v>0</v>
      </c>
      <c r="S872" s="198"/>
      <c r="T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98"/>
      <c r="T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R874" si="242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2"/>
        <v>0</v>
      </c>
      <c r="J874" s="148">
        <f t="shared" si="242"/>
        <v>5</v>
      </c>
      <c r="K874" s="148">
        <f t="shared" si="242"/>
        <v>0</v>
      </c>
      <c r="L874" s="148">
        <f t="shared" si="242"/>
        <v>0</v>
      </c>
      <c r="M874" s="148">
        <f t="shared" si="242"/>
        <v>15</v>
      </c>
      <c r="N874" s="148">
        <f t="shared" si="242"/>
        <v>0</v>
      </c>
      <c r="O874" s="148">
        <f t="shared" si="242"/>
        <v>0</v>
      </c>
      <c r="P874" s="148">
        <f t="shared" si="242"/>
        <v>16</v>
      </c>
      <c r="Q874" s="148">
        <f t="shared" si="242"/>
        <v>0</v>
      </c>
      <c r="R874" s="148">
        <f t="shared" si="242"/>
        <v>0</v>
      </c>
      <c r="S874" s="198"/>
      <c r="T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R875" si="243">(H865*H874)</f>
        <v>0</v>
      </c>
      <c r="I875" s="150">
        <f t="shared" si="243"/>
        <v>0</v>
      </c>
      <c r="J875" s="150">
        <f t="shared" si="243"/>
        <v>50000</v>
      </c>
      <c r="K875" s="150">
        <f t="shared" si="243"/>
        <v>0</v>
      </c>
      <c r="L875" s="150">
        <f t="shared" si="243"/>
        <v>0</v>
      </c>
      <c r="M875" s="150">
        <f t="shared" si="243"/>
        <v>150000</v>
      </c>
      <c r="N875" s="150">
        <f t="shared" si="243"/>
        <v>0</v>
      </c>
      <c r="O875" s="150">
        <f t="shared" si="243"/>
        <v>0</v>
      </c>
      <c r="P875" s="150">
        <f t="shared" si="243"/>
        <v>160000</v>
      </c>
      <c r="Q875" s="150">
        <f t="shared" si="243"/>
        <v>0</v>
      </c>
      <c r="R875" s="150">
        <f t="shared" si="243"/>
        <v>0</v>
      </c>
      <c r="S875" s="198"/>
      <c r="T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98"/>
      <c r="T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R877" si="244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4"/>
        <v>0</v>
      </c>
      <c r="J877" s="148">
        <f t="shared" si="244"/>
        <v>3</v>
      </c>
      <c r="K877" s="148">
        <f t="shared" si="244"/>
        <v>0</v>
      </c>
      <c r="L877" s="148">
        <f t="shared" si="244"/>
        <v>0</v>
      </c>
      <c r="M877" s="148">
        <f t="shared" si="244"/>
        <v>6</v>
      </c>
      <c r="N877" s="148">
        <f t="shared" si="244"/>
        <v>0</v>
      </c>
      <c r="O877" s="148">
        <f t="shared" si="244"/>
        <v>0</v>
      </c>
      <c r="P877" s="148">
        <f t="shared" si="244"/>
        <v>4</v>
      </c>
      <c r="Q877" s="148">
        <f t="shared" si="244"/>
        <v>0</v>
      </c>
      <c r="R877" s="148">
        <f t="shared" si="244"/>
        <v>0</v>
      </c>
      <c r="S877" s="198"/>
      <c r="T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R878" si="245">(H866*H877)</f>
        <v>0</v>
      </c>
      <c r="I878" s="150">
        <f t="shared" si="245"/>
        <v>0</v>
      </c>
      <c r="J878" s="150">
        <f t="shared" si="245"/>
        <v>24000</v>
      </c>
      <c r="K878" s="150">
        <f t="shared" si="245"/>
        <v>0</v>
      </c>
      <c r="L878" s="150">
        <f t="shared" si="245"/>
        <v>0</v>
      </c>
      <c r="M878" s="150">
        <f t="shared" si="245"/>
        <v>48000</v>
      </c>
      <c r="N878" s="150">
        <f t="shared" si="245"/>
        <v>0</v>
      </c>
      <c r="O878" s="150">
        <f t="shared" si="245"/>
        <v>0</v>
      </c>
      <c r="P878" s="150">
        <f t="shared" si="245"/>
        <v>32000</v>
      </c>
      <c r="Q878" s="150">
        <f t="shared" si="245"/>
        <v>0</v>
      </c>
      <c r="R878" s="150">
        <f t="shared" si="245"/>
        <v>0</v>
      </c>
      <c r="S878" s="198"/>
      <c r="T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98"/>
      <c r="T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R880" si="246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6"/>
        <v>0</v>
      </c>
      <c r="J880" s="148">
        <f t="shared" si="246"/>
        <v>1</v>
      </c>
      <c r="K880" s="148">
        <f t="shared" si="246"/>
        <v>0</v>
      </c>
      <c r="L880" s="148">
        <f t="shared" si="246"/>
        <v>0</v>
      </c>
      <c r="M880" s="148">
        <f t="shared" si="246"/>
        <v>3</v>
      </c>
      <c r="N880" s="148">
        <f t="shared" si="246"/>
        <v>0</v>
      </c>
      <c r="O880" s="148">
        <f t="shared" si="246"/>
        <v>0</v>
      </c>
      <c r="P880" s="148">
        <f t="shared" si="246"/>
        <v>4</v>
      </c>
      <c r="Q880" s="148">
        <f t="shared" si="246"/>
        <v>0</v>
      </c>
      <c r="R880" s="148">
        <f t="shared" si="246"/>
        <v>0</v>
      </c>
      <c r="S880" s="198"/>
      <c r="T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R881" si="247">(H867*H880)</f>
        <v>0</v>
      </c>
      <c r="I881" s="150">
        <f t="shared" si="247"/>
        <v>0</v>
      </c>
      <c r="J881" s="150">
        <f t="shared" si="247"/>
        <v>72000</v>
      </c>
      <c r="K881" s="150">
        <f t="shared" si="247"/>
        <v>0</v>
      </c>
      <c r="L881" s="150">
        <f t="shared" si="247"/>
        <v>0</v>
      </c>
      <c r="M881" s="150">
        <f t="shared" si="247"/>
        <v>216000</v>
      </c>
      <c r="N881" s="150">
        <f t="shared" si="247"/>
        <v>0</v>
      </c>
      <c r="O881" s="150">
        <f t="shared" si="247"/>
        <v>0</v>
      </c>
      <c r="P881" s="150">
        <f t="shared" si="247"/>
        <v>288000</v>
      </c>
      <c r="Q881" s="150">
        <f t="shared" si="247"/>
        <v>0</v>
      </c>
      <c r="R881" s="150">
        <f t="shared" si="247"/>
        <v>0</v>
      </c>
      <c r="S881" s="198"/>
      <c r="T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98"/>
      <c r="T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R883" si="248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8"/>
        <v>0</v>
      </c>
      <c r="J883" s="148">
        <f t="shared" si="248"/>
        <v>0</v>
      </c>
      <c r="K883" s="148">
        <f t="shared" si="248"/>
        <v>0</v>
      </c>
      <c r="L883" s="148">
        <f t="shared" si="248"/>
        <v>0</v>
      </c>
      <c r="M883" s="148">
        <f t="shared" si="248"/>
        <v>0</v>
      </c>
      <c r="N883" s="148">
        <f t="shared" si="248"/>
        <v>0</v>
      </c>
      <c r="O883" s="148">
        <f t="shared" si="248"/>
        <v>0</v>
      </c>
      <c r="P883" s="148">
        <f t="shared" si="248"/>
        <v>0</v>
      </c>
      <c r="Q883" s="148">
        <f t="shared" si="248"/>
        <v>0</v>
      </c>
      <c r="R883" s="148">
        <f t="shared" si="248"/>
        <v>0</v>
      </c>
      <c r="S883" s="198"/>
      <c r="T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R884" si="249">(H868*H883)</f>
        <v>0</v>
      </c>
      <c r="I884" s="150">
        <f t="shared" si="249"/>
        <v>0</v>
      </c>
      <c r="J884" s="150">
        <f t="shared" si="249"/>
        <v>0</v>
      </c>
      <c r="K884" s="150">
        <f t="shared" si="249"/>
        <v>0</v>
      </c>
      <c r="L884" s="150">
        <f t="shared" si="249"/>
        <v>0</v>
      </c>
      <c r="M884" s="150">
        <f t="shared" si="249"/>
        <v>0</v>
      </c>
      <c r="N884" s="150">
        <f t="shared" si="249"/>
        <v>0</v>
      </c>
      <c r="O884" s="150">
        <f t="shared" si="249"/>
        <v>0</v>
      </c>
      <c r="P884" s="150">
        <f t="shared" si="249"/>
        <v>0</v>
      </c>
      <c r="Q884" s="150">
        <f t="shared" si="249"/>
        <v>0</v>
      </c>
      <c r="R884" s="150">
        <f t="shared" si="249"/>
        <v>0</v>
      </c>
      <c r="S884" s="198"/>
      <c r="T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63"/>
      <c r="N885" s="163"/>
      <c r="O885" s="163"/>
      <c r="P885" s="163"/>
      <c r="Q885" s="163"/>
      <c r="R885" s="163"/>
      <c r="S885" s="1"/>
      <c r="T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196</v>
      </c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198"/>
      <c r="T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0.02817045918</v>
      </c>
      <c r="H888" s="210">
        <f>H$468</f>
        <v>5521410</v>
      </c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198"/>
      <c r="T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211"/>
      <c r="T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196000000</v>
      </c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1"/>
      <c r="T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1"/>
      <c r="T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0.05634091837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3">
        <v>0.1</v>
      </c>
      <c r="N892" s="213">
        <v>0.07</v>
      </c>
      <c r="O892" s="213">
        <v>0.05</v>
      </c>
      <c r="P892" s="213">
        <v>0.04</v>
      </c>
      <c r="Q892" s="213">
        <v>0.0</v>
      </c>
      <c r="R892" s="213">
        <v>0.0</v>
      </c>
      <c r="S892" s="211"/>
      <c r="T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11042820</v>
      </c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211"/>
      <c r="T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5521410</v>
      </c>
      <c r="I894" s="149">
        <f t="shared" ref="I894:R894" si="250">H894+I903</f>
        <v>7265410</v>
      </c>
      <c r="J894" s="149">
        <f t="shared" si="250"/>
        <v>8191410</v>
      </c>
      <c r="K894" s="149">
        <f t="shared" si="250"/>
        <v>9009410</v>
      </c>
      <c r="L894" s="149">
        <f t="shared" si="250"/>
        <v>9549410</v>
      </c>
      <c r="M894" s="149">
        <f t="shared" si="250"/>
        <v>10089410</v>
      </c>
      <c r="N894" s="149">
        <f t="shared" si="250"/>
        <v>10463410</v>
      </c>
      <c r="O894" s="149">
        <f t="shared" si="250"/>
        <v>10743410</v>
      </c>
      <c r="P894" s="149">
        <f t="shared" si="250"/>
        <v>10951410</v>
      </c>
      <c r="Q894" s="149">
        <f t="shared" si="250"/>
        <v>10951410</v>
      </c>
      <c r="R894" s="149">
        <f t="shared" si="250"/>
        <v>10951410</v>
      </c>
      <c r="S894" s="214">
        <f>R894</f>
        <v>10951410</v>
      </c>
      <c r="T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5521410</v>
      </c>
      <c r="H895" s="149">
        <f t="shared" ref="H895:R895" si="251">$G$895*H892</f>
        <v>0</v>
      </c>
      <c r="I895" s="149">
        <f t="shared" si="251"/>
        <v>1766851.2</v>
      </c>
      <c r="J895" s="149">
        <f t="shared" si="251"/>
        <v>938639.7</v>
      </c>
      <c r="K895" s="149">
        <f t="shared" si="251"/>
        <v>828211.5</v>
      </c>
      <c r="L895" s="149">
        <f t="shared" si="251"/>
        <v>552141</v>
      </c>
      <c r="M895" s="149">
        <f t="shared" si="251"/>
        <v>552141</v>
      </c>
      <c r="N895" s="149">
        <f t="shared" si="251"/>
        <v>386498.7</v>
      </c>
      <c r="O895" s="149">
        <f t="shared" si="251"/>
        <v>276070.5</v>
      </c>
      <c r="P895" s="149">
        <f t="shared" si="251"/>
        <v>220856.4</v>
      </c>
      <c r="Q895" s="149">
        <f t="shared" si="251"/>
        <v>0</v>
      </c>
      <c r="R895" s="149">
        <f t="shared" si="251"/>
        <v>0</v>
      </c>
      <c r="S895" s="214">
        <f>SUM(H895:R895)</f>
        <v>5521410</v>
      </c>
      <c r="T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1"/>
      <c r="T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R897" si="252">$H$890-H894</f>
        <v>190478590</v>
      </c>
      <c r="I897" s="149">
        <f t="shared" si="252"/>
        <v>188734590</v>
      </c>
      <c r="J897" s="149">
        <f t="shared" si="252"/>
        <v>187808590</v>
      </c>
      <c r="K897" s="149">
        <f t="shared" si="252"/>
        <v>186990590</v>
      </c>
      <c r="L897" s="149">
        <f t="shared" si="252"/>
        <v>186450590</v>
      </c>
      <c r="M897" s="149">
        <f t="shared" si="252"/>
        <v>185910590</v>
      </c>
      <c r="N897" s="149">
        <f t="shared" si="252"/>
        <v>185536590</v>
      </c>
      <c r="O897" s="149">
        <f t="shared" si="252"/>
        <v>185256590</v>
      </c>
      <c r="P897" s="149">
        <f t="shared" si="252"/>
        <v>185048590</v>
      </c>
      <c r="Q897" s="149">
        <f t="shared" si="252"/>
        <v>185048590</v>
      </c>
      <c r="R897" s="149">
        <f t="shared" si="252"/>
        <v>185048590</v>
      </c>
      <c r="S897" s="149"/>
      <c r="T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S898" si="253">IFERROR(H894/$H$890,0)</f>
        <v>0.02817045918</v>
      </c>
      <c r="I898" s="142">
        <f t="shared" si="253"/>
        <v>0.03706841837</v>
      </c>
      <c r="J898" s="142">
        <f t="shared" si="253"/>
        <v>0.04179290816</v>
      </c>
      <c r="K898" s="142">
        <f t="shared" si="253"/>
        <v>0.04596637755</v>
      </c>
      <c r="L898" s="142">
        <f t="shared" si="253"/>
        <v>0.04872147959</v>
      </c>
      <c r="M898" s="142">
        <f t="shared" si="253"/>
        <v>0.05147658163</v>
      </c>
      <c r="N898" s="142">
        <f t="shared" si="253"/>
        <v>0.0533847449</v>
      </c>
      <c r="O898" s="142">
        <f t="shared" si="253"/>
        <v>0.05481331633</v>
      </c>
      <c r="P898" s="142">
        <f t="shared" si="253"/>
        <v>0.05587454082</v>
      </c>
      <c r="Q898" s="142">
        <f t="shared" si="253"/>
        <v>0.05587454082</v>
      </c>
      <c r="R898" s="142">
        <f t="shared" si="253"/>
        <v>0.05587454082</v>
      </c>
      <c r="S898" s="215">
        <f t="shared" si="253"/>
        <v>0.05587454082</v>
      </c>
      <c r="T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S899" si="254">IFERROR(1-(H894/$H$890),0)</f>
        <v>0.9718295408</v>
      </c>
      <c r="I899" s="216">
        <f t="shared" si="254"/>
        <v>0.9629315816</v>
      </c>
      <c r="J899" s="216">
        <f t="shared" si="254"/>
        <v>0.9582070918</v>
      </c>
      <c r="K899" s="216">
        <f t="shared" si="254"/>
        <v>0.9540336224</v>
      </c>
      <c r="L899" s="216">
        <f t="shared" si="254"/>
        <v>0.9512785204</v>
      </c>
      <c r="M899" s="216">
        <f t="shared" si="254"/>
        <v>0.9485234184</v>
      </c>
      <c r="N899" s="216">
        <f t="shared" si="254"/>
        <v>0.9466152551</v>
      </c>
      <c r="O899" s="216">
        <f t="shared" si="254"/>
        <v>0.9451866837</v>
      </c>
      <c r="P899" s="216">
        <f t="shared" si="254"/>
        <v>0.9441254592</v>
      </c>
      <c r="Q899" s="216">
        <f t="shared" si="254"/>
        <v>0.9441254592</v>
      </c>
      <c r="R899" s="216">
        <f t="shared" si="254"/>
        <v>0.9441254592</v>
      </c>
      <c r="S899" s="215">
        <f t="shared" si="254"/>
        <v>0.9441254592</v>
      </c>
      <c r="T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211"/>
      <c r="T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5">ROUNDUP(H895/H902,0)</f>
        <v>0</v>
      </c>
      <c r="I901" s="217">
        <f t="shared" si="255"/>
        <v>98</v>
      </c>
      <c r="J901" s="217">
        <f t="shared" si="255"/>
        <v>52</v>
      </c>
      <c r="K901" s="217">
        <f t="shared" si="255"/>
        <v>46</v>
      </c>
      <c r="L901" s="217">
        <f t="shared" si="255"/>
        <v>31</v>
      </c>
      <c r="M901" s="217">
        <f>ROUND(M895/M902,0)</f>
        <v>31</v>
      </c>
      <c r="N901" s="217">
        <f t="shared" ref="N901:R901" si="256">ROUNDUP(N895/N902,0)</f>
        <v>22</v>
      </c>
      <c r="O901" s="217">
        <f t="shared" si="256"/>
        <v>16</v>
      </c>
      <c r="P901" s="217">
        <f t="shared" si="256"/>
        <v>13</v>
      </c>
      <c r="Q901" s="217">
        <f t="shared" si="256"/>
        <v>0</v>
      </c>
      <c r="R901" s="217">
        <f t="shared" si="256"/>
        <v>0</v>
      </c>
      <c r="S901" s="218">
        <f>SUM(H901:R901)</f>
        <v>309</v>
      </c>
      <c r="T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56">
        <v>18100.0</v>
      </c>
      <c r="N902" s="156">
        <v>18100.0</v>
      </c>
      <c r="O902" s="156">
        <v>18100.0</v>
      </c>
      <c r="P902" s="156">
        <v>18100.0</v>
      </c>
      <c r="Q902" s="156">
        <v>18100.0</v>
      </c>
      <c r="R902" s="156">
        <v>18100.0</v>
      </c>
      <c r="S902" s="198"/>
      <c r="T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R903" si="257">SUM(H917,H920,H923,H926,H929)</f>
        <v>0</v>
      </c>
      <c r="I903" s="188">
        <f t="shared" si="257"/>
        <v>1744000</v>
      </c>
      <c r="J903" s="188">
        <f t="shared" si="257"/>
        <v>926000</v>
      </c>
      <c r="K903" s="188">
        <f t="shared" si="257"/>
        <v>818000</v>
      </c>
      <c r="L903" s="188">
        <f t="shared" si="257"/>
        <v>540000</v>
      </c>
      <c r="M903" s="188">
        <f t="shared" si="257"/>
        <v>540000</v>
      </c>
      <c r="N903" s="188">
        <f t="shared" si="257"/>
        <v>374000</v>
      </c>
      <c r="O903" s="188">
        <f t="shared" si="257"/>
        <v>280000</v>
      </c>
      <c r="P903" s="188">
        <f t="shared" si="257"/>
        <v>208000</v>
      </c>
      <c r="Q903" s="188">
        <f t="shared" si="257"/>
        <v>0</v>
      </c>
      <c r="R903" s="188">
        <f t="shared" si="257"/>
        <v>0</v>
      </c>
      <c r="S903" s="214">
        <f>SUM(H903:R903)</f>
        <v>5430000</v>
      </c>
      <c r="T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203">
        <v>0.25</v>
      </c>
      <c r="N904" s="203">
        <v>0.25</v>
      </c>
      <c r="O904" s="203">
        <v>0.25</v>
      </c>
      <c r="P904" s="203">
        <v>0.25</v>
      </c>
      <c r="Q904" s="203">
        <v>0.25</v>
      </c>
      <c r="R904" s="203">
        <v>0.25</v>
      </c>
      <c r="S904" s="198"/>
      <c r="T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203">
        <v>0.35</v>
      </c>
      <c r="N905" s="203">
        <v>0.35</v>
      </c>
      <c r="O905" s="203">
        <v>0.35</v>
      </c>
      <c r="P905" s="203">
        <v>0.35</v>
      </c>
      <c r="Q905" s="203">
        <v>0.35</v>
      </c>
      <c r="R905" s="203">
        <v>0.35</v>
      </c>
      <c r="S905" s="198"/>
      <c r="T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203">
        <v>0.2</v>
      </c>
      <c r="N906" s="203">
        <v>0.2</v>
      </c>
      <c r="O906" s="203">
        <v>0.2</v>
      </c>
      <c r="P906" s="203">
        <v>0.2</v>
      </c>
      <c r="Q906" s="203">
        <v>0.2</v>
      </c>
      <c r="R906" s="203">
        <v>0.2</v>
      </c>
      <c r="S906" s="198"/>
      <c r="T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203">
        <v>0.2</v>
      </c>
      <c r="N907" s="203">
        <v>0.2</v>
      </c>
      <c r="O907" s="203">
        <v>0.2</v>
      </c>
      <c r="P907" s="203">
        <v>0.2</v>
      </c>
      <c r="Q907" s="203">
        <v>0.2</v>
      </c>
      <c r="R907" s="203">
        <v>0.2</v>
      </c>
      <c r="S907" s="198"/>
      <c r="T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203">
        <v>0.0</v>
      </c>
      <c r="N908" s="203">
        <v>0.0</v>
      </c>
      <c r="O908" s="203">
        <v>0.0</v>
      </c>
      <c r="P908" s="203">
        <v>0.0</v>
      </c>
      <c r="Q908" s="203">
        <v>0.0</v>
      </c>
      <c r="R908" s="203">
        <v>0.0</v>
      </c>
      <c r="S908" s="198"/>
      <c r="T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204">
        <v>20000.0</v>
      </c>
      <c r="N909" s="204">
        <v>20000.0</v>
      </c>
      <c r="O909" s="204">
        <v>20000.0</v>
      </c>
      <c r="P909" s="204">
        <v>20000.0</v>
      </c>
      <c r="Q909" s="204">
        <v>20000.0</v>
      </c>
      <c r="R909" s="204">
        <v>20000.0</v>
      </c>
      <c r="S909" s="198"/>
      <c r="T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204">
        <v>10000.0</v>
      </c>
      <c r="N910" s="204">
        <v>10000.0</v>
      </c>
      <c r="O910" s="204">
        <v>10000.0</v>
      </c>
      <c r="P910" s="204">
        <v>10000.0</v>
      </c>
      <c r="Q910" s="204">
        <v>10000.0</v>
      </c>
      <c r="R910" s="204">
        <v>10000.0</v>
      </c>
      <c r="S910" s="198"/>
      <c r="T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204">
        <v>6000.0</v>
      </c>
      <c r="N911" s="204">
        <v>6000.0</v>
      </c>
      <c r="O911" s="204">
        <v>6000.0</v>
      </c>
      <c r="P911" s="204">
        <v>6000.0</v>
      </c>
      <c r="Q911" s="204">
        <v>6000.0</v>
      </c>
      <c r="R911" s="204">
        <v>6000.0</v>
      </c>
      <c r="S911" s="198"/>
      <c r="T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204">
        <v>42000.0</v>
      </c>
      <c r="N912" s="204">
        <v>42000.0</v>
      </c>
      <c r="O912" s="204">
        <v>42000.0</v>
      </c>
      <c r="P912" s="204">
        <v>42000.0</v>
      </c>
      <c r="Q912" s="204">
        <v>42000.0</v>
      </c>
      <c r="R912" s="204">
        <v>42000.0</v>
      </c>
      <c r="S912" s="198"/>
      <c r="T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204">
        <v>0.0</v>
      </c>
      <c r="N913" s="204">
        <v>0.0</v>
      </c>
      <c r="O913" s="204">
        <v>0.0</v>
      </c>
      <c r="P913" s="204">
        <v>0.0</v>
      </c>
      <c r="Q913" s="204">
        <v>0.0</v>
      </c>
      <c r="R913" s="204">
        <v>0.0</v>
      </c>
      <c r="S913" s="198"/>
      <c r="T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62">
        <f>IFERROR(__xludf.DUMMYFUNCTION("MATCH(
  MIN(FILTER(M909:M913,M909:M913&gt;0)),
  M909:M913,
  0
)
"),3.0)</f>
        <v>3</v>
      </c>
      <c r="N914" s="162">
        <f>IFERROR(__xludf.DUMMYFUNCTION("MATCH(
  MIN(FILTER(N909:N913,N909:N913&gt;0)),
  N909:N913,
  0
)
"),3.0)</f>
        <v>3</v>
      </c>
      <c r="O914" s="162">
        <f>IFERROR(__xludf.DUMMYFUNCTION("MATCH(
  MIN(FILTER(O909:O913,O909:O913&gt;0)),
  O909:O913,
  0
)
"),3.0)</f>
        <v>3</v>
      </c>
      <c r="P914" s="162">
        <f>IFERROR(__xludf.DUMMYFUNCTION("MATCH(
  MIN(FILTER(P909:P913,P909:P913&gt;0)),
  P909:P913,
  0
)
"),3.0)</f>
        <v>3</v>
      </c>
      <c r="Q914" s="162">
        <f>IFERROR(__xludf.DUMMYFUNCTION("MATCH(
  MIN(FILTER(Q909:Q913,Q909:Q913&gt;0)),
  Q909:Q913,
  0
)
"),3.0)</f>
        <v>3</v>
      </c>
      <c r="R914" s="162">
        <f>IFERROR(__xludf.DUMMYFUNCTION("MATCH(
  MIN(FILTER(R909:R913,R909:R913&gt;0)),
  R909:R913,
  0
)
"),3.0)</f>
        <v>3</v>
      </c>
      <c r="S914" s="198"/>
      <c r="T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98"/>
      <c r="T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R916" si="258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8"/>
        <v>24</v>
      </c>
      <c r="J916" s="148">
        <f t="shared" si="258"/>
        <v>13</v>
      </c>
      <c r="K916" s="148">
        <f t="shared" si="258"/>
        <v>11</v>
      </c>
      <c r="L916" s="148">
        <f t="shared" si="258"/>
        <v>7</v>
      </c>
      <c r="M916" s="148">
        <f t="shared" si="258"/>
        <v>7</v>
      </c>
      <c r="N916" s="148">
        <f t="shared" si="258"/>
        <v>5</v>
      </c>
      <c r="O916" s="148">
        <f t="shared" si="258"/>
        <v>4</v>
      </c>
      <c r="P916" s="148">
        <f t="shared" si="258"/>
        <v>3</v>
      </c>
      <c r="Q916" s="148">
        <f t="shared" si="258"/>
        <v>0</v>
      </c>
      <c r="R916" s="148">
        <f t="shared" si="258"/>
        <v>0</v>
      </c>
      <c r="S916" s="198"/>
      <c r="T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R917" si="259">(H916*H909)</f>
        <v>0</v>
      </c>
      <c r="I917" s="150">
        <f t="shared" si="259"/>
        <v>480000</v>
      </c>
      <c r="J917" s="150">
        <f t="shared" si="259"/>
        <v>260000</v>
      </c>
      <c r="K917" s="150">
        <f t="shared" si="259"/>
        <v>220000</v>
      </c>
      <c r="L917" s="150">
        <f t="shared" si="259"/>
        <v>140000</v>
      </c>
      <c r="M917" s="150">
        <f t="shared" si="259"/>
        <v>140000</v>
      </c>
      <c r="N917" s="150">
        <f t="shared" si="259"/>
        <v>100000</v>
      </c>
      <c r="O917" s="150">
        <f t="shared" si="259"/>
        <v>80000</v>
      </c>
      <c r="P917" s="150">
        <f t="shared" si="259"/>
        <v>60000</v>
      </c>
      <c r="Q917" s="150">
        <f t="shared" si="259"/>
        <v>0</v>
      </c>
      <c r="R917" s="150">
        <f t="shared" si="259"/>
        <v>0</v>
      </c>
      <c r="S917" s="198"/>
      <c r="T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98"/>
      <c r="T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R919" si="260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60"/>
        <v>34</v>
      </c>
      <c r="J919" s="148">
        <f t="shared" si="260"/>
        <v>18</v>
      </c>
      <c r="K919" s="148">
        <f t="shared" si="260"/>
        <v>16</v>
      </c>
      <c r="L919" s="148">
        <f t="shared" si="260"/>
        <v>10</v>
      </c>
      <c r="M919" s="148">
        <f t="shared" si="260"/>
        <v>10</v>
      </c>
      <c r="N919" s="148">
        <f t="shared" si="260"/>
        <v>7</v>
      </c>
      <c r="O919" s="148">
        <f t="shared" si="260"/>
        <v>5</v>
      </c>
      <c r="P919" s="148">
        <f t="shared" si="260"/>
        <v>4</v>
      </c>
      <c r="Q919" s="148">
        <f t="shared" si="260"/>
        <v>0</v>
      </c>
      <c r="R919" s="148">
        <f t="shared" si="260"/>
        <v>0</v>
      </c>
      <c r="S919" s="198"/>
      <c r="T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R920" si="261">(H910*H919)</f>
        <v>0</v>
      </c>
      <c r="I920" s="150">
        <f t="shared" si="261"/>
        <v>340000</v>
      </c>
      <c r="J920" s="150">
        <f t="shared" si="261"/>
        <v>180000</v>
      </c>
      <c r="K920" s="150">
        <f t="shared" si="261"/>
        <v>160000</v>
      </c>
      <c r="L920" s="150">
        <f t="shared" si="261"/>
        <v>100000</v>
      </c>
      <c r="M920" s="150">
        <f t="shared" si="261"/>
        <v>100000</v>
      </c>
      <c r="N920" s="150">
        <f t="shared" si="261"/>
        <v>70000</v>
      </c>
      <c r="O920" s="150">
        <f t="shared" si="261"/>
        <v>50000</v>
      </c>
      <c r="P920" s="150">
        <f t="shared" si="261"/>
        <v>40000</v>
      </c>
      <c r="Q920" s="150">
        <f t="shared" si="261"/>
        <v>0</v>
      </c>
      <c r="R920" s="150">
        <f t="shared" si="261"/>
        <v>0</v>
      </c>
      <c r="S920" s="198"/>
      <c r="T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98"/>
      <c r="T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R922" si="262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62"/>
        <v>21</v>
      </c>
      <c r="J922" s="148">
        <f t="shared" si="262"/>
        <v>11</v>
      </c>
      <c r="K922" s="148">
        <f t="shared" si="262"/>
        <v>10</v>
      </c>
      <c r="L922" s="148">
        <f t="shared" si="262"/>
        <v>8</v>
      </c>
      <c r="M922" s="148">
        <f t="shared" si="262"/>
        <v>8</v>
      </c>
      <c r="N922" s="148">
        <f t="shared" si="262"/>
        <v>6</v>
      </c>
      <c r="O922" s="148">
        <f t="shared" si="262"/>
        <v>4</v>
      </c>
      <c r="P922" s="148">
        <f t="shared" si="262"/>
        <v>4</v>
      </c>
      <c r="Q922" s="148">
        <f t="shared" si="262"/>
        <v>0</v>
      </c>
      <c r="R922" s="148">
        <f t="shared" si="262"/>
        <v>0</v>
      </c>
      <c r="S922" s="198"/>
      <c r="T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R923" si="263">(H911*H922)</f>
        <v>0</v>
      </c>
      <c r="I923" s="150">
        <f t="shared" si="263"/>
        <v>126000</v>
      </c>
      <c r="J923" s="150">
        <f t="shared" si="263"/>
        <v>66000</v>
      </c>
      <c r="K923" s="150">
        <f t="shared" si="263"/>
        <v>60000</v>
      </c>
      <c r="L923" s="150">
        <f t="shared" si="263"/>
        <v>48000</v>
      </c>
      <c r="M923" s="150">
        <f t="shared" si="263"/>
        <v>48000</v>
      </c>
      <c r="N923" s="150">
        <f t="shared" si="263"/>
        <v>36000</v>
      </c>
      <c r="O923" s="150">
        <f t="shared" si="263"/>
        <v>24000</v>
      </c>
      <c r="P923" s="150">
        <f t="shared" si="263"/>
        <v>24000</v>
      </c>
      <c r="Q923" s="150">
        <f t="shared" si="263"/>
        <v>0</v>
      </c>
      <c r="R923" s="150">
        <f t="shared" si="263"/>
        <v>0</v>
      </c>
      <c r="S923" s="198"/>
      <c r="T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98"/>
      <c r="T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R925" si="264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4"/>
        <v>19</v>
      </c>
      <c r="J925" s="148">
        <f t="shared" si="264"/>
        <v>10</v>
      </c>
      <c r="K925" s="148">
        <f t="shared" si="264"/>
        <v>9</v>
      </c>
      <c r="L925" s="148">
        <f t="shared" si="264"/>
        <v>6</v>
      </c>
      <c r="M925" s="148">
        <f t="shared" si="264"/>
        <v>6</v>
      </c>
      <c r="N925" s="148">
        <f t="shared" si="264"/>
        <v>4</v>
      </c>
      <c r="O925" s="148">
        <f t="shared" si="264"/>
        <v>3</v>
      </c>
      <c r="P925" s="148">
        <f t="shared" si="264"/>
        <v>2</v>
      </c>
      <c r="Q925" s="148">
        <f t="shared" si="264"/>
        <v>0</v>
      </c>
      <c r="R925" s="148">
        <f t="shared" si="264"/>
        <v>0</v>
      </c>
      <c r="S925" s="198"/>
      <c r="T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R926" si="265">(H912*H925)</f>
        <v>0</v>
      </c>
      <c r="I926" s="150">
        <f t="shared" si="265"/>
        <v>798000</v>
      </c>
      <c r="J926" s="150">
        <f t="shared" si="265"/>
        <v>420000</v>
      </c>
      <c r="K926" s="150">
        <f t="shared" si="265"/>
        <v>378000</v>
      </c>
      <c r="L926" s="150">
        <f t="shared" si="265"/>
        <v>252000</v>
      </c>
      <c r="M926" s="150">
        <f t="shared" si="265"/>
        <v>252000</v>
      </c>
      <c r="N926" s="150">
        <f t="shared" si="265"/>
        <v>168000</v>
      </c>
      <c r="O926" s="150">
        <f t="shared" si="265"/>
        <v>126000</v>
      </c>
      <c r="P926" s="150">
        <f t="shared" si="265"/>
        <v>84000</v>
      </c>
      <c r="Q926" s="150">
        <f t="shared" si="265"/>
        <v>0</v>
      </c>
      <c r="R926" s="150">
        <f t="shared" si="265"/>
        <v>0</v>
      </c>
      <c r="S926" s="198"/>
      <c r="T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98"/>
      <c r="T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R928" si="266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6"/>
        <v>0</v>
      </c>
      <c r="J928" s="148">
        <f t="shared" si="266"/>
        <v>0</v>
      </c>
      <c r="K928" s="148">
        <f t="shared" si="266"/>
        <v>0</v>
      </c>
      <c r="L928" s="148">
        <f t="shared" si="266"/>
        <v>0</v>
      </c>
      <c r="M928" s="148">
        <f t="shared" si="266"/>
        <v>0</v>
      </c>
      <c r="N928" s="148">
        <f t="shared" si="266"/>
        <v>0</v>
      </c>
      <c r="O928" s="148">
        <f t="shared" si="266"/>
        <v>0</v>
      </c>
      <c r="P928" s="148">
        <f t="shared" si="266"/>
        <v>0</v>
      </c>
      <c r="Q928" s="148">
        <f t="shared" si="266"/>
        <v>0</v>
      </c>
      <c r="R928" s="148">
        <f t="shared" si="266"/>
        <v>0</v>
      </c>
      <c r="S928" s="198"/>
      <c r="T928" s="198"/>
    </row>
    <row r="929">
      <c r="A929" s="160"/>
      <c r="B929" s="160"/>
      <c r="C929" s="160"/>
      <c r="F929" s="172" t="s">
        <v>314</v>
      </c>
      <c r="G929" s="146"/>
      <c r="H929" s="150">
        <f t="shared" ref="H929:R929" si="267">(H913*H928)</f>
        <v>0</v>
      </c>
      <c r="I929" s="150">
        <f t="shared" si="267"/>
        <v>0</v>
      </c>
      <c r="J929" s="150">
        <f t="shared" si="267"/>
        <v>0</v>
      </c>
      <c r="K929" s="150">
        <f t="shared" si="267"/>
        <v>0</v>
      </c>
      <c r="L929" s="150">
        <f t="shared" si="267"/>
        <v>0</v>
      </c>
      <c r="M929" s="150">
        <f t="shared" si="267"/>
        <v>0</v>
      </c>
      <c r="N929" s="150">
        <f t="shared" si="267"/>
        <v>0</v>
      </c>
      <c r="O929" s="150">
        <f t="shared" si="267"/>
        <v>0</v>
      </c>
      <c r="P929" s="150">
        <f t="shared" si="267"/>
        <v>0</v>
      </c>
      <c r="Q929" s="150">
        <f t="shared" si="267"/>
        <v>0</v>
      </c>
      <c r="R929" s="150">
        <f t="shared" si="267"/>
        <v>0</v>
      </c>
      <c r="S929" s="198"/>
      <c r="T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98"/>
      <c r="T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63"/>
      <c r="N931" s="163"/>
      <c r="O931" s="163"/>
      <c r="P931" s="163"/>
      <c r="Q931" s="163"/>
      <c r="R931" s="163"/>
      <c r="S931" s="1"/>
      <c r="T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462</v>
      </c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198"/>
      <c r="T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0.2033116883</v>
      </c>
      <c r="H934" s="149">
        <f>SUM($H$494)</f>
        <v>8453700</v>
      </c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60"/>
      <c r="T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60"/>
      <c r="T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41580000</v>
      </c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60"/>
      <c r="T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60"/>
      <c r="T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0.3049675325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13">
        <v>0.1</v>
      </c>
      <c r="N938" s="213">
        <v>0.07</v>
      </c>
      <c r="O938" s="213">
        <v>0.05</v>
      </c>
      <c r="P938" s="213">
        <v>0.04</v>
      </c>
      <c r="Q938" s="213">
        <v>0.0</v>
      </c>
      <c r="R938" s="213">
        <v>0.0</v>
      </c>
      <c r="S938" s="200">
        <f>SUM(H938:R938)</f>
        <v>1</v>
      </c>
      <c r="T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12680550</v>
      </c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6"/>
      <c r="T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8453700</v>
      </c>
      <c r="I940" s="149">
        <f t="shared" ref="I940:R940" si="268">H940+I949</f>
        <v>9807700</v>
      </c>
      <c r="J940" s="149">
        <f t="shared" si="268"/>
        <v>10527700</v>
      </c>
      <c r="K940" s="149">
        <f t="shared" si="268"/>
        <v>11169700</v>
      </c>
      <c r="L940" s="149">
        <f t="shared" si="268"/>
        <v>11599700</v>
      </c>
      <c r="M940" s="149">
        <f t="shared" si="268"/>
        <v>12021700</v>
      </c>
      <c r="N940" s="149">
        <f t="shared" si="268"/>
        <v>12319700</v>
      </c>
      <c r="O940" s="149">
        <f t="shared" si="268"/>
        <v>12539700</v>
      </c>
      <c r="P940" s="149">
        <f t="shared" si="268"/>
        <v>12715700</v>
      </c>
      <c r="Q940" s="149">
        <f t="shared" si="268"/>
        <v>12715700</v>
      </c>
      <c r="R940" s="149">
        <f t="shared" si="268"/>
        <v>12715700</v>
      </c>
      <c r="S940" s="199">
        <f>R940</f>
        <v>12715700</v>
      </c>
      <c r="T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4226850</v>
      </c>
      <c r="H941" s="149">
        <f t="shared" ref="H941:R941" si="269">$G$941*H938</f>
        <v>0</v>
      </c>
      <c r="I941" s="149">
        <f t="shared" si="269"/>
        <v>1352592</v>
      </c>
      <c r="J941" s="149">
        <f t="shared" si="269"/>
        <v>718564.5</v>
      </c>
      <c r="K941" s="149">
        <f t="shared" si="269"/>
        <v>634027.5</v>
      </c>
      <c r="L941" s="149">
        <f t="shared" si="269"/>
        <v>422685</v>
      </c>
      <c r="M941" s="149">
        <f t="shared" si="269"/>
        <v>422685</v>
      </c>
      <c r="N941" s="149">
        <f t="shared" si="269"/>
        <v>295879.5</v>
      </c>
      <c r="O941" s="149">
        <f t="shared" si="269"/>
        <v>211342.5</v>
      </c>
      <c r="P941" s="149">
        <f t="shared" si="269"/>
        <v>169074</v>
      </c>
      <c r="Q941" s="149">
        <f t="shared" si="269"/>
        <v>0</v>
      </c>
      <c r="R941" s="149">
        <f t="shared" si="269"/>
        <v>0</v>
      </c>
      <c r="S941" s="199">
        <f>SUM(H941:R941)</f>
        <v>4226850</v>
      </c>
      <c r="T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60"/>
      <c r="T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R943" si="270">$H$936-H940</f>
        <v>33126300</v>
      </c>
      <c r="I943" s="149">
        <f t="shared" si="270"/>
        <v>31772300</v>
      </c>
      <c r="J943" s="149">
        <f t="shared" si="270"/>
        <v>31052300</v>
      </c>
      <c r="K943" s="149">
        <f t="shared" si="270"/>
        <v>30410300</v>
      </c>
      <c r="L943" s="149">
        <f t="shared" si="270"/>
        <v>29980300</v>
      </c>
      <c r="M943" s="149">
        <f t="shared" si="270"/>
        <v>29558300</v>
      </c>
      <c r="N943" s="149">
        <f t="shared" si="270"/>
        <v>29260300</v>
      </c>
      <c r="O943" s="149">
        <f t="shared" si="270"/>
        <v>29040300</v>
      </c>
      <c r="P943" s="149">
        <f t="shared" si="270"/>
        <v>28864300</v>
      </c>
      <c r="Q943" s="149">
        <f t="shared" si="270"/>
        <v>28864300</v>
      </c>
      <c r="R943" s="149">
        <f t="shared" si="270"/>
        <v>28864300</v>
      </c>
      <c r="S943" s="160"/>
      <c r="T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S944" si="271">IFERROR(H940/$H$936,0)</f>
        <v>0.2033116883</v>
      </c>
      <c r="I944" s="142">
        <f t="shared" si="271"/>
        <v>0.2358754209</v>
      </c>
      <c r="J944" s="142">
        <f t="shared" si="271"/>
        <v>0.2531914382</v>
      </c>
      <c r="K944" s="142">
        <f t="shared" si="271"/>
        <v>0.2686315536</v>
      </c>
      <c r="L944" s="142">
        <f t="shared" si="271"/>
        <v>0.278973064</v>
      </c>
      <c r="M944" s="142">
        <f t="shared" si="271"/>
        <v>0.2891221741</v>
      </c>
      <c r="N944" s="142">
        <f t="shared" si="271"/>
        <v>0.2962890813</v>
      </c>
      <c r="O944" s="142">
        <f t="shared" si="271"/>
        <v>0.3015800866</v>
      </c>
      <c r="P944" s="142">
        <f t="shared" si="271"/>
        <v>0.3058128908</v>
      </c>
      <c r="Q944" s="142">
        <f t="shared" si="271"/>
        <v>0.3058128908</v>
      </c>
      <c r="R944" s="142">
        <f t="shared" si="271"/>
        <v>0.3058128908</v>
      </c>
      <c r="S944" s="200">
        <f t="shared" si="271"/>
        <v>0.3058128908</v>
      </c>
      <c r="T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S945" si="272">IFERROR(1-(H940/$H$936),0)</f>
        <v>0.7966883117</v>
      </c>
      <c r="I945" s="142">
        <f t="shared" si="272"/>
        <v>0.7641245791</v>
      </c>
      <c r="J945" s="142">
        <f t="shared" si="272"/>
        <v>0.7468085618</v>
      </c>
      <c r="K945" s="142">
        <f t="shared" si="272"/>
        <v>0.7313684464</v>
      </c>
      <c r="L945" s="142">
        <f t="shared" si="272"/>
        <v>0.721026936</v>
      </c>
      <c r="M945" s="142">
        <f t="shared" si="272"/>
        <v>0.7108778259</v>
      </c>
      <c r="N945" s="142">
        <f t="shared" si="272"/>
        <v>0.7037109187</v>
      </c>
      <c r="O945" s="142">
        <f t="shared" si="272"/>
        <v>0.6984199134</v>
      </c>
      <c r="P945" s="142">
        <f t="shared" si="272"/>
        <v>0.6941871092</v>
      </c>
      <c r="Q945" s="142">
        <f t="shared" si="272"/>
        <v>0.6941871092</v>
      </c>
      <c r="R945" s="142">
        <f t="shared" si="272"/>
        <v>0.6941871092</v>
      </c>
      <c r="S945" s="200">
        <f t="shared" si="272"/>
        <v>0.6941871092</v>
      </c>
      <c r="T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98"/>
      <c r="T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3">ROUNDUP(H941/H948,0)</f>
        <v>0</v>
      </c>
      <c r="I947" s="190">
        <f t="shared" si="273"/>
        <v>154</v>
      </c>
      <c r="J947" s="190">
        <f t="shared" si="273"/>
        <v>82</v>
      </c>
      <c r="K947" s="190">
        <f t="shared" si="273"/>
        <v>73</v>
      </c>
      <c r="L947" s="190">
        <f t="shared" si="273"/>
        <v>49</v>
      </c>
      <c r="M947" s="190">
        <f>ROUND(M941/M948,0)</f>
        <v>48</v>
      </c>
      <c r="N947" s="190">
        <f t="shared" ref="N947:R947" si="274">ROUNDUP(N941/N948,0)</f>
        <v>34</v>
      </c>
      <c r="O947" s="190">
        <f t="shared" si="274"/>
        <v>25</v>
      </c>
      <c r="P947" s="190">
        <f t="shared" si="274"/>
        <v>20</v>
      </c>
      <c r="Q947" s="190">
        <f t="shared" si="274"/>
        <v>0</v>
      </c>
      <c r="R947" s="190">
        <f t="shared" si="274"/>
        <v>0</v>
      </c>
      <c r="S947" s="201">
        <f>SUM(H947:R947)</f>
        <v>485</v>
      </c>
      <c r="T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56">
        <v>8800.0</v>
      </c>
      <c r="N948" s="156">
        <v>8800.0</v>
      </c>
      <c r="O948" s="156">
        <v>8800.0</v>
      </c>
      <c r="P948" s="156">
        <v>8800.0</v>
      </c>
      <c r="Q948" s="156">
        <v>8800.0</v>
      </c>
      <c r="R948" s="156">
        <v>8800.0</v>
      </c>
      <c r="S948" s="198"/>
      <c r="T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R949" si="275">SUM(H963,H966,H969,H972,H975)</f>
        <v>0</v>
      </c>
      <c r="I949" s="188">
        <f t="shared" si="275"/>
        <v>1354000</v>
      </c>
      <c r="J949" s="188">
        <f t="shared" si="275"/>
        <v>720000</v>
      </c>
      <c r="K949" s="188">
        <f t="shared" si="275"/>
        <v>642000</v>
      </c>
      <c r="L949" s="188">
        <f t="shared" si="275"/>
        <v>430000</v>
      </c>
      <c r="M949" s="188">
        <f t="shared" si="275"/>
        <v>422000</v>
      </c>
      <c r="N949" s="188">
        <f t="shared" si="275"/>
        <v>298000</v>
      </c>
      <c r="O949" s="188">
        <f t="shared" si="275"/>
        <v>220000</v>
      </c>
      <c r="P949" s="188">
        <f t="shared" si="275"/>
        <v>176000</v>
      </c>
      <c r="Q949" s="188">
        <f t="shared" si="275"/>
        <v>0</v>
      </c>
      <c r="R949" s="188">
        <f t="shared" si="275"/>
        <v>0</v>
      </c>
      <c r="S949" s="196">
        <f>SUM(H949:R949)</f>
        <v>4262000</v>
      </c>
      <c r="T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203">
        <v>0.6</v>
      </c>
      <c r="N950" s="203">
        <v>0.6</v>
      </c>
      <c r="O950" s="203">
        <v>0.6</v>
      </c>
      <c r="P950" s="203">
        <v>0.6</v>
      </c>
      <c r="Q950" s="203">
        <v>0.6</v>
      </c>
      <c r="R950" s="203">
        <v>0.6</v>
      </c>
      <c r="S950" s="198"/>
      <c r="T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203">
        <v>0.4</v>
      </c>
      <c r="N951" s="203">
        <v>0.4</v>
      </c>
      <c r="O951" s="203">
        <v>0.4</v>
      </c>
      <c r="P951" s="203">
        <v>0.4</v>
      </c>
      <c r="Q951" s="203">
        <v>0.4</v>
      </c>
      <c r="R951" s="203">
        <v>0.4</v>
      </c>
      <c r="S951" s="198"/>
      <c r="T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203">
        <v>0.0</v>
      </c>
      <c r="N952" s="203">
        <v>0.0</v>
      </c>
      <c r="O952" s="203">
        <v>0.0</v>
      </c>
      <c r="P952" s="203">
        <v>0.0</v>
      </c>
      <c r="Q952" s="203">
        <v>0.0</v>
      </c>
      <c r="R952" s="203">
        <v>0.0</v>
      </c>
      <c r="S952" s="198"/>
      <c r="T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203">
        <v>0.0</v>
      </c>
      <c r="N953" s="203">
        <v>0.0</v>
      </c>
      <c r="O953" s="203">
        <v>0.0</v>
      </c>
      <c r="P953" s="203">
        <v>0.0</v>
      </c>
      <c r="Q953" s="203">
        <v>0.0</v>
      </c>
      <c r="R953" s="203">
        <v>0.0</v>
      </c>
      <c r="S953" s="198"/>
      <c r="T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203">
        <v>0.0</v>
      </c>
      <c r="N954" s="203">
        <v>0.0</v>
      </c>
      <c r="O954" s="203">
        <v>0.0</v>
      </c>
      <c r="P954" s="203">
        <v>0.0</v>
      </c>
      <c r="Q954" s="203">
        <v>0.0</v>
      </c>
      <c r="R954" s="203">
        <v>0.0</v>
      </c>
      <c r="S954" s="198"/>
      <c r="T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204">
        <v>8000.0</v>
      </c>
      <c r="N955" s="204">
        <v>8000.0</v>
      </c>
      <c r="O955" s="204">
        <v>8000.0</v>
      </c>
      <c r="P955" s="204">
        <v>8000.0</v>
      </c>
      <c r="Q955" s="204">
        <v>8000.0</v>
      </c>
      <c r="R955" s="204">
        <v>8000.0</v>
      </c>
      <c r="S955" s="225"/>
      <c r="T955" s="225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204">
        <v>10000.0</v>
      </c>
      <c r="N956" s="204">
        <v>10000.0</v>
      </c>
      <c r="O956" s="204">
        <v>10000.0</v>
      </c>
      <c r="P956" s="204">
        <v>10000.0</v>
      </c>
      <c r="Q956" s="204">
        <v>10000.0</v>
      </c>
      <c r="R956" s="204">
        <v>10000.0</v>
      </c>
      <c r="S956" s="198"/>
      <c r="T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204">
        <v>0.0</v>
      </c>
      <c r="N957" s="204">
        <v>0.0</v>
      </c>
      <c r="O957" s="204">
        <v>0.0</v>
      </c>
      <c r="P957" s="204">
        <v>0.0</v>
      </c>
      <c r="Q957" s="204">
        <v>0.0</v>
      </c>
      <c r="R957" s="204">
        <v>0.0</v>
      </c>
      <c r="S957" s="198"/>
      <c r="T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204">
        <v>0.0</v>
      </c>
      <c r="N958" s="204">
        <v>0.0</v>
      </c>
      <c r="O958" s="204">
        <v>0.0</v>
      </c>
      <c r="P958" s="204">
        <v>0.0</v>
      </c>
      <c r="Q958" s="204">
        <v>0.0</v>
      </c>
      <c r="R958" s="204">
        <v>0.0</v>
      </c>
      <c r="S958" s="198"/>
      <c r="T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204">
        <v>0.0</v>
      </c>
      <c r="N959" s="204">
        <v>0.0</v>
      </c>
      <c r="O959" s="204">
        <v>0.0</v>
      </c>
      <c r="P959" s="204">
        <v>0.0</v>
      </c>
      <c r="Q959" s="204">
        <v>0.0</v>
      </c>
      <c r="R959" s="204">
        <v>0.0</v>
      </c>
      <c r="S959" s="198"/>
      <c r="T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62">
        <f>IFERROR(__xludf.DUMMYFUNCTION("MATCH(
  MIN(FILTER(M955:M959,M955:M959&gt;0)),
  M955:M959,
  0
)
"),1.0)</f>
        <v>1</v>
      </c>
      <c r="N960" s="162">
        <f>IFERROR(__xludf.DUMMYFUNCTION("MATCH(
  MIN(FILTER(N955:N959,N955:N959&gt;0)),
  N955:N959,
  0
)
"),1.0)</f>
        <v>1</v>
      </c>
      <c r="O960" s="162">
        <f>IFERROR(__xludf.DUMMYFUNCTION("MATCH(
  MIN(FILTER(O955:O959,O955:O959&gt;0)),
  O955:O959,
  0
)
"),1.0)</f>
        <v>1</v>
      </c>
      <c r="P960" s="162">
        <f>IFERROR(__xludf.DUMMYFUNCTION("MATCH(
  MIN(FILTER(P955:P959,P955:P959&gt;0)),
  P955:P959,
  0
)
"),1.0)</f>
        <v>1</v>
      </c>
      <c r="Q960" s="162">
        <f>IFERROR(__xludf.DUMMYFUNCTION("MATCH(
  MIN(FILTER(Q955:Q959,Q955:Q959&gt;0)),
  Q955:Q959,
  0
)
"),1.0)</f>
        <v>1</v>
      </c>
      <c r="R960" s="162">
        <f>IFERROR(__xludf.DUMMYFUNCTION("MATCH(
  MIN(FILTER(R955:R959,R955:R959&gt;0)),
  R955:R959,
  0
)
"),1.0)</f>
        <v>1</v>
      </c>
      <c r="S960" s="198"/>
      <c r="T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98"/>
      <c r="T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R962" si="276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6"/>
        <v>93</v>
      </c>
      <c r="J962" s="148">
        <f t="shared" si="276"/>
        <v>50</v>
      </c>
      <c r="K962" s="148">
        <f t="shared" si="276"/>
        <v>44</v>
      </c>
      <c r="L962" s="148">
        <f t="shared" si="276"/>
        <v>30</v>
      </c>
      <c r="M962" s="148">
        <f t="shared" si="276"/>
        <v>29</v>
      </c>
      <c r="N962" s="148">
        <f t="shared" si="276"/>
        <v>21</v>
      </c>
      <c r="O962" s="148">
        <f t="shared" si="276"/>
        <v>15</v>
      </c>
      <c r="P962" s="148">
        <f t="shared" si="276"/>
        <v>12</v>
      </c>
      <c r="Q962" s="148">
        <f t="shared" si="276"/>
        <v>0</v>
      </c>
      <c r="R962" s="148">
        <f t="shared" si="276"/>
        <v>0</v>
      </c>
      <c r="S962" s="198"/>
      <c r="T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R963" si="277">(H962*H955)</f>
        <v>0</v>
      </c>
      <c r="I963" s="150">
        <f t="shared" si="277"/>
        <v>744000</v>
      </c>
      <c r="J963" s="150">
        <f t="shared" si="277"/>
        <v>400000</v>
      </c>
      <c r="K963" s="150">
        <f t="shared" si="277"/>
        <v>352000</v>
      </c>
      <c r="L963" s="150">
        <f t="shared" si="277"/>
        <v>240000</v>
      </c>
      <c r="M963" s="150">
        <f t="shared" si="277"/>
        <v>232000</v>
      </c>
      <c r="N963" s="150">
        <f t="shared" si="277"/>
        <v>168000</v>
      </c>
      <c r="O963" s="150">
        <f t="shared" si="277"/>
        <v>120000</v>
      </c>
      <c r="P963" s="150">
        <f t="shared" si="277"/>
        <v>96000</v>
      </c>
      <c r="Q963" s="150">
        <f t="shared" si="277"/>
        <v>0</v>
      </c>
      <c r="R963" s="150">
        <f t="shared" si="277"/>
        <v>0</v>
      </c>
      <c r="S963" s="198"/>
      <c r="T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98"/>
      <c r="T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R965" si="278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8"/>
        <v>61</v>
      </c>
      <c r="J965" s="148">
        <f t="shared" si="278"/>
        <v>32</v>
      </c>
      <c r="K965" s="148">
        <f t="shared" si="278"/>
        <v>29</v>
      </c>
      <c r="L965" s="148">
        <f t="shared" si="278"/>
        <v>19</v>
      </c>
      <c r="M965" s="148">
        <f t="shared" si="278"/>
        <v>19</v>
      </c>
      <c r="N965" s="148">
        <f t="shared" si="278"/>
        <v>13</v>
      </c>
      <c r="O965" s="148">
        <f t="shared" si="278"/>
        <v>10</v>
      </c>
      <c r="P965" s="148">
        <f t="shared" si="278"/>
        <v>8</v>
      </c>
      <c r="Q965" s="148">
        <f t="shared" si="278"/>
        <v>0</v>
      </c>
      <c r="R965" s="148">
        <f t="shared" si="278"/>
        <v>0</v>
      </c>
      <c r="S965" s="198"/>
      <c r="T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R966" si="279">(H956*H965)</f>
        <v>0</v>
      </c>
      <c r="I966" s="150">
        <f t="shared" si="279"/>
        <v>610000</v>
      </c>
      <c r="J966" s="150">
        <f t="shared" si="279"/>
        <v>320000</v>
      </c>
      <c r="K966" s="150">
        <f t="shared" si="279"/>
        <v>290000</v>
      </c>
      <c r="L966" s="150">
        <f t="shared" si="279"/>
        <v>190000</v>
      </c>
      <c r="M966" s="150">
        <f t="shared" si="279"/>
        <v>190000</v>
      </c>
      <c r="N966" s="150">
        <f t="shared" si="279"/>
        <v>130000</v>
      </c>
      <c r="O966" s="150">
        <f t="shared" si="279"/>
        <v>100000</v>
      </c>
      <c r="P966" s="150">
        <f t="shared" si="279"/>
        <v>80000</v>
      </c>
      <c r="Q966" s="150">
        <f t="shared" si="279"/>
        <v>0</v>
      </c>
      <c r="R966" s="150">
        <f t="shared" si="279"/>
        <v>0</v>
      </c>
      <c r="S966" s="198"/>
      <c r="T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98"/>
      <c r="T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R968" si="280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80"/>
        <v>0</v>
      </c>
      <c r="J968" s="148">
        <f t="shared" si="280"/>
        <v>0</v>
      </c>
      <c r="K968" s="148">
        <f t="shared" si="280"/>
        <v>0</v>
      </c>
      <c r="L968" s="148">
        <f t="shared" si="280"/>
        <v>0</v>
      </c>
      <c r="M968" s="148">
        <f t="shared" si="280"/>
        <v>0</v>
      </c>
      <c r="N968" s="148">
        <f t="shared" si="280"/>
        <v>0</v>
      </c>
      <c r="O968" s="148">
        <f t="shared" si="280"/>
        <v>0</v>
      </c>
      <c r="P968" s="148">
        <f t="shared" si="280"/>
        <v>0</v>
      </c>
      <c r="Q968" s="148">
        <f t="shared" si="280"/>
        <v>0</v>
      </c>
      <c r="R968" s="148">
        <f t="shared" si="280"/>
        <v>0</v>
      </c>
      <c r="S968" s="198"/>
      <c r="T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R969" si="281">(H957*H968)</f>
        <v>0</v>
      </c>
      <c r="I969" s="150">
        <f t="shared" si="281"/>
        <v>0</v>
      </c>
      <c r="J969" s="150">
        <f t="shared" si="281"/>
        <v>0</v>
      </c>
      <c r="K969" s="150">
        <f t="shared" si="281"/>
        <v>0</v>
      </c>
      <c r="L969" s="150">
        <f t="shared" si="281"/>
        <v>0</v>
      </c>
      <c r="M969" s="150">
        <f t="shared" si="281"/>
        <v>0</v>
      </c>
      <c r="N969" s="150">
        <f t="shared" si="281"/>
        <v>0</v>
      </c>
      <c r="O969" s="150">
        <f t="shared" si="281"/>
        <v>0</v>
      </c>
      <c r="P969" s="150">
        <f t="shared" si="281"/>
        <v>0</v>
      </c>
      <c r="Q969" s="150">
        <f t="shared" si="281"/>
        <v>0</v>
      </c>
      <c r="R969" s="150">
        <f t="shared" si="281"/>
        <v>0</v>
      </c>
      <c r="S969" s="198"/>
      <c r="T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98"/>
      <c r="T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R971" si="282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82"/>
        <v>0</v>
      </c>
      <c r="J971" s="148">
        <f t="shared" si="282"/>
        <v>0</v>
      </c>
      <c r="K971" s="148">
        <f t="shared" si="282"/>
        <v>0</v>
      </c>
      <c r="L971" s="148">
        <f t="shared" si="282"/>
        <v>0</v>
      </c>
      <c r="M971" s="148">
        <f t="shared" si="282"/>
        <v>0</v>
      </c>
      <c r="N971" s="148">
        <f t="shared" si="282"/>
        <v>0</v>
      </c>
      <c r="O971" s="148">
        <f t="shared" si="282"/>
        <v>0</v>
      </c>
      <c r="P971" s="148">
        <f t="shared" si="282"/>
        <v>0</v>
      </c>
      <c r="Q971" s="148">
        <f t="shared" si="282"/>
        <v>0</v>
      </c>
      <c r="R971" s="148">
        <f t="shared" si="282"/>
        <v>0</v>
      </c>
      <c r="S971" s="198"/>
      <c r="T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R972" si="283">(H958*H971)</f>
        <v>0</v>
      </c>
      <c r="I972" s="150">
        <f t="shared" si="283"/>
        <v>0</v>
      </c>
      <c r="J972" s="150">
        <f t="shared" si="283"/>
        <v>0</v>
      </c>
      <c r="K972" s="150">
        <f t="shared" si="283"/>
        <v>0</v>
      </c>
      <c r="L972" s="150">
        <f t="shared" si="283"/>
        <v>0</v>
      </c>
      <c r="M972" s="150">
        <f t="shared" si="283"/>
        <v>0</v>
      </c>
      <c r="N972" s="150">
        <f t="shared" si="283"/>
        <v>0</v>
      </c>
      <c r="O972" s="150">
        <f t="shared" si="283"/>
        <v>0</v>
      </c>
      <c r="P972" s="150">
        <f t="shared" si="283"/>
        <v>0</v>
      </c>
      <c r="Q972" s="150">
        <f t="shared" si="283"/>
        <v>0</v>
      </c>
      <c r="R972" s="150">
        <f t="shared" si="283"/>
        <v>0</v>
      </c>
      <c r="S972" s="198"/>
      <c r="T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98"/>
      <c r="T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R974" si="284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4"/>
        <v>0</v>
      </c>
      <c r="J974" s="148">
        <f t="shared" si="284"/>
        <v>0</v>
      </c>
      <c r="K974" s="148">
        <f t="shared" si="284"/>
        <v>0</v>
      </c>
      <c r="L974" s="148">
        <f t="shared" si="284"/>
        <v>0</v>
      </c>
      <c r="M974" s="148">
        <f t="shared" si="284"/>
        <v>0</v>
      </c>
      <c r="N974" s="148">
        <f t="shared" si="284"/>
        <v>0</v>
      </c>
      <c r="O974" s="148">
        <f t="shared" si="284"/>
        <v>0</v>
      </c>
      <c r="P974" s="148">
        <f t="shared" si="284"/>
        <v>0</v>
      </c>
      <c r="Q974" s="148">
        <f t="shared" si="284"/>
        <v>0</v>
      </c>
      <c r="R974" s="148">
        <f t="shared" si="284"/>
        <v>0</v>
      </c>
      <c r="S974" s="198"/>
      <c r="T974" s="198"/>
    </row>
    <row r="975">
      <c r="A975" s="160"/>
      <c r="B975" s="160"/>
      <c r="C975" s="160"/>
      <c r="F975" s="172" t="s">
        <v>314</v>
      </c>
      <c r="G975" s="146"/>
      <c r="H975" s="150">
        <f t="shared" ref="H975:R975" si="285">(H959*H974)</f>
        <v>0</v>
      </c>
      <c r="I975" s="150">
        <f t="shared" si="285"/>
        <v>0</v>
      </c>
      <c r="J975" s="150">
        <f t="shared" si="285"/>
        <v>0</v>
      </c>
      <c r="K975" s="150">
        <f t="shared" si="285"/>
        <v>0</v>
      </c>
      <c r="L975" s="150">
        <f t="shared" si="285"/>
        <v>0</v>
      </c>
      <c r="M975" s="150">
        <f t="shared" si="285"/>
        <v>0</v>
      </c>
      <c r="N975" s="150">
        <f t="shared" si="285"/>
        <v>0</v>
      </c>
      <c r="O975" s="150">
        <f t="shared" si="285"/>
        <v>0</v>
      </c>
      <c r="P975" s="150">
        <f t="shared" si="285"/>
        <v>0</v>
      </c>
      <c r="Q975" s="150">
        <f t="shared" si="285"/>
        <v>0</v>
      </c>
      <c r="R975" s="150">
        <f t="shared" si="285"/>
        <v>0</v>
      </c>
      <c r="S975" s="198"/>
      <c r="T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98"/>
      <c r="T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218</v>
      </c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198"/>
      <c r="T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0.2694013761</v>
      </c>
      <c r="H979" s="149">
        <f>SUM($H$520)</f>
        <v>2936475</v>
      </c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60"/>
      <c r="T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60"/>
      <c r="T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10900000</v>
      </c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60"/>
      <c r="T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60"/>
      <c r="T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0.4041020642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213">
        <v>0.1</v>
      </c>
      <c r="N983" s="213">
        <v>0.07</v>
      </c>
      <c r="O983" s="213">
        <v>0.05</v>
      </c>
      <c r="P983" s="213">
        <v>0.04</v>
      </c>
      <c r="Q983" s="213">
        <v>0.0</v>
      </c>
      <c r="R983" s="213">
        <v>0.0</v>
      </c>
      <c r="S983" s="160"/>
      <c r="T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4404712.5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6"/>
      <c r="T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2936475</v>
      </c>
      <c r="I985" s="149">
        <f t="shared" ref="I985:R985" si="286">H985+I994</f>
        <v>3410475</v>
      </c>
      <c r="J985" s="149">
        <f t="shared" si="286"/>
        <v>3662475</v>
      </c>
      <c r="K985" s="149">
        <f t="shared" si="286"/>
        <v>3884475</v>
      </c>
      <c r="L985" s="149">
        <f t="shared" si="286"/>
        <v>4034475</v>
      </c>
      <c r="M985" s="149">
        <f t="shared" si="286"/>
        <v>4178475</v>
      </c>
      <c r="N985" s="149">
        <f t="shared" si="286"/>
        <v>4286475</v>
      </c>
      <c r="O985" s="149">
        <f t="shared" si="286"/>
        <v>4364475</v>
      </c>
      <c r="P985" s="149">
        <f t="shared" si="286"/>
        <v>4428475</v>
      </c>
      <c r="Q985" s="149">
        <f t="shared" si="286"/>
        <v>4428475</v>
      </c>
      <c r="R985" s="149">
        <f t="shared" si="286"/>
        <v>4428475</v>
      </c>
      <c r="S985" s="199">
        <f>R985</f>
        <v>4428475</v>
      </c>
      <c r="T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1468237.5</v>
      </c>
      <c r="H986" s="149">
        <f t="shared" ref="H986:R986" si="287">$G$986*H983</f>
        <v>0</v>
      </c>
      <c r="I986" s="149">
        <f t="shared" si="287"/>
        <v>469836</v>
      </c>
      <c r="J986" s="149">
        <f t="shared" si="287"/>
        <v>249600.375</v>
      </c>
      <c r="K986" s="149">
        <f t="shared" si="287"/>
        <v>220235.625</v>
      </c>
      <c r="L986" s="149">
        <f t="shared" si="287"/>
        <v>146823.75</v>
      </c>
      <c r="M986" s="149">
        <f t="shared" si="287"/>
        <v>146823.75</v>
      </c>
      <c r="N986" s="149">
        <f t="shared" si="287"/>
        <v>102776.625</v>
      </c>
      <c r="O986" s="149">
        <f t="shared" si="287"/>
        <v>73411.875</v>
      </c>
      <c r="P986" s="149">
        <f t="shared" si="287"/>
        <v>58729.5</v>
      </c>
      <c r="Q986" s="149">
        <f t="shared" si="287"/>
        <v>0</v>
      </c>
      <c r="R986" s="149">
        <f t="shared" si="287"/>
        <v>0</v>
      </c>
      <c r="S986" s="199">
        <f>SUM(H986:R986)</f>
        <v>1468237.5</v>
      </c>
      <c r="T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60"/>
      <c r="T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R988" si="288">$H$981-H985</f>
        <v>7963525</v>
      </c>
      <c r="I988" s="149">
        <f t="shared" si="288"/>
        <v>7489525</v>
      </c>
      <c r="J988" s="149">
        <f t="shared" si="288"/>
        <v>7237525</v>
      </c>
      <c r="K988" s="149">
        <f t="shared" si="288"/>
        <v>7015525</v>
      </c>
      <c r="L988" s="149">
        <f t="shared" si="288"/>
        <v>6865525</v>
      </c>
      <c r="M988" s="149">
        <f t="shared" si="288"/>
        <v>6721525</v>
      </c>
      <c r="N988" s="149">
        <f t="shared" si="288"/>
        <v>6613525</v>
      </c>
      <c r="O988" s="149">
        <f t="shared" si="288"/>
        <v>6535525</v>
      </c>
      <c r="P988" s="149">
        <f t="shared" si="288"/>
        <v>6471525</v>
      </c>
      <c r="Q988" s="149">
        <f t="shared" si="288"/>
        <v>6471525</v>
      </c>
      <c r="R988" s="149">
        <f t="shared" si="288"/>
        <v>6471525</v>
      </c>
      <c r="S988" s="160"/>
      <c r="T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R989" si="289">IFERROR(SUM(H994,H979)/$H$981,0)</f>
        <v>0.2694013761</v>
      </c>
      <c r="I989" s="142">
        <f t="shared" si="289"/>
        <v>0.04348623853</v>
      </c>
      <c r="J989" s="142">
        <f t="shared" si="289"/>
        <v>0.02311926606</v>
      </c>
      <c r="K989" s="142">
        <f t="shared" si="289"/>
        <v>0.02036697248</v>
      </c>
      <c r="L989" s="142">
        <f t="shared" si="289"/>
        <v>0.01376146789</v>
      </c>
      <c r="M989" s="142">
        <f t="shared" si="289"/>
        <v>0.01321100917</v>
      </c>
      <c r="N989" s="142">
        <f t="shared" si="289"/>
        <v>0.009908256881</v>
      </c>
      <c r="O989" s="142">
        <f t="shared" si="289"/>
        <v>0.007155963303</v>
      </c>
      <c r="P989" s="142">
        <f t="shared" si="289"/>
        <v>0.005871559633</v>
      </c>
      <c r="Q989" s="142">
        <f t="shared" si="289"/>
        <v>0</v>
      </c>
      <c r="R989" s="142">
        <f t="shared" si="289"/>
        <v>0</v>
      </c>
      <c r="S989" s="200">
        <f>IFERROR(S985/$H$981,0)</f>
        <v>0.4062821101</v>
      </c>
      <c r="T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R990" si="290">IFERROR(1-(H979/$H$981),0)</f>
        <v>0.7305986239</v>
      </c>
      <c r="I990" s="216">
        <f t="shared" si="290"/>
        <v>1</v>
      </c>
      <c r="J990" s="216">
        <f t="shared" si="290"/>
        <v>1</v>
      </c>
      <c r="K990" s="216">
        <f t="shared" si="290"/>
        <v>1</v>
      </c>
      <c r="L990" s="216">
        <f t="shared" si="290"/>
        <v>1</v>
      </c>
      <c r="M990" s="216">
        <f t="shared" si="290"/>
        <v>1</v>
      </c>
      <c r="N990" s="216">
        <f t="shared" si="290"/>
        <v>1</v>
      </c>
      <c r="O990" s="216">
        <f t="shared" si="290"/>
        <v>1</v>
      </c>
      <c r="P990" s="216">
        <f t="shared" si="290"/>
        <v>1</v>
      </c>
      <c r="Q990" s="216">
        <f t="shared" si="290"/>
        <v>1</v>
      </c>
      <c r="R990" s="216">
        <f t="shared" si="290"/>
        <v>1</v>
      </c>
      <c r="S990" s="200">
        <f>IFERROR(1-(S985/$H$981),0)</f>
        <v>0.5937178899</v>
      </c>
      <c r="T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198"/>
      <c r="T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91">ROUNDUP(H986/H993,0)</f>
        <v>0</v>
      </c>
      <c r="I992" s="190">
        <f t="shared" si="291"/>
        <v>66</v>
      </c>
      <c r="J992" s="190">
        <f t="shared" si="291"/>
        <v>35</v>
      </c>
      <c r="K992" s="190">
        <f t="shared" si="291"/>
        <v>31</v>
      </c>
      <c r="L992" s="190">
        <f t="shared" si="291"/>
        <v>21</v>
      </c>
      <c r="M992" s="190">
        <f>ROUND(M986/M993,0)</f>
        <v>20</v>
      </c>
      <c r="N992" s="190">
        <f t="shared" ref="N992:R992" si="292">ROUNDUP(N986/N993,0)</f>
        <v>15</v>
      </c>
      <c r="O992" s="190">
        <f t="shared" si="292"/>
        <v>11</v>
      </c>
      <c r="P992" s="190">
        <f t="shared" si="292"/>
        <v>9</v>
      </c>
      <c r="Q992" s="190">
        <f t="shared" si="292"/>
        <v>0</v>
      </c>
      <c r="R992" s="190">
        <f t="shared" si="292"/>
        <v>0</v>
      </c>
      <c r="S992" s="201">
        <f>SUM(H992:R992)</f>
        <v>208</v>
      </c>
      <c r="T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56">
        <v>7200.0</v>
      </c>
      <c r="N993" s="156">
        <v>7200.0</v>
      </c>
      <c r="O993" s="156">
        <v>7200.0</v>
      </c>
      <c r="P993" s="156">
        <v>7200.0</v>
      </c>
      <c r="Q993" s="156">
        <v>7200.0</v>
      </c>
      <c r="R993" s="156">
        <v>7200.0</v>
      </c>
      <c r="S993" s="198"/>
      <c r="T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R994" si="293">SUM(H1008,H1011,H1014,H1017,H1020)</f>
        <v>0</v>
      </c>
      <c r="I994" s="188">
        <f t="shared" si="293"/>
        <v>474000</v>
      </c>
      <c r="J994" s="188">
        <f t="shared" si="293"/>
        <v>252000</v>
      </c>
      <c r="K994" s="188">
        <f t="shared" si="293"/>
        <v>222000</v>
      </c>
      <c r="L994" s="188">
        <f t="shared" si="293"/>
        <v>150000</v>
      </c>
      <c r="M994" s="188">
        <f t="shared" si="293"/>
        <v>144000</v>
      </c>
      <c r="N994" s="188">
        <f t="shared" si="293"/>
        <v>108000</v>
      </c>
      <c r="O994" s="188">
        <f t="shared" si="293"/>
        <v>78000</v>
      </c>
      <c r="P994" s="188">
        <f t="shared" si="293"/>
        <v>64000</v>
      </c>
      <c r="Q994" s="188">
        <f t="shared" si="293"/>
        <v>0</v>
      </c>
      <c r="R994" s="188">
        <f t="shared" si="293"/>
        <v>0</v>
      </c>
      <c r="S994" s="196">
        <f>SUM(H994:R994)</f>
        <v>1492000</v>
      </c>
      <c r="T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203">
        <v>0.6</v>
      </c>
      <c r="N995" s="203">
        <v>0.6</v>
      </c>
      <c r="O995" s="203">
        <v>0.6</v>
      </c>
      <c r="P995" s="203">
        <v>0.6</v>
      </c>
      <c r="Q995" s="203">
        <v>0.6</v>
      </c>
      <c r="R995" s="203">
        <v>0.6</v>
      </c>
      <c r="S995" s="198"/>
      <c r="T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203">
        <v>0.4</v>
      </c>
      <c r="N996" s="203">
        <v>0.4</v>
      </c>
      <c r="O996" s="203">
        <v>0.4</v>
      </c>
      <c r="P996" s="203">
        <v>0.4</v>
      </c>
      <c r="Q996" s="203">
        <v>0.4</v>
      </c>
      <c r="R996" s="203">
        <v>0.4</v>
      </c>
      <c r="S996" s="198"/>
      <c r="T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203">
        <v>0.0</v>
      </c>
      <c r="N997" s="203">
        <v>0.0</v>
      </c>
      <c r="O997" s="203">
        <v>0.0</v>
      </c>
      <c r="P997" s="203">
        <v>0.0</v>
      </c>
      <c r="Q997" s="203">
        <v>0.0</v>
      </c>
      <c r="R997" s="203">
        <v>0.0</v>
      </c>
      <c r="S997" s="198"/>
      <c r="T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203">
        <v>0.0</v>
      </c>
      <c r="N998" s="203">
        <v>0.0</v>
      </c>
      <c r="O998" s="203">
        <v>0.0</v>
      </c>
      <c r="P998" s="203">
        <v>0.0</v>
      </c>
      <c r="Q998" s="203">
        <v>0.0</v>
      </c>
      <c r="R998" s="203">
        <v>0.0</v>
      </c>
      <c r="S998" s="198"/>
      <c r="T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203">
        <v>0.0</v>
      </c>
      <c r="N999" s="203">
        <v>0.0</v>
      </c>
      <c r="O999" s="203">
        <v>0.0</v>
      </c>
      <c r="P999" s="203">
        <v>0.0</v>
      </c>
      <c r="Q999" s="203">
        <v>0.0</v>
      </c>
      <c r="R999" s="203">
        <v>0.0</v>
      </c>
      <c r="S999" s="198"/>
      <c r="T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04">
        <v>8000.0</v>
      </c>
      <c r="N1000" s="204">
        <v>8000.0</v>
      </c>
      <c r="O1000" s="204">
        <v>8000.0</v>
      </c>
      <c r="P1000" s="204">
        <v>8000.0</v>
      </c>
      <c r="Q1000" s="204">
        <v>8000.0</v>
      </c>
      <c r="R1000" s="204">
        <v>8000.0</v>
      </c>
      <c r="S1000" s="225">
        <v>30000.0</v>
      </c>
      <c r="T1000" s="225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204">
        <v>6000.0</v>
      </c>
      <c r="N1001" s="204">
        <v>6000.0</v>
      </c>
      <c r="O1001" s="204">
        <v>6000.0</v>
      </c>
      <c r="P1001" s="204">
        <v>6000.0</v>
      </c>
      <c r="Q1001" s="204">
        <v>6000.0</v>
      </c>
      <c r="R1001" s="204">
        <v>6000.0</v>
      </c>
      <c r="S1001" s="198"/>
      <c r="T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204">
        <v>0.0</v>
      </c>
      <c r="N1002" s="204">
        <v>0.0</v>
      </c>
      <c r="O1002" s="204">
        <v>0.0</v>
      </c>
      <c r="P1002" s="204">
        <v>0.0</v>
      </c>
      <c r="Q1002" s="204">
        <v>0.0</v>
      </c>
      <c r="R1002" s="204">
        <v>0.0</v>
      </c>
      <c r="S1002" s="198"/>
      <c r="T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204">
        <v>0.0</v>
      </c>
      <c r="N1003" s="204">
        <v>0.0</v>
      </c>
      <c r="O1003" s="204">
        <v>0.0</v>
      </c>
      <c r="P1003" s="204">
        <v>0.0</v>
      </c>
      <c r="Q1003" s="204">
        <v>0.0</v>
      </c>
      <c r="R1003" s="204">
        <v>0.0</v>
      </c>
      <c r="S1003" s="198"/>
      <c r="T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204">
        <v>0.0</v>
      </c>
      <c r="N1004" s="204">
        <v>0.0</v>
      </c>
      <c r="O1004" s="204">
        <v>0.0</v>
      </c>
      <c r="P1004" s="204">
        <v>0.0</v>
      </c>
      <c r="Q1004" s="204">
        <v>0.0</v>
      </c>
      <c r="R1004" s="204">
        <v>0.0</v>
      </c>
      <c r="S1004" s="198"/>
      <c r="T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62">
        <f>IFERROR(__xludf.DUMMYFUNCTION("MATCH(
  MIN(FILTER(M1000:M1004,M1000:M1004&gt;0)),
  M1000:M1004,
  0
)
"),2.0)</f>
        <v>2</v>
      </c>
      <c r="N1005" s="162">
        <f>IFERROR(__xludf.DUMMYFUNCTION("MATCH(
  MIN(FILTER(N1000:N1004,N1000:N1004&gt;0)),
  N1000:N1004,
  0
)
"),2.0)</f>
        <v>2</v>
      </c>
      <c r="O1005" s="162">
        <f>IFERROR(__xludf.DUMMYFUNCTION("MATCH(
  MIN(FILTER(O1000:O1004,O1000:O1004&gt;0)),
  O1000:O1004,
  0
)
"),2.0)</f>
        <v>2</v>
      </c>
      <c r="P1005" s="162">
        <f>IFERROR(__xludf.DUMMYFUNCTION("MATCH(
  MIN(FILTER(P1000:P1004,P1000:P1004&gt;0)),
  P1000:P1004,
  0
)
"),2.0)</f>
        <v>2</v>
      </c>
      <c r="Q1005" s="162">
        <f>IFERROR(__xludf.DUMMYFUNCTION("MATCH(
  MIN(FILTER(Q1000:Q1004,Q1000:Q1004&gt;0)),
  Q1000:Q1004,
  0
)
"),2.0)</f>
        <v>2</v>
      </c>
      <c r="R1005" s="162">
        <f>IFERROR(__xludf.DUMMYFUNCTION("MATCH(
  MIN(FILTER(R1000:R1004,R1000:R1004&gt;0)),
  R1000:R1004,
  0
)
"),2.0)</f>
        <v>2</v>
      </c>
      <c r="S1005" s="198"/>
      <c r="T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48"/>
      <c r="R1006" s="148"/>
      <c r="S1006" s="198"/>
      <c r="T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R1007" si="294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94"/>
        <v>39</v>
      </c>
      <c r="J1007" s="148">
        <f t="shared" si="294"/>
        <v>21</v>
      </c>
      <c r="K1007" s="148">
        <f t="shared" si="294"/>
        <v>18</v>
      </c>
      <c r="L1007" s="148">
        <f t="shared" si="294"/>
        <v>12</v>
      </c>
      <c r="M1007" s="148">
        <f t="shared" si="294"/>
        <v>12</v>
      </c>
      <c r="N1007" s="148">
        <f t="shared" si="294"/>
        <v>9</v>
      </c>
      <c r="O1007" s="148">
        <f t="shared" si="294"/>
        <v>6</v>
      </c>
      <c r="P1007" s="148">
        <f t="shared" si="294"/>
        <v>5</v>
      </c>
      <c r="Q1007" s="148">
        <f t="shared" si="294"/>
        <v>0</v>
      </c>
      <c r="R1007" s="148">
        <f t="shared" si="294"/>
        <v>0</v>
      </c>
      <c r="S1007" s="198"/>
      <c r="T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R1008" si="295">(H1007*H1000)</f>
        <v>0</v>
      </c>
      <c r="I1008" s="150">
        <f t="shared" si="295"/>
        <v>312000</v>
      </c>
      <c r="J1008" s="150">
        <f t="shared" si="295"/>
        <v>168000</v>
      </c>
      <c r="K1008" s="150">
        <f t="shared" si="295"/>
        <v>144000</v>
      </c>
      <c r="L1008" s="150">
        <f t="shared" si="295"/>
        <v>96000</v>
      </c>
      <c r="M1008" s="150">
        <f t="shared" si="295"/>
        <v>96000</v>
      </c>
      <c r="N1008" s="150">
        <f t="shared" si="295"/>
        <v>72000</v>
      </c>
      <c r="O1008" s="150">
        <f t="shared" si="295"/>
        <v>48000</v>
      </c>
      <c r="P1008" s="150">
        <f t="shared" si="295"/>
        <v>40000</v>
      </c>
      <c r="Q1008" s="150">
        <f t="shared" si="295"/>
        <v>0</v>
      </c>
      <c r="R1008" s="150">
        <f t="shared" si="295"/>
        <v>0</v>
      </c>
      <c r="S1008" s="198"/>
      <c r="T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148"/>
      <c r="R1009" s="148"/>
      <c r="S1009" s="198"/>
      <c r="T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R1010" si="296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6"/>
        <v>27</v>
      </c>
      <c r="J1010" s="148">
        <f t="shared" si="296"/>
        <v>14</v>
      </c>
      <c r="K1010" s="148">
        <f t="shared" si="296"/>
        <v>13</v>
      </c>
      <c r="L1010" s="148">
        <f t="shared" si="296"/>
        <v>9</v>
      </c>
      <c r="M1010" s="148">
        <f t="shared" si="296"/>
        <v>8</v>
      </c>
      <c r="N1010" s="148">
        <f t="shared" si="296"/>
        <v>6</v>
      </c>
      <c r="O1010" s="148">
        <f t="shared" si="296"/>
        <v>5</v>
      </c>
      <c r="P1010" s="148">
        <f t="shared" si="296"/>
        <v>4</v>
      </c>
      <c r="Q1010" s="148">
        <f t="shared" si="296"/>
        <v>0</v>
      </c>
      <c r="R1010" s="148">
        <f t="shared" si="296"/>
        <v>0</v>
      </c>
      <c r="S1010" s="198"/>
      <c r="T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R1011" si="297">(H1001*H1010)</f>
        <v>0</v>
      </c>
      <c r="I1011" s="150">
        <f t="shared" si="297"/>
        <v>162000</v>
      </c>
      <c r="J1011" s="150">
        <f t="shared" si="297"/>
        <v>84000</v>
      </c>
      <c r="K1011" s="150">
        <f t="shared" si="297"/>
        <v>78000</v>
      </c>
      <c r="L1011" s="150">
        <f t="shared" si="297"/>
        <v>54000</v>
      </c>
      <c r="M1011" s="150">
        <f t="shared" si="297"/>
        <v>48000</v>
      </c>
      <c r="N1011" s="150">
        <f t="shared" si="297"/>
        <v>36000</v>
      </c>
      <c r="O1011" s="150">
        <f t="shared" si="297"/>
        <v>30000</v>
      </c>
      <c r="P1011" s="150">
        <f t="shared" si="297"/>
        <v>24000</v>
      </c>
      <c r="Q1011" s="150">
        <f t="shared" si="297"/>
        <v>0</v>
      </c>
      <c r="R1011" s="150">
        <f t="shared" si="297"/>
        <v>0</v>
      </c>
      <c r="S1011" s="198"/>
      <c r="T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48"/>
      <c r="N1012" s="148"/>
      <c r="O1012" s="148"/>
      <c r="P1012" s="148"/>
      <c r="Q1012" s="148"/>
      <c r="R1012" s="148"/>
      <c r="S1012" s="198"/>
      <c r="T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R1013" si="298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8"/>
        <v>0</v>
      </c>
      <c r="J1013" s="148">
        <f t="shared" si="298"/>
        <v>0</v>
      </c>
      <c r="K1013" s="148">
        <f t="shared" si="298"/>
        <v>0</v>
      </c>
      <c r="L1013" s="148">
        <f t="shared" si="298"/>
        <v>0</v>
      </c>
      <c r="M1013" s="148">
        <f t="shared" si="298"/>
        <v>0</v>
      </c>
      <c r="N1013" s="148">
        <f t="shared" si="298"/>
        <v>0</v>
      </c>
      <c r="O1013" s="148">
        <f t="shared" si="298"/>
        <v>0</v>
      </c>
      <c r="P1013" s="148">
        <f t="shared" si="298"/>
        <v>0</v>
      </c>
      <c r="Q1013" s="148">
        <f t="shared" si="298"/>
        <v>0</v>
      </c>
      <c r="R1013" s="148">
        <f t="shared" si="298"/>
        <v>0</v>
      </c>
      <c r="S1013" s="198"/>
      <c r="T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R1014" si="299">(H1002*H1013)</f>
        <v>0</v>
      </c>
      <c r="I1014" s="150">
        <f t="shared" si="299"/>
        <v>0</v>
      </c>
      <c r="J1014" s="150">
        <f t="shared" si="299"/>
        <v>0</v>
      </c>
      <c r="K1014" s="150">
        <f t="shared" si="299"/>
        <v>0</v>
      </c>
      <c r="L1014" s="150">
        <f t="shared" si="299"/>
        <v>0</v>
      </c>
      <c r="M1014" s="150">
        <f t="shared" si="299"/>
        <v>0</v>
      </c>
      <c r="N1014" s="150">
        <f t="shared" si="299"/>
        <v>0</v>
      </c>
      <c r="O1014" s="150">
        <f t="shared" si="299"/>
        <v>0</v>
      </c>
      <c r="P1014" s="150">
        <f t="shared" si="299"/>
        <v>0</v>
      </c>
      <c r="Q1014" s="150">
        <f t="shared" si="299"/>
        <v>0</v>
      </c>
      <c r="R1014" s="150">
        <f t="shared" si="299"/>
        <v>0</v>
      </c>
      <c r="S1014" s="198"/>
      <c r="T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48"/>
      <c r="N1015" s="148"/>
      <c r="O1015" s="148"/>
      <c r="P1015" s="148"/>
      <c r="Q1015" s="148"/>
      <c r="R1015" s="148"/>
      <c r="S1015" s="198"/>
      <c r="T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R1016" si="300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300"/>
        <v>0</v>
      </c>
      <c r="J1016" s="148">
        <f t="shared" si="300"/>
        <v>0</v>
      </c>
      <c r="K1016" s="148">
        <f t="shared" si="300"/>
        <v>0</v>
      </c>
      <c r="L1016" s="148">
        <f t="shared" si="300"/>
        <v>0</v>
      </c>
      <c r="M1016" s="148">
        <f t="shared" si="300"/>
        <v>0</v>
      </c>
      <c r="N1016" s="148">
        <f t="shared" si="300"/>
        <v>0</v>
      </c>
      <c r="O1016" s="148">
        <f t="shared" si="300"/>
        <v>0</v>
      </c>
      <c r="P1016" s="148">
        <f t="shared" si="300"/>
        <v>0</v>
      </c>
      <c r="Q1016" s="148">
        <f t="shared" si="300"/>
        <v>0</v>
      </c>
      <c r="R1016" s="148">
        <f t="shared" si="300"/>
        <v>0</v>
      </c>
      <c r="S1016" s="198"/>
      <c r="T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R1017" si="301">(H1003*H1016)</f>
        <v>0</v>
      </c>
      <c r="I1017" s="150">
        <f t="shared" si="301"/>
        <v>0</v>
      </c>
      <c r="J1017" s="150">
        <f t="shared" si="301"/>
        <v>0</v>
      </c>
      <c r="K1017" s="150">
        <f t="shared" si="301"/>
        <v>0</v>
      </c>
      <c r="L1017" s="150">
        <f t="shared" si="301"/>
        <v>0</v>
      </c>
      <c r="M1017" s="150">
        <f t="shared" si="301"/>
        <v>0</v>
      </c>
      <c r="N1017" s="150">
        <f t="shared" si="301"/>
        <v>0</v>
      </c>
      <c r="O1017" s="150">
        <f t="shared" si="301"/>
        <v>0</v>
      </c>
      <c r="P1017" s="150">
        <f t="shared" si="301"/>
        <v>0</v>
      </c>
      <c r="Q1017" s="150">
        <f t="shared" si="301"/>
        <v>0</v>
      </c>
      <c r="R1017" s="150">
        <f t="shared" si="301"/>
        <v>0</v>
      </c>
      <c r="S1017" s="198"/>
      <c r="T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48"/>
      <c r="N1018" s="148"/>
      <c r="O1018" s="148"/>
      <c r="P1018" s="148"/>
      <c r="Q1018" s="148"/>
      <c r="R1018" s="148"/>
      <c r="S1018" s="198"/>
      <c r="T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R1019" si="302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302"/>
        <v>0</v>
      </c>
      <c r="J1019" s="148">
        <f t="shared" si="302"/>
        <v>0</v>
      </c>
      <c r="K1019" s="148">
        <f t="shared" si="302"/>
        <v>0</v>
      </c>
      <c r="L1019" s="148">
        <f t="shared" si="302"/>
        <v>0</v>
      </c>
      <c r="M1019" s="148">
        <f t="shared" si="302"/>
        <v>0</v>
      </c>
      <c r="N1019" s="148">
        <f t="shared" si="302"/>
        <v>0</v>
      </c>
      <c r="O1019" s="148">
        <f t="shared" si="302"/>
        <v>0</v>
      </c>
      <c r="P1019" s="148">
        <f t="shared" si="302"/>
        <v>0</v>
      </c>
      <c r="Q1019" s="148">
        <f t="shared" si="302"/>
        <v>0</v>
      </c>
      <c r="R1019" s="148">
        <f t="shared" si="302"/>
        <v>0</v>
      </c>
      <c r="S1019" s="198"/>
      <c r="T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R1020" si="303">(H1004*H1019)</f>
        <v>0</v>
      </c>
      <c r="I1020" s="150">
        <f t="shared" si="303"/>
        <v>0</v>
      </c>
      <c r="J1020" s="150">
        <f t="shared" si="303"/>
        <v>0</v>
      </c>
      <c r="K1020" s="150">
        <f t="shared" si="303"/>
        <v>0</v>
      </c>
      <c r="L1020" s="150">
        <f t="shared" si="303"/>
        <v>0</v>
      </c>
      <c r="M1020" s="150">
        <f t="shared" si="303"/>
        <v>0</v>
      </c>
      <c r="N1020" s="150">
        <f t="shared" si="303"/>
        <v>0</v>
      </c>
      <c r="O1020" s="150">
        <f t="shared" si="303"/>
        <v>0</v>
      </c>
      <c r="P1020" s="150">
        <f t="shared" si="303"/>
        <v>0</v>
      </c>
      <c r="Q1020" s="150">
        <f t="shared" si="303"/>
        <v>0</v>
      </c>
      <c r="R1020" s="150">
        <f t="shared" si="303"/>
        <v>0</v>
      </c>
      <c r="S1020" s="198"/>
      <c r="T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60"/>
      <c r="N1021" s="160"/>
      <c r="O1021" s="160"/>
      <c r="P1021" s="160"/>
      <c r="Q1021" s="160"/>
      <c r="R1021" s="160"/>
      <c r="S1021" s="198"/>
      <c r="T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4"/>
      <c r="N1022" s="114"/>
      <c r="O1022" s="114"/>
      <c r="P1022" s="114"/>
      <c r="Q1022" s="114"/>
      <c r="R1022" s="114"/>
      <c r="S1022" s="1"/>
      <c r="T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"/>
      <c r="T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R1024" si="304">SUM(H1027,H1064,H1081,)</f>
        <v>21317300</v>
      </c>
      <c r="I1024" s="173">
        <f t="shared" si="304"/>
        <v>3606650</v>
      </c>
      <c r="J1024" s="173">
        <f t="shared" si="304"/>
        <v>2367115</v>
      </c>
      <c r="K1024" s="173">
        <f t="shared" si="304"/>
        <v>1824726.5</v>
      </c>
      <c r="L1024" s="173">
        <f t="shared" si="304"/>
        <v>1238119.15</v>
      </c>
      <c r="M1024" s="173">
        <f t="shared" si="304"/>
        <v>2474371.065</v>
      </c>
      <c r="N1024" s="173">
        <f t="shared" si="304"/>
        <v>931804.1715</v>
      </c>
      <c r="O1024" s="173">
        <f t="shared" si="304"/>
        <v>1393278.589</v>
      </c>
      <c r="P1024" s="173">
        <f t="shared" si="304"/>
        <v>2060723.048</v>
      </c>
      <c r="Q1024" s="173">
        <f t="shared" si="304"/>
        <v>468556.9523</v>
      </c>
      <c r="R1024" s="173">
        <f t="shared" si="304"/>
        <v>448402.8875</v>
      </c>
      <c r="S1024" s="223">
        <f>SUM(H1024:R1024)</f>
        <v>38131047.36</v>
      </c>
      <c r="T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"/>
      <c r="T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"/>
      <c r="T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R1027" si="305">SUM(H1029,H1036,H1043,H1050,H1057,)</f>
        <v>21299300</v>
      </c>
      <c r="I1027" s="178">
        <f t="shared" si="305"/>
        <v>0</v>
      </c>
      <c r="J1027" s="178">
        <f t="shared" si="305"/>
        <v>0</v>
      </c>
      <c r="K1027" s="178">
        <f t="shared" si="305"/>
        <v>0</v>
      </c>
      <c r="L1027" s="178">
        <f t="shared" si="305"/>
        <v>0</v>
      </c>
      <c r="M1027" s="178">
        <f t="shared" si="305"/>
        <v>0</v>
      </c>
      <c r="N1027" s="178">
        <f t="shared" si="305"/>
        <v>0</v>
      </c>
      <c r="O1027" s="178">
        <f t="shared" si="305"/>
        <v>0</v>
      </c>
      <c r="P1027" s="178">
        <f t="shared" si="305"/>
        <v>0</v>
      </c>
      <c r="Q1027" s="178">
        <f t="shared" si="305"/>
        <v>0</v>
      </c>
      <c r="R1027" s="178">
        <f t="shared" si="305"/>
        <v>0</v>
      </c>
      <c r="S1027" s="223">
        <f>SUM(H1027:R1027)</f>
        <v>21299300</v>
      </c>
      <c r="T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223"/>
      <c r="T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R1029" si="306">SUM(H1030:H1034)</f>
        <v>1564800</v>
      </c>
      <c r="I1029" s="178">
        <f t="shared" si="306"/>
        <v>0</v>
      </c>
      <c r="J1029" s="178">
        <f t="shared" si="306"/>
        <v>0</v>
      </c>
      <c r="K1029" s="178">
        <f t="shared" si="306"/>
        <v>0</v>
      </c>
      <c r="L1029" s="178">
        <f t="shared" si="306"/>
        <v>0</v>
      </c>
      <c r="M1029" s="178">
        <f t="shared" si="306"/>
        <v>0</v>
      </c>
      <c r="N1029" s="178">
        <f t="shared" si="306"/>
        <v>0</v>
      </c>
      <c r="O1029" s="178">
        <f t="shared" si="306"/>
        <v>0</v>
      </c>
      <c r="P1029" s="178">
        <f t="shared" si="306"/>
        <v>0</v>
      </c>
      <c r="Q1029" s="178">
        <f t="shared" si="306"/>
        <v>0</v>
      </c>
      <c r="R1029" s="178">
        <f t="shared" si="306"/>
        <v>0</v>
      </c>
      <c r="S1029" s="1"/>
      <c r="T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600000</v>
      </c>
      <c r="I1030" s="178" t="str">
        <f t="shared" ref="I1030:R1030" si="307">I428</f>
        <v/>
      </c>
      <c r="J1030" s="178" t="str">
        <f t="shared" si="307"/>
        <v/>
      </c>
      <c r="K1030" s="178" t="str">
        <f t="shared" si="307"/>
        <v/>
      </c>
      <c r="L1030" s="178" t="str">
        <f t="shared" si="307"/>
        <v/>
      </c>
      <c r="M1030" s="178" t="str">
        <f t="shared" si="307"/>
        <v/>
      </c>
      <c r="N1030" s="178" t="str">
        <f t="shared" si="307"/>
        <v/>
      </c>
      <c r="O1030" s="178" t="str">
        <f t="shared" si="307"/>
        <v/>
      </c>
      <c r="P1030" s="178" t="str">
        <f t="shared" si="307"/>
        <v/>
      </c>
      <c r="Q1030" s="178" t="str">
        <f t="shared" si="307"/>
        <v/>
      </c>
      <c r="R1030" s="178" t="str">
        <f t="shared" si="307"/>
        <v/>
      </c>
      <c r="S1030" s="1"/>
      <c r="T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94800</v>
      </c>
      <c r="I1031" s="178" t="str">
        <f t="shared" ref="I1031:R1031" si="308">I430</f>
        <v/>
      </c>
      <c r="J1031" s="178" t="str">
        <f t="shared" si="308"/>
        <v/>
      </c>
      <c r="K1031" s="178" t="str">
        <f t="shared" si="308"/>
        <v/>
      </c>
      <c r="L1031" s="178" t="str">
        <f t="shared" si="308"/>
        <v/>
      </c>
      <c r="M1031" s="178" t="str">
        <f t="shared" si="308"/>
        <v/>
      </c>
      <c r="N1031" s="178" t="str">
        <f t="shared" si="308"/>
        <v/>
      </c>
      <c r="O1031" s="178" t="str">
        <f t="shared" si="308"/>
        <v/>
      </c>
      <c r="P1031" s="178" t="str">
        <f t="shared" si="308"/>
        <v/>
      </c>
      <c r="Q1031" s="178" t="str">
        <f t="shared" si="308"/>
        <v/>
      </c>
      <c r="R1031" s="178" t="str">
        <f t="shared" si="308"/>
        <v/>
      </c>
      <c r="S1031" s="1"/>
      <c r="T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R1032" si="309">I432</f>
        <v/>
      </c>
      <c r="J1032" s="178" t="str">
        <f t="shared" si="309"/>
        <v/>
      </c>
      <c r="K1032" s="178" t="str">
        <f t="shared" si="309"/>
        <v/>
      </c>
      <c r="L1032" s="178" t="str">
        <f t="shared" si="309"/>
        <v/>
      </c>
      <c r="M1032" s="178" t="str">
        <f t="shared" si="309"/>
        <v/>
      </c>
      <c r="N1032" s="178" t="str">
        <f t="shared" si="309"/>
        <v/>
      </c>
      <c r="O1032" s="178" t="str">
        <f t="shared" si="309"/>
        <v/>
      </c>
      <c r="P1032" s="178" t="str">
        <f t="shared" si="309"/>
        <v/>
      </c>
      <c r="Q1032" s="178" t="str">
        <f t="shared" si="309"/>
        <v/>
      </c>
      <c r="R1032" s="178" t="str">
        <f t="shared" si="309"/>
        <v/>
      </c>
      <c r="S1032" s="1"/>
      <c r="T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870000</v>
      </c>
      <c r="I1033" s="178" t="str">
        <f t="shared" ref="I1033:R1033" si="310">I434</f>
        <v/>
      </c>
      <c r="J1033" s="178" t="str">
        <f t="shared" si="310"/>
        <v/>
      </c>
      <c r="K1033" s="178" t="str">
        <f t="shared" si="310"/>
        <v/>
      </c>
      <c r="L1033" s="178" t="str">
        <f t="shared" si="310"/>
        <v/>
      </c>
      <c r="M1033" s="178" t="str">
        <f t="shared" si="310"/>
        <v/>
      </c>
      <c r="N1033" s="178" t="str">
        <f t="shared" si="310"/>
        <v/>
      </c>
      <c r="O1033" s="178" t="str">
        <f t="shared" si="310"/>
        <v/>
      </c>
      <c r="P1033" s="178" t="str">
        <f t="shared" si="310"/>
        <v/>
      </c>
      <c r="Q1033" s="178" t="str">
        <f t="shared" si="310"/>
        <v/>
      </c>
      <c r="R1033" s="178" t="str">
        <f t="shared" si="310"/>
        <v/>
      </c>
      <c r="S1033" s="1"/>
      <c r="T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R1034" si="311">I436</f>
        <v/>
      </c>
      <c r="J1034" s="178" t="str">
        <f t="shared" si="311"/>
        <v/>
      </c>
      <c r="K1034" s="178" t="str">
        <f t="shared" si="311"/>
        <v/>
      </c>
      <c r="L1034" s="178" t="str">
        <f t="shared" si="311"/>
        <v/>
      </c>
      <c r="M1034" s="178" t="str">
        <f t="shared" si="311"/>
        <v/>
      </c>
      <c r="N1034" s="178" t="str">
        <f t="shared" si="311"/>
        <v/>
      </c>
      <c r="O1034" s="178" t="str">
        <f t="shared" si="311"/>
        <v/>
      </c>
      <c r="P1034" s="178" t="str">
        <f t="shared" si="311"/>
        <v/>
      </c>
      <c r="Q1034" s="178" t="str">
        <f t="shared" si="311"/>
        <v/>
      </c>
      <c r="R1034" s="178" t="str">
        <f t="shared" si="311"/>
        <v/>
      </c>
      <c r="S1034" s="1"/>
      <c r="T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"/>
      <c r="T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R1036" si="312">SUM(H1037:H1041)</f>
        <v>1550000</v>
      </c>
      <c r="I1036" s="178">
        <f t="shared" si="312"/>
        <v>0</v>
      </c>
      <c r="J1036" s="178">
        <f t="shared" si="312"/>
        <v>0</v>
      </c>
      <c r="K1036" s="178">
        <f t="shared" si="312"/>
        <v>0</v>
      </c>
      <c r="L1036" s="178">
        <f t="shared" si="312"/>
        <v>0</v>
      </c>
      <c r="M1036" s="178">
        <f t="shared" si="312"/>
        <v>0</v>
      </c>
      <c r="N1036" s="178">
        <f t="shared" si="312"/>
        <v>0</v>
      </c>
      <c r="O1036" s="178">
        <f t="shared" si="312"/>
        <v>0</v>
      </c>
      <c r="P1036" s="178">
        <f t="shared" si="312"/>
        <v>0</v>
      </c>
      <c r="Q1036" s="178">
        <f t="shared" si="312"/>
        <v>0</v>
      </c>
      <c r="R1036" s="178">
        <f t="shared" si="312"/>
        <v>0</v>
      </c>
      <c r="S1036" s="1"/>
      <c r="T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650000</v>
      </c>
      <c r="I1037" s="178" t="str">
        <f t="shared" ref="I1037:R1037" si="313">I454</f>
        <v/>
      </c>
      <c r="J1037" s="178" t="str">
        <f t="shared" si="313"/>
        <v/>
      </c>
      <c r="K1037" s="178" t="str">
        <f t="shared" si="313"/>
        <v/>
      </c>
      <c r="L1037" s="178" t="str">
        <f t="shared" si="313"/>
        <v/>
      </c>
      <c r="M1037" s="178" t="str">
        <f t="shared" si="313"/>
        <v/>
      </c>
      <c r="N1037" s="178" t="str">
        <f t="shared" si="313"/>
        <v/>
      </c>
      <c r="O1037" s="178" t="str">
        <f t="shared" si="313"/>
        <v/>
      </c>
      <c r="P1037" s="178" t="str">
        <f t="shared" si="313"/>
        <v/>
      </c>
      <c r="Q1037" s="178" t="str">
        <f t="shared" si="313"/>
        <v/>
      </c>
      <c r="R1037" s="178" t="str">
        <f t="shared" si="313"/>
        <v/>
      </c>
      <c r="S1037" s="1"/>
      <c r="T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108000</v>
      </c>
      <c r="I1038" s="178" t="str">
        <f t="shared" ref="I1038:R1038" si="314">I456</f>
        <v/>
      </c>
      <c r="J1038" s="178" t="str">
        <f t="shared" si="314"/>
        <v/>
      </c>
      <c r="K1038" s="178" t="str">
        <f t="shared" si="314"/>
        <v/>
      </c>
      <c r="L1038" s="178" t="str">
        <f t="shared" si="314"/>
        <v/>
      </c>
      <c r="M1038" s="178" t="str">
        <f t="shared" si="314"/>
        <v/>
      </c>
      <c r="N1038" s="178" t="str">
        <f t="shared" si="314"/>
        <v/>
      </c>
      <c r="O1038" s="178" t="str">
        <f t="shared" si="314"/>
        <v/>
      </c>
      <c r="P1038" s="178" t="str">
        <f t="shared" si="314"/>
        <v/>
      </c>
      <c r="Q1038" s="178" t="str">
        <f t="shared" si="314"/>
        <v/>
      </c>
      <c r="R1038" s="178" t="str">
        <f t="shared" si="314"/>
        <v/>
      </c>
      <c r="S1038" s="1"/>
      <c r="T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R1039" si="315">I458</f>
        <v/>
      </c>
      <c r="J1039" s="178" t="str">
        <f t="shared" si="315"/>
        <v/>
      </c>
      <c r="K1039" s="178" t="str">
        <f t="shared" si="315"/>
        <v/>
      </c>
      <c r="L1039" s="178" t="str">
        <f t="shared" si="315"/>
        <v/>
      </c>
      <c r="M1039" s="178" t="str">
        <f t="shared" si="315"/>
        <v/>
      </c>
      <c r="N1039" s="178" t="str">
        <f t="shared" si="315"/>
        <v/>
      </c>
      <c r="O1039" s="178" t="str">
        <f t="shared" si="315"/>
        <v/>
      </c>
      <c r="P1039" s="178" t="str">
        <f t="shared" si="315"/>
        <v/>
      </c>
      <c r="Q1039" s="178" t="str">
        <f t="shared" si="315"/>
        <v/>
      </c>
      <c r="R1039" s="178" t="str">
        <f t="shared" si="315"/>
        <v/>
      </c>
      <c r="S1039" s="1"/>
      <c r="T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792000</v>
      </c>
      <c r="I1040" s="178" t="str">
        <f t="shared" ref="I1040:R1040" si="316">I460</f>
        <v/>
      </c>
      <c r="J1040" s="178" t="str">
        <f t="shared" si="316"/>
        <v/>
      </c>
      <c r="K1040" s="178" t="str">
        <f t="shared" si="316"/>
        <v/>
      </c>
      <c r="L1040" s="178" t="str">
        <f t="shared" si="316"/>
        <v/>
      </c>
      <c r="M1040" s="178" t="str">
        <f t="shared" si="316"/>
        <v/>
      </c>
      <c r="N1040" s="178" t="str">
        <f t="shared" si="316"/>
        <v/>
      </c>
      <c r="O1040" s="178" t="str">
        <f t="shared" si="316"/>
        <v/>
      </c>
      <c r="P1040" s="178" t="str">
        <f t="shared" si="316"/>
        <v/>
      </c>
      <c r="Q1040" s="178" t="str">
        <f t="shared" si="316"/>
        <v/>
      </c>
      <c r="R1040" s="178" t="str">
        <f t="shared" si="316"/>
        <v/>
      </c>
      <c r="S1040" s="1"/>
      <c r="T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R1041" si="317">I462</f>
        <v/>
      </c>
      <c r="J1041" s="178" t="str">
        <f t="shared" si="317"/>
        <v/>
      </c>
      <c r="K1041" s="178" t="str">
        <f t="shared" si="317"/>
        <v/>
      </c>
      <c r="L1041" s="178" t="str">
        <f t="shared" si="317"/>
        <v/>
      </c>
      <c r="M1041" s="178" t="str">
        <f t="shared" si="317"/>
        <v/>
      </c>
      <c r="N1041" s="178" t="str">
        <f t="shared" si="317"/>
        <v/>
      </c>
      <c r="O1041" s="178" t="str">
        <f t="shared" si="317"/>
        <v/>
      </c>
      <c r="P1041" s="178" t="str">
        <f t="shared" si="317"/>
        <v/>
      </c>
      <c r="Q1041" s="178" t="str">
        <f t="shared" si="317"/>
        <v/>
      </c>
      <c r="R1041" s="178" t="str">
        <f t="shared" si="317"/>
        <v/>
      </c>
      <c r="S1041" s="1"/>
      <c r="T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"/>
      <c r="T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R1043" si="318">SUM(H1044:H1048)</f>
        <v>5937000</v>
      </c>
      <c r="I1043" s="178">
        <f t="shared" si="318"/>
        <v>0</v>
      </c>
      <c r="J1043" s="178">
        <f t="shared" si="318"/>
        <v>0</v>
      </c>
      <c r="K1043" s="178">
        <f t="shared" si="318"/>
        <v>0</v>
      </c>
      <c r="L1043" s="178">
        <f t="shared" si="318"/>
        <v>0</v>
      </c>
      <c r="M1043" s="178">
        <f t="shared" si="318"/>
        <v>0</v>
      </c>
      <c r="N1043" s="178">
        <f t="shared" si="318"/>
        <v>0</v>
      </c>
      <c r="O1043" s="178">
        <f t="shared" si="318"/>
        <v>0</v>
      </c>
      <c r="P1043" s="178">
        <f t="shared" si="318"/>
        <v>0</v>
      </c>
      <c r="Q1043" s="178">
        <f t="shared" si="318"/>
        <v>0</v>
      </c>
      <c r="R1043" s="178">
        <f t="shared" si="318"/>
        <v>0</v>
      </c>
      <c r="S1043" s="1"/>
      <c r="T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2520000</v>
      </c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"/>
      <c r="T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330000</v>
      </c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"/>
      <c r="T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"/>
      <c r="T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3087000</v>
      </c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"/>
      <c r="T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"/>
      <c r="T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"/>
      <c r="T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R1050" si="319">SUM(H1051:H1055)</f>
        <v>9090000</v>
      </c>
      <c r="I1050" s="178">
        <f t="shared" si="319"/>
        <v>0</v>
      </c>
      <c r="J1050" s="178">
        <f t="shared" si="319"/>
        <v>0</v>
      </c>
      <c r="K1050" s="178">
        <f t="shared" si="319"/>
        <v>0</v>
      </c>
      <c r="L1050" s="178">
        <f t="shared" si="319"/>
        <v>0</v>
      </c>
      <c r="M1050" s="178">
        <f t="shared" si="319"/>
        <v>0</v>
      </c>
      <c r="N1050" s="178">
        <f t="shared" si="319"/>
        <v>0</v>
      </c>
      <c r="O1050" s="178">
        <f t="shared" si="319"/>
        <v>0</v>
      </c>
      <c r="P1050" s="178">
        <f t="shared" si="319"/>
        <v>0</v>
      </c>
      <c r="Q1050" s="178">
        <f t="shared" si="319"/>
        <v>0</v>
      </c>
      <c r="R1050" s="178">
        <f t="shared" si="319"/>
        <v>0</v>
      </c>
      <c r="S1050" s="1"/>
      <c r="T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7940000</v>
      </c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"/>
      <c r="T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1150000</v>
      </c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"/>
      <c r="T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"/>
      <c r="T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"/>
      <c r="T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"/>
      <c r="T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"/>
      <c r="T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R1057" si="320">SUM(H1058:H1062)</f>
        <v>3157500</v>
      </c>
      <c r="I1057" s="178">
        <f t="shared" si="320"/>
        <v>0</v>
      </c>
      <c r="J1057" s="178">
        <f t="shared" si="320"/>
        <v>0</v>
      </c>
      <c r="K1057" s="178">
        <f t="shared" si="320"/>
        <v>0</v>
      </c>
      <c r="L1057" s="178">
        <f t="shared" si="320"/>
        <v>0</v>
      </c>
      <c r="M1057" s="178">
        <f t="shared" si="320"/>
        <v>0</v>
      </c>
      <c r="N1057" s="178">
        <f t="shared" si="320"/>
        <v>0</v>
      </c>
      <c r="O1057" s="178">
        <f t="shared" si="320"/>
        <v>0</v>
      </c>
      <c r="P1057" s="178">
        <f t="shared" si="320"/>
        <v>0</v>
      </c>
      <c r="Q1057" s="178">
        <f t="shared" si="320"/>
        <v>0</v>
      </c>
      <c r="R1057" s="178">
        <f t="shared" si="320"/>
        <v>0</v>
      </c>
      <c r="S1057" s="1"/>
      <c r="T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2805000</v>
      </c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"/>
      <c r="T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352500</v>
      </c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"/>
      <c r="T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"/>
      <c r="T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"/>
      <c r="T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"/>
      <c r="T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"/>
      <c r="T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R1064" si="321">SUM(H1066,H1071,H1076,)</f>
        <v>18000</v>
      </c>
      <c r="I1064" s="178">
        <f t="shared" si="321"/>
        <v>34650</v>
      </c>
      <c r="J1064" s="178">
        <f t="shared" si="321"/>
        <v>38115</v>
      </c>
      <c r="K1064" s="178">
        <f t="shared" si="321"/>
        <v>142726.5</v>
      </c>
      <c r="L1064" s="178">
        <f t="shared" si="321"/>
        <v>118119.15</v>
      </c>
      <c r="M1064" s="178">
        <f t="shared" si="321"/>
        <v>179371.065</v>
      </c>
      <c r="N1064" s="178">
        <f t="shared" si="321"/>
        <v>151804.1715</v>
      </c>
      <c r="O1064" s="178">
        <f t="shared" si="321"/>
        <v>815278.5887</v>
      </c>
      <c r="P1064" s="178">
        <f t="shared" si="321"/>
        <v>332723.0475</v>
      </c>
      <c r="Q1064" s="178">
        <f t="shared" si="321"/>
        <v>468556.9523</v>
      </c>
      <c r="R1064" s="178">
        <f t="shared" si="321"/>
        <v>448402.8875</v>
      </c>
      <c r="S1064" s="223">
        <f>SUM(H1064:R1064)</f>
        <v>2747747.362</v>
      </c>
      <c r="T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223"/>
      <c r="T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R1066" si="322">SUM(H1067:H1069)</f>
        <v>0</v>
      </c>
      <c r="I1066" s="178">
        <f t="shared" si="322"/>
        <v>14850</v>
      </c>
      <c r="J1066" s="178">
        <f t="shared" si="322"/>
        <v>16335</v>
      </c>
      <c r="K1066" s="178">
        <f t="shared" si="322"/>
        <v>17968.5</v>
      </c>
      <c r="L1066" s="178">
        <f t="shared" si="322"/>
        <v>19765.35</v>
      </c>
      <c r="M1066" s="178">
        <f t="shared" si="322"/>
        <v>21741.885</v>
      </c>
      <c r="N1066" s="178">
        <f t="shared" si="322"/>
        <v>23916.0735</v>
      </c>
      <c r="O1066" s="178">
        <f t="shared" si="322"/>
        <v>26307.68085</v>
      </c>
      <c r="P1066" s="178">
        <f t="shared" si="322"/>
        <v>28938.44894</v>
      </c>
      <c r="Q1066" s="178">
        <f t="shared" si="322"/>
        <v>31832.29383</v>
      </c>
      <c r="R1066" s="178">
        <f t="shared" si="322"/>
        <v>196835.5232</v>
      </c>
      <c r="S1066" s="1"/>
      <c r="T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R1067" si="323">H571</f>
        <v>0</v>
      </c>
      <c r="I1067" s="178">
        <f t="shared" si="323"/>
        <v>0</v>
      </c>
      <c r="J1067" s="178">
        <f t="shared" si="323"/>
        <v>0</v>
      </c>
      <c r="K1067" s="178">
        <f t="shared" si="323"/>
        <v>0</v>
      </c>
      <c r="L1067" s="178">
        <f t="shared" si="323"/>
        <v>0</v>
      </c>
      <c r="M1067" s="178">
        <f t="shared" si="323"/>
        <v>0</v>
      </c>
      <c r="N1067" s="178">
        <f t="shared" si="323"/>
        <v>0</v>
      </c>
      <c r="O1067" s="178">
        <f t="shared" si="323"/>
        <v>0</v>
      </c>
      <c r="P1067" s="178">
        <f t="shared" si="323"/>
        <v>0</v>
      </c>
      <c r="Q1067" s="178">
        <f t="shared" si="323"/>
        <v>0</v>
      </c>
      <c r="R1067" s="178">
        <f t="shared" si="323"/>
        <v>0</v>
      </c>
      <c r="S1067" s="223">
        <f t="shared" ref="S1067:S1069" si="325">SUM(H1067:R1067)</f>
        <v>0</v>
      </c>
      <c r="T1067" s="223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R1068" si="324">H605</f>
        <v>0</v>
      </c>
      <c r="I1068" s="178">
        <f t="shared" si="324"/>
        <v>0</v>
      </c>
      <c r="J1068" s="178">
        <f t="shared" si="324"/>
        <v>0</v>
      </c>
      <c r="K1068" s="178">
        <f t="shared" si="324"/>
        <v>0</v>
      </c>
      <c r="L1068" s="178">
        <f t="shared" si="324"/>
        <v>0</v>
      </c>
      <c r="M1068" s="178">
        <f t="shared" si="324"/>
        <v>0</v>
      </c>
      <c r="N1068" s="178">
        <f t="shared" si="324"/>
        <v>0</v>
      </c>
      <c r="O1068" s="178">
        <f t="shared" si="324"/>
        <v>0</v>
      </c>
      <c r="P1068" s="178">
        <f t="shared" si="324"/>
        <v>0</v>
      </c>
      <c r="Q1068" s="178">
        <f t="shared" si="324"/>
        <v>0</v>
      </c>
      <c r="R1068" s="178">
        <f t="shared" si="324"/>
        <v>161820</v>
      </c>
      <c r="S1068" s="223">
        <f t="shared" si="325"/>
        <v>161820</v>
      </c>
      <c r="T1068" s="223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R1069" si="326">H624</f>
        <v>0</v>
      </c>
      <c r="I1069" s="178">
        <f t="shared" si="326"/>
        <v>14850</v>
      </c>
      <c r="J1069" s="178">
        <f t="shared" si="326"/>
        <v>16335</v>
      </c>
      <c r="K1069" s="178">
        <f t="shared" si="326"/>
        <v>17968.5</v>
      </c>
      <c r="L1069" s="178">
        <f t="shared" si="326"/>
        <v>19765.35</v>
      </c>
      <c r="M1069" s="178">
        <f t="shared" si="326"/>
        <v>21741.885</v>
      </c>
      <c r="N1069" s="178">
        <f t="shared" si="326"/>
        <v>23916.0735</v>
      </c>
      <c r="O1069" s="178">
        <f t="shared" si="326"/>
        <v>26307.68085</v>
      </c>
      <c r="P1069" s="178">
        <f t="shared" si="326"/>
        <v>28938.44894</v>
      </c>
      <c r="Q1069" s="178">
        <f t="shared" si="326"/>
        <v>31832.29383</v>
      </c>
      <c r="R1069" s="178">
        <f t="shared" si="326"/>
        <v>35015.52321</v>
      </c>
      <c r="S1069" s="223">
        <f t="shared" si="325"/>
        <v>236670.7553</v>
      </c>
      <c r="T1069" s="223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"/>
      <c r="T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 t="shared" ref="H1071:R1071" si="327">SUM(H1072:H1074)</f>
        <v>18000</v>
      </c>
      <c r="I1071" s="178">
        <f t="shared" si="327"/>
        <v>19800</v>
      </c>
      <c r="J1071" s="178">
        <f t="shared" si="327"/>
        <v>21780</v>
      </c>
      <c r="K1071" s="178">
        <f t="shared" si="327"/>
        <v>23958</v>
      </c>
      <c r="L1071" s="178">
        <f t="shared" si="327"/>
        <v>45553.8</v>
      </c>
      <c r="M1071" s="178">
        <f t="shared" si="327"/>
        <v>28989.18</v>
      </c>
      <c r="N1071" s="178">
        <f t="shared" si="327"/>
        <v>47248.098</v>
      </c>
      <c r="O1071" s="178">
        <f t="shared" si="327"/>
        <v>73476.9078</v>
      </c>
      <c r="P1071" s="178">
        <f t="shared" si="327"/>
        <v>50872.59858</v>
      </c>
      <c r="Q1071" s="178">
        <f t="shared" si="327"/>
        <v>220475.0584</v>
      </c>
      <c r="R1071" s="178">
        <f t="shared" si="327"/>
        <v>82117.76428</v>
      </c>
      <c r="S1071" s="1"/>
      <c r="T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R1072" si="328">H646</f>
        <v>0</v>
      </c>
      <c r="I1072" s="178">
        <f t="shared" si="328"/>
        <v>0</v>
      </c>
      <c r="J1072" s="178">
        <f t="shared" si="328"/>
        <v>0</v>
      </c>
      <c r="K1072" s="178">
        <f t="shared" si="328"/>
        <v>0</v>
      </c>
      <c r="L1072" s="178">
        <f t="shared" si="328"/>
        <v>19200</v>
      </c>
      <c r="M1072" s="178">
        <f t="shared" si="328"/>
        <v>0</v>
      </c>
      <c r="N1072" s="178">
        <f t="shared" si="328"/>
        <v>15360</v>
      </c>
      <c r="O1072" s="178">
        <f t="shared" si="328"/>
        <v>38400</v>
      </c>
      <c r="P1072" s="178">
        <f t="shared" si="328"/>
        <v>12288</v>
      </c>
      <c r="Q1072" s="178">
        <f t="shared" si="328"/>
        <v>30720</v>
      </c>
      <c r="R1072" s="178">
        <f t="shared" si="328"/>
        <v>35430.4</v>
      </c>
      <c r="S1072" s="223">
        <f t="shared" ref="S1072:S1074" si="330">SUM(H1072:R1072)</f>
        <v>151398.4</v>
      </c>
      <c r="T1072" s="223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R1073" si="329">H679</f>
        <v>0</v>
      </c>
      <c r="I1073" s="178">
        <f t="shared" si="329"/>
        <v>0</v>
      </c>
      <c r="J1073" s="178">
        <f t="shared" si="329"/>
        <v>0</v>
      </c>
      <c r="K1073" s="178">
        <f t="shared" si="329"/>
        <v>0</v>
      </c>
      <c r="L1073" s="178">
        <f t="shared" si="329"/>
        <v>0</v>
      </c>
      <c r="M1073" s="178">
        <f t="shared" si="329"/>
        <v>0</v>
      </c>
      <c r="N1073" s="178">
        <f t="shared" si="329"/>
        <v>0</v>
      </c>
      <c r="O1073" s="178">
        <f t="shared" si="329"/>
        <v>0</v>
      </c>
      <c r="P1073" s="178">
        <f t="shared" si="329"/>
        <v>0</v>
      </c>
      <c r="Q1073" s="178">
        <f t="shared" si="329"/>
        <v>147312</v>
      </c>
      <c r="R1073" s="178">
        <f t="shared" si="329"/>
        <v>0</v>
      </c>
      <c r="S1073" s="223">
        <f t="shared" si="330"/>
        <v>147312</v>
      </c>
      <c r="T1073" s="223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R1074" si="331">H698</f>
        <v>18000</v>
      </c>
      <c r="I1074" s="178">
        <f t="shared" si="331"/>
        <v>19800</v>
      </c>
      <c r="J1074" s="178">
        <f t="shared" si="331"/>
        <v>21780</v>
      </c>
      <c r="K1074" s="178">
        <f t="shared" si="331"/>
        <v>23958</v>
      </c>
      <c r="L1074" s="178">
        <f t="shared" si="331"/>
        <v>26353.8</v>
      </c>
      <c r="M1074" s="178">
        <f t="shared" si="331"/>
        <v>28989.18</v>
      </c>
      <c r="N1074" s="178">
        <f t="shared" si="331"/>
        <v>31888.098</v>
      </c>
      <c r="O1074" s="178">
        <f t="shared" si="331"/>
        <v>35076.9078</v>
      </c>
      <c r="P1074" s="178">
        <f t="shared" si="331"/>
        <v>38584.59858</v>
      </c>
      <c r="Q1074" s="178">
        <f t="shared" si="331"/>
        <v>42443.05844</v>
      </c>
      <c r="R1074" s="178">
        <f t="shared" si="331"/>
        <v>46687.36428</v>
      </c>
      <c r="S1074" s="223">
        <f t="shared" si="330"/>
        <v>333561.0071</v>
      </c>
      <c r="T1074" s="223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"/>
      <c r="T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 t="shared" ref="H1076:R1076" si="332">SUM(H1077:H1079)</f>
        <v>0</v>
      </c>
      <c r="I1076" s="178">
        <f t="shared" si="332"/>
        <v>0</v>
      </c>
      <c r="J1076" s="178">
        <f t="shared" si="332"/>
        <v>0</v>
      </c>
      <c r="K1076" s="178">
        <f t="shared" si="332"/>
        <v>100800</v>
      </c>
      <c r="L1076" s="178">
        <f t="shared" si="332"/>
        <v>52800</v>
      </c>
      <c r="M1076" s="178">
        <f t="shared" si="332"/>
        <v>128640</v>
      </c>
      <c r="N1076" s="178">
        <f t="shared" si="332"/>
        <v>80640</v>
      </c>
      <c r="O1076" s="178">
        <f t="shared" si="332"/>
        <v>715494</v>
      </c>
      <c r="P1076" s="178">
        <f t="shared" si="332"/>
        <v>252912</v>
      </c>
      <c r="Q1076" s="178">
        <f t="shared" si="332"/>
        <v>216249.6</v>
      </c>
      <c r="R1076" s="178">
        <f t="shared" si="332"/>
        <v>169449.6</v>
      </c>
      <c r="S1076" s="1"/>
      <c r="T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R1077" si="333">H720</f>
        <v>0</v>
      </c>
      <c r="I1077" s="178">
        <f t="shared" si="333"/>
        <v>0</v>
      </c>
      <c r="J1077" s="178">
        <f t="shared" si="333"/>
        <v>0</v>
      </c>
      <c r="K1077" s="178">
        <f t="shared" si="333"/>
        <v>100800</v>
      </c>
      <c r="L1077" s="178">
        <f t="shared" si="333"/>
        <v>52800</v>
      </c>
      <c r="M1077" s="178">
        <f t="shared" si="333"/>
        <v>128640</v>
      </c>
      <c r="N1077" s="178">
        <f t="shared" si="333"/>
        <v>80640</v>
      </c>
      <c r="O1077" s="178">
        <f t="shared" si="333"/>
        <v>141312</v>
      </c>
      <c r="P1077" s="178">
        <f t="shared" si="333"/>
        <v>93312</v>
      </c>
      <c r="Q1077" s="178">
        <f t="shared" si="333"/>
        <v>132249.6</v>
      </c>
      <c r="R1077" s="178">
        <f t="shared" si="333"/>
        <v>93849.6</v>
      </c>
      <c r="S1077" s="223">
        <f t="shared" ref="S1077:S1079" si="335">SUM(H1077:R1077)</f>
        <v>823603.2</v>
      </c>
      <c r="T1077" s="223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R1078" si="334">H754</f>
        <v>0</v>
      </c>
      <c r="I1078" s="178">
        <f t="shared" si="334"/>
        <v>0</v>
      </c>
      <c r="J1078" s="178">
        <f t="shared" si="334"/>
        <v>0</v>
      </c>
      <c r="K1078" s="178">
        <f t="shared" si="334"/>
        <v>0</v>
      </c>
      <c r="L1078" s="178">
        <f t="shared" si="334"/>
        <v>0</v>
      </c>
      <c r="M1078" s="178">
        <f t="shared" si="334"/>
        <v>0</v>
      </c>
      <c r="N1078" s="178">
        <f t="shared" si="334"/>
        <v>0</v>
      </c>
      <c r="O1078" s="178">
        <f t="shared" si="334"/>
        <v>574182</v>
      </c>
      <c r="P1078" s="178">
        <f t="shared" si="334"/>
        <v>159600</v>
      </c>
      <c r="Q1078" s="178">
        <f t="shared" si="334"/>
        <v>84000</v>
      </c>
      <c r="R1078" s="178">
        <f t="shared" si="334"/>
        <v>75600</v>
      </c>
      <c r="S1078" s="223">
        <f t="shared" si="335"/>
        <v>893382</v>
      </c>
      <c r="T1078" s="223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R1079" si="336">H774</f>
        <v>0</v>
      </c>
      <c r="I1079" s="178">
        <f t="shared" si="336"/>
        <v>0</v>
      </c>
      <c r="J1079" s="178">
        <f t="shared" si="336"/>
        <v>0</v>
      </c>
      <c r="K1079" s="178">
        <f t="shared" si="336"/>
        <v>0</v>
      </c>
      <c r="L1079" s="178">
        <f t="shared" si="336"/>
        <v>0</v>
      </c>
      <c r="M1079" s="178">
        <f t="shared" si="336"/>
        <v>0</v>
      </c>
      <c r="N1079" s="178">
        <f t="shared" si="336"/>
        <v>0</v>
      </c>
      <c r="O1079" s="178">
        <f t="shared" si="336"/>
        <v>0</v>
      </c>
      <c r="P1079" s="178">
        <f t="shared" si="336"/>
        <v>0</v>
      </c>
      <c r="Q1079" s="178">
        <f t="shared" si="336"/>
        <v>0</v>
      </c>
      <c r="R1079" s="178">
        <f t="shared" si="336"/>
        <v>0</v>
      </c>
      <c r="S1079" s="223">
        <f t="shared" si="335"/>
        <v>0</v>
      </c>
      <c r="T1079" s="223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"/>
      <c r="T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R1081" si="337">SUM(H1083,H1090,H1097,H1104,H1111,)</f>
        <v>0</v>
      </c>
      <c r="I1081" s="178">
        <f t="shared" si="337"/>
        <v>3572000</v>
      </c>
      <c r="J1081" s="178">
        <f t="shared" si="337"/>
        <v>2329000</v>
      </c>
      <c r="K1081" s="178">
        <f t="shared" si="337"/>
        <v>1682000</v>
      </c>
      <c r="L1081" s="178">
        <f t="shared" si="337"/>
        <v>1120000</v>
      </c>
      <c r="M1081" s="178">
        <f t="shared" si="337"/>
        <v>2295000</v>
      </c>
      <c r="N1081" s="178">
        <f t="shared" si="337"/>
        <v>780000</v>
      </c>
      <c r="O1081" s="178">
        <f t="shared" si="337"/>
        <v>578000</v>
      </c>
      <c r="P1081" s="178">
        <f t="shared" si="337"/>
        <v>1728000</v>
      </c>
      <c r="Q1081" s="178">
        <f t="shared" si="337"/>
        <v>0</v>
      </c>
      <c r="R1081" s="178">
        <f t="shared" si="337"/>
        <v>0</v>
      </c>
      <c r="S1081" s="223">
        <f>SUM(H1081:R1081)</f>
        <v>14084000</v>
      </c>
      <c r="T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223"/>
      <c r="T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R1083" si="338">SUM(H1084:H1088)</f>
        <v>0</v>
      </c>
      <c r="I1083" s="178">
        <f t="shared" si="338"/>
        <v>0</v>
      </c>
      <c r="J1083" s="178">
        <f t="shared" si="338"/>
        <v>160000</v>
      </c>
      <c r="K1083" s="178">
        <f t="shared" si="338"/>
        <v>0</v>
      </c>
      <c r="L1083" s="178">
        <f t="shared" si="338"/>
        <v>0</v>
      </c>
      <c r="M1083" s="178">
        <f t="shared" si="338"/>
        <v>400000</v>
      </c>
      <c r="N1083" s="178">
        <f t="shared" si="338"/>
        <v>0</v>
      </c>
      <c r="O1083" s="178">
        <f t="shared" si="338"/>
        <v>0</v>
      </c>
      <c r="P1083" s="178">
        <f t="shared" si="338"/>
        <v>400000</v>
      </c>
      <c r="Q1083" s="178">
        <f t="shared" si="338"/>
        <v>0</v>
      </c>
      <c r="R1083" s="178">
        <f t="shared" si="338"/>
        <v>0</v>
      </c>
      <c r="S1083" s="1"/>
      <c r="T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R1084" si="339">H827</f>
        <v>0</v>
      </c>
      <c r="I1084" s="179">
        <f t="shared" si="339"/>
        <v>0</v>
      </c>
      <c r="J1084" s="179">
        <f t="shared" si="339"/>
        <v>140000</v>
      </c>
      <c r="K1084" s="179">
        <f t="shared" si="339"/>
        <v>0</v>
      </c>
      <c r="L1084" s="179">
        <f t="shared" si="339"/>
        <v>0</v>
      </c>
      <c r="M1084" s="179">
        <f t="shared" si="339"/>
        <v>350000</v>
      </c>
      <c r="N1084" s="179">
        <f t="shared" si="339"/>
        <v>0</v>
      </c>
      <c r="O1084" s="179">
        <f t="shared" si="339"/>
        <v>0</v>
      </c>
      <c r="P1084" s="179">
        <f t="shared" si="339"/>
        <v>350000</v>
      </c>
      <c r="Q1084" s="179">
        <f t="shared" si="339"/>
        <v>0</v>
      </c>
      <c r="R1084" s="179">
        <f t="shared" si="339"/>
        <v>0</v>
      </c>
      <c r="S1084" s="1"/>
      <c r="T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R1085" si="340">H830</f>
        <v>0</v>
      </c>
      <c r="I1085" s="179">
        <f t="shared" si="340"/>
        <v>0</v>
      </c>
      <c r="J1085" s="179">
        <f t="shared" si="340"/>
        <v>20000</v>
      </c>
      <c r="K1085" s="179">
        <f t="shared" si="340"/>
        <v>0</v>
      </c>
      <c r="L1085" s="179">
        <f t="shared" si="340"/>
        <v>0</v>
      </c>
      <c r="M1085" s="179">
        <f t="shared" si="340"/>
        <v>50000</v>
      </c>
      <c r="N1085" s="179">
        <f t="shared" si="340"/>
        <v>0</v>
      </c>
      <c r="O1085" s="179">
        <f t="shared" si="340"/>
        <v>0</v>
      </c>
      <c r="P1085" s="179">
        <f t="shared" si="340"/>
        <v>50000</v>
      </c>
      <c r="Q1085" s="179">
        <f t="shared" si="340"/>
        <v>0</v>
      </c>
      <c r="R1085" s="179">
        <f t="shared" si="340"/>
        <v>0</v>
      </c>
      <c r="S1085" s="1"/>
      <c r="T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R1086" si="341">H833</f>
        <v>0</v>
      </c>
      <c r="I1086" s="179">
        <f t="shared" si="341"/>
        <v>0</v>
      </c>
      <c r="J1086" s="179">
        <f t="shared" si="341"/>
        <v>0</v>
      </c>
      <c r="K1086" s="179">
        <f t="shared" si="341"/>
        <v>0</v>
      </c>
      <c r="L1086" s="179">
        <f t="shared" si="341"/>
        <v>0</v>
      </c>
      <c r="M1086" s="179">
        <f t="shared" si="341"/>
        <v>0</v>
      </c>
      <c r="N1086" s="179">
        <f t="shared" si="341"/>
        <v>0</v>
      </c>
      <c r="O1086" s="179">
        <f t="shared" si="341"/>
        <v>0</v>
      </c>
      <c r="P1086" s="179">
        <f t="shared" si="341"/>
        <v>0</v>
      </c>
      <c r="Q1086" s="179">
        <f t="shared" si="341"/>
        <v>0</v>
      </c>
      <c r="R1086" s="179">
        <f t="shared" si="341"/>
        <v>0</v>
      </c>
      <c r="S1086" s="1"/>
      <c r="T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R1087" si="342">H836</f>
        <v>0</v>
      </c>
      <c r="I1087" s="179">
        <f t="shared" si="342"/>
        <v>0</v>
      </c>
      <c r="J1087" s="179">
        <f t="shared" si="342"/>
        <v>0</v>
      </c>
      <c r="K1087" s="179">
        <f t="shared" si="342"/>
        <v>0</v>
      </c>
      <c r="L1087" s="179">
        <f t="shared" si="342"/>
        <v>0</v>
      </c>
      <c r="M1087" s="179">
        <f t="shared" si="342"/>
        <v>0</v>
      </c>
      <c r="N1087" s="179">
        <f t="shared" si="342"/>
        <v>0</v>
      </c>
      <c r="O1087" s="179">
        <f t="shared" si="342"/>
        <v>0</v>
      </c>
      <c r="P1087" s="179">
        <f t="shared" si="342"/>
        <v>0</v>
      </c>
      <c r="Q1087" s="179">
        <f t="shared" si="342"/>
        <v>0</v>
      </c>
      <c r="R1087" s="179">
        <f t="shared" si="342"/>
        <v>0</v>
      </c>
      <c r="S1087" s="1"/>
      <c r="T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R1088" si="343">H839</f>
        <v>0</v>
      </c>
      <c r="I1088" s="179">
        <f t="shared" si="343"/>
        <v>0</v>
      </c>
      <c r="J1088" s="179">
        <f t="shared" si="343"/>
        <v>0</v>
      </c>
      <c r="K1088" s="179">
        <f t="shared" si="343"/>
        <v>0</v>
      </c>
      <c r="L1088" s="179">
        <f t="shared" si="343"/>
        <v>0</v>
      </c>
      <c r="M1088" s="179">
        <f t="shared" si="343"/>
        <v>0</v>
      </c>
      <c r="N1088" s="179">
        <f t="shared" si="343"/>
        <v>0</v>
      </c>
      <c r="O1088" s="179">
        <f t="shared" si="343"/>
        <v>0</v>
      </c>
      <c r="P1088" s="179">
        <f t="shared" si="343"/>
        <v>0</v>
      </c>
      <c r="Q1088" s="179">
        <f t="shared" si="343"/>
        <v>0</v>
      </c>
      <c r="R1088" s="179">
        <f t="shared" si="343"/>
        <v>0</v>
      </c>
      <c r="S1088" s="1"/>
      <c r="T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"/>
      <c r="T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R1090" si="344">SUM(H1091:H1095)</f>
        <v>0</v>
      </c>
      <c r="I1090" s="178">
        <f t="shared" si="344"/>
        <v>0</v>
      </c>
      <c r="J1090" s="178">
        <f t="shared" si="344"/>
        <v>271000</v>
      </c>
      <c r="K1090" s="178">
        <f t="shared" si="344"/>
        <v>0</v>
      </c>
      <c r="L1090" s="178">
        <f t="shared" si="344"/>
        <v>0</v>
      </c>
      <c r="M1090" s="178">
        <f t="shared" si="344"/>
        <v>789000</v>
      </c>
      <c r="N1090" s="178">
        <f t="shared" si="344"/>
        <v>0</v>
      </c>
      <c r="O1090" s="178">
        <f t="shared" si="344"/>
        <v>0</v>
      </c>
      <c r="P1090" s="178">
        <f t="shared" si="344"/>
        <v>880000</v>
      </c>
      <c r="Q1090" s="178">
        <f t="shared" si="344"/>
        <v>0</v>
      </c>
      <c r="R1090" s="178">
        <f t="shared" si="344"/>
        <v>0</v>
      </c>
      <c r="S1090" s="1"/>
      <c r="T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R1091" si="345">H872</f>
        <v>0</v>
      </c>
      <c r="I1091" s="179">
        <f t="shared" si="345"/>
        <v>0</v>
      </c>
      <c r="J1091" s="179">
        <f t="shared" si="345"/>
        <v>125000</v>
      </c>
      <c r="K1091" s="179">
        <f t="shared" si="345"/>
        <v>0</v>
      </c>
      <c r="L1091" s="179">
        <f t="shared" si="345"/>
        <v>0</v>
      </c>
      <c r="M1091" s="179">
        <f t="shared" si="345"/>
        <v>375000</v>
      </c>
      <c r="N1091" s="179">
        <f t="shared" si="345"/>
        <v>0</v>
      </c>
      <c r="O1091" s="179">
        <f t="shared" si="345"/>
        <v>0</v>
      </c>
      <c r="P1091" s="179">
        <f t="shared" si="345"/>
        <v>400000</v>
      </c>
      <c r="Q1091" s="179">
        <f t="shared" si="345"/>
        <v>0</v>
      </c>
      <c r="R1091" s="179">
        <f t="shared" si="345"/>
        <v>0</v>
      </c>
      <c r="S1091" s="1"/>
      <c r="T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R1092" si="346">H875</f>
        <v>0</v>
      </c>
      <c r="I1092" s="179">
        <f t="shared" si="346"/>
        <v>0</v>
      </c>
      <c r="J1092" s="179">
        <f t="shared" si="346"/>
        <v>50000</v>
      </c>
      <c r="K1092" s="179">
        <f t="shared" si="346"/>
        <v>0</v>
      </c>
      <c r="L1092" s="179">
        <f t="shared" si="346"/>
        <v>0</v>
      </c>
      <c r="M1092" s="179">
        <f t="shared" si="346"/>
        <v>150000</v>
      </c>
      <c r="N1092" s="179">
        <f t="shared" si="346"/>
        <v>0</v>
      </c>
      <c r="O1092" s="179">
        <f t="shared" si="346"/>
        <v>0</v>
      </c>
      <c r="P1092" s="179">
        <f t="shared" si="346"/>
        <v>160000</v>
      </c>
      <c r="Q1092" s="179">
        <f t="shared" si="346"/>
        <v>0</v>
      </c>
      <c r="R1092" s="179">
        <f t="shared" si="346"/>
        <v>0</v>
      </c>
      <c r="S1092" s="1"/>
      <c r="T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R1093" si="347">H878</f>
        <v>0</v>
      </c>
      <c r="I1093" s="179">
        <f t="shared" si="347"/>
        <v>0</v>
      </c>
      <c r="J1093" s="179">
        <f t="shared" si="347"/>
        <v>24000</v>
      </c>
      <c r="K1093" s="179">
        <f t="shared" si="347"/>
        <v>0</v>
      </c>
      <c r="L1093" s="179">
        <f t="shared" si="347"/>
        <v>0</v>
      </c>
      <c r="M1093" s="179">
        <f t="shared" si="347"/>
        <v>48000</v>
      </c>
      <c r="N1093" s="179">
        <f t="shared" si="347"/>
        <v>0</v>
      </c>
      <c r="O1093" s="179">
        <f t="shared" si="347"/>
        <v>0</v>
      </c>
      <c r="P1093" s="179">
        <f t="shared" si="347"/>
        <v>32000</v>
      </c>
      <c r="Q1093" s="179">
        <f t="shared" si="347"/>
        <v>0</v>
      </c>
      <c r="R1093" s="179">
        <f t="shared" si="347"/>
        <v>0</v>
      </c>
      <c r="S1093" s="1"/>
      <c r="T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R1094" si="348">H881</f>
        <v>0</v>
      </c>
      <c r="I1094" s="179">
        <f t="shared" si="348"/>
        <v>0</v>
      </c>
      <c r="J1094" s="179">
        <f t="shared" si="348"/>
        <v>72000</v>
      </c>
      <c r="K1094" s="179">
        <f t="shared" si="348"/>
        <v>0</v>
      </c>
      <c r="L1094" s="179">
        <f t="shared" si="348"/>
        <v>0</v>
      </c>
      <c r="M1094" s="179">
        <f t="shared" si="348"/>
        <v>216000</v>
      </c>
      <c r="N1094" s="179">
        <f t="shared" si="348"/>
        <v>0</v>
      </c>
      <c r="O1094" s="179">
        <f t="shared" si="348"/>
        <v>0</v>
      </c>
      <c r="P1094" s="179">
        <f t="shared" si="348"/>
        <v>288000</v>
      </c>
      <c r="Q1094" s="179">
        <f t="shared" si="348"/>
        <v>0</v>
      </c>
      <c r="R1094" s="179">
        <f t="shared" si="348"/>
        <v>0</v>
      </c>
      <c r="S1094" s="1"/>
      <c r="T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R1095" si="349">H884</f>
        <v>0</v>
      </c>
      <c r="I1095" s="179">
        <f t="shared" si="349"/>
        <v>0</v>
      </c>
      <c r="J1095" s="179">
        <f t="shared" si="349"/>
        <v>0</v>
      </c>
      <c r="K1095" s="179">
        <f t="shared" si="349"/>
        <v>0</v>
      </c>
      <c r="L1095" s="179">
        <f t="shared" si="349"/>
        <v>0</v>
      </c>
      <c r="M1095" s="179">
        <f t="shared" si="349"/>
        <v>0</v>
      </c>
      <c r="N1095" s="179">
        <f t="shared" si="349"/>
        <v>0</v>
      </c>
      <c r="O1095" s="179">
        <f t="shared" si="349"/>
        <v>0</v>
      </c>
      <c r="P1095" s="179">
        <f t="shared" si="349"/>
        <v>0</v>
      </c>
      <c r="Q1095" s="179">
        <f t="shared" si="349"/>
        <v>0</v>
      </c>
      <c r="R1095" s="179">
        <f t="shared" si="349"/>
        <v>0</v>
      </c>
      <c r="S1095" s="1"/>
      <c r="T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R1097" si="350">SUM(H1098:H1102)</f>
        <v>0</v>
      </c>
      <c r="I1097" s="178">
        <f t="shared" si="350"/>
        <v>1744000</v>
      </c>
      <c r="J1097" s="178">
        <f t="shared" si="350"/>
        <v>926000</v>
      </c>
      <c r="K1097" s="178">
        <f t="shared" si="350"/>
        <v>818000</v>
      </c>
      <c r="L1097" s="178">
        <f t="shared" si="350"/>
        <v>540000</v>
      </c>
      <c r="M1097" s="178">
        <f t="shared" si="350"/>
        <v>540000</v>
      </c>
      <c r="N1097" s="178">
        <f t="shared" si="350"/>
        <v>374000</v>
      </c>
      <c r="O1097" s="178">
        <f t="shared" si="350"/>
        <v>280000</v>
      </c>
      <c r="P1097" s="178">
        <f t="shared" si="350"/>
        <v>208000</v>
      </c>
      <c r="Q1097" s="178">
        <f t="shared" si="350"/>
        <v>0</v>
      </c>
      <c r="R1097" s="178">
        <f t="shared" si="350"/>
        <v>0</v>
      </c>
      <c r="S1097" s="1"/>
      <c r="T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R1098" si="351">H917</f>
        <v>0</v>
      </c>
      <c r="I1098" s="180">
        <f t="shared" si="351"/>
        <v>480000</v>
      </c>
      <c r="J1098" s="180">
        <f t="shared" si="351"/>
        <v>260000</v>
      </c>
      <c r="K1098" s="180">
        <f t="shared" si="351"/>
        <v>220000</v>
      </c>
      <c r="L1098" s="180">
        <f t="shared" si="351"/>
        <v>140000</v>
      </c>
      <c r="M1098" s="180">
        <f t="shared" si="351"/>
        <v>140000</v>
      </c>
      <c r="N1098" s="180">
        <f t="shared" si="351"/>
        <v>100000</v>
      </c>
      <c r="O1098" s="180">
        <f t="shared" si="351"/>
        <v>80000</v>
      </c>
      <c r="P1098" s="180">
        <f t="shared" si="351"/>
        <v>60000</v>
      </c>
      <c r="Q1098" s="180">
        <f t="shared" si="351"/>
        <v>0</v>
      </c>
      <c r="R1098" s="180">
        <f t="shared" si="351"/>
        <v>0</v>
      </c>
      <c r="S1098" s="1"/>
      <c r="T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R1099" si="352">H920</f>
        <v>0</v>
      </c>
      <c r="I1099" s="170">
        <f t="shared" si="352"/>
        <v>340000</v>
      </c>
      <c r="J1099" s="170">
        <f t="shared" si="352"/>
        <v>180000</v>
      </c>
      <c r="K1099" s="170">
        <f t="shared" si="352"/>
        <v>160000</v>
      </c>
      <c r="L1099" s="170">
        <f t="shared" si="352"/>
        <v>100000</v>
      </c>
      <c r="M1099" s="170">
        <f t="shared" si="352"/>
        <v>100000</v>
      </c>
      <c r="N1099" s="170">
        <f t="shared" si="352"/>
        <v>70000</v>
      </c>
      <c r="O1099" s="170">
        <f t="shared" si="352"/>
        <v>50000</v>
      </c>
      <c r="P1099" s="170">
        <f t="shared" si="352"/>
        <v>40000</v>
      </c>
      <c r="Q1099" s="170">
        <f t="shared" si="352"/>
        <v>0</v>
      </c>
      <c r="R1099" s="170">
        <f t="shared" si="352"/>
        <v>0</v>
      </c>
      <c r="S1099" s="1"/>
      <c r="T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R1100" si="353">H923</f>
        <v>0</v>
      </c>
      <c r="I1100" s="170">
        <f t="shared" si="353"/>
        <v>126000</v>
      </c>
      <c r="J1100" s="170">
        <f t="shared" si="353"/>
        <v>66000</v>
      </c>
      <c r="K1100" s="170">
        <f t="shared" si="353"/>
        <v>60000</v>
      </c>
      <c r="L1100" s="170">
        <f t="shared" si="353"/>
        <v>48000</v>
      </c>
      <c r="M1100" s="170">
        <f t="shared" si="353"/>
        <v>48000</v>
      </c>
      <c r="N1100" s="170">
        <f t="shared" si="353"/>
        <v>36000</v>
      </c>
      <c r="O1100" s="170">
        <f t="shared" si="353"/>
        <v>24000</v>
      </c>
      <c r="P1100" s="170">
        <f t="shared" si="353"/>
        <v>24000</v>
      </c>
      <c r="Q1100" s="170">
        <f t="shared" si="353"/>
        <v>0</v>
      </c>
      <c r="R1100" s="170">
        <f t="shared" si="353"/>
        <v>0</v>
      </c>
      <c r="S1100" s="1"/>
      <c r="T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R1101" si="354">H926</f>
        <v>0</v>
      </c>
      <c r="I1101" s="170">
        <f t="shared" si="354"/>
        <v>798000</v>
      </c>
      <c r="J1101" s="170">
        <f t="shared" si="354"/>
        <v>420000</v>
      </c>
      <c r="K1101" s="170">
        <f t="shared" si="354"/>
        <v>378000</v>
      </c>
      <c r="L1101" s="170">
        <f t="shared" si="354"/>
        <v>252000</v>
      </c>
      <c r="M1101" s="170">
        <f t="shared" si="354"/>
        <v>252000</v>
      </c>
      <c r="N1101" s="170">
        <f t="shared" si="354"/>
        <v>168000</v>
      </c>
      <c r="O1101" s="170">
        <f t="shared" si="354"/>
        <v>126000</v>
      </c>
      <c r="P1101" s="170">
        <f t="shared" si="354"/>
        <v>84000</v>
      </c>
      <c r="Q1101" s="170">
        <f t="shared" si="354"/>
        <v>0</v>
      </c>
      <c r="R1101" s="170">
        <f t="shared" si="354"/>
        <v>0</v>
      </c>
      <c r="S1101" s="1"/>
      <c r="T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R1102" si="355">H929</f>
        <v>0</v>
      </c>
      <c r="I1102" s="170">
        <f t="shared" si="355"/>
        <v>0</v>
      </c>
      <c r="J1102" s="170">
        <f t="shared" si="355"/>
        <v>0</v>
      </c>
      <c r="K1102" s="170">
        <f t="shared" si="355"/>
        <v>0</v>
      </c>
      <c r="L1102" s="170">
        <f t="shared" si="355"/>
        <v>0</v>
      </c>
      <c r="M1102" s="170">
        <f t="shared" si="355"/>
        <v>0</v>
      </c>
      <c r="N1102" s="170">
        <f t="shared" si="355"/>
        <v>0</v>
      </c>
      <c r="O1102" s="170">
        <f t="shared" si="355"/>
        <v>0</v>
      </c>
      <c r="P1102" s="170">
        <f t="shared" si="355"/>
        <v>0</v>
      </c>
      <c r="Q1102" s="170">
        <f t="shared" si="355"/>
        <v>0</v>
      </c>
      <c r="R1102" s="170">
        <f t="shared" si="355"/>
        <v>0</v>
      </c>
      <c r="S1102" s="1"/>
      <c r="T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R1104" si="356">SUM(H1105:H1109)</f>
        <v>0</v>
      </c>
      <c r="I1104" s="178">
        <f t="shared" si="356"/>
        <v>1354000</v>
      </c>
      <c r="J1104" s="178">
        <f t="shared" si="356"/>
        <v>720000</v>
      </c>
      <c r="K1104" s="178">
        <f t="shared" si="356"/>
        <v>642000</v>
      </c>
      <c r="L1104" s="178">
        <f t="shared" si="356"/>
        <v>430000</v>
      </c>
      <c r="M1104" s="178">
        <f t="shared" si="356"/>
        <v>422000</v>
      </c>
      <c r="N1104" s="178">
        <f t="shared" si="356"/>
        <v>298000</v>
      </c>
      <c r="O1104" s="178">
        <f t="shared" si="356"/>
        <v>220000</v>
      </c>
      <c r="P1104" s="178">
        <f t="shared" si="356"/>
        <v>176000</v>
      </c>
      <c r="Q1104" s="178">
        <f t="shared" si="356"/>
        <v>0</v>
      </c>
      <c r="R1104" s="178">
        <f t="shared" si="356"/>
        <v>0</v>
      </c>
      <c r="S1104" s="1"/>
      <c r="T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R1105" si="357">H963</f>
        <v>0</v>
      </c>
      <c r="I1105" s="170">
        <f t="shared" si="357"/>
        <v>744000</v>
      </c>
      <c r="J1105" s="170">
        <f t="shared" si="357"/>
        <v>400000</v>
      </c>
      <c r="K1105" s="170">
        <f t="shared" si="357"/>
        <v>352000</v>
      </c>
      <c r="L1105" s="170">
        <f t="shared" si="357"/>
        <v>240000</v>
      </c>
      <c r="M1105" s="170">
        <f t="shared" si="357"/>
        <v>232000</v>
      </c>
      <c r="N1105" s="170">
        <f t="shared" si="357"/>
        <v>168000</v>
      </c>
      <c r="O1105" s="170">
        <f t="shared" si="357"/>
        <v>120000</v>
      </c>
      <c r="P1105" s="170">
        <f t="shared" si="357"/>
        <v>96000</v>
      </c>
      <c r="Q1105" s="170">
        <f t="shared" si="357"/>
        <v>0</v>
      </c>
      <c r="R1105" s="170">
        <f t="shared" si="357"/>
        <v>0</v>
      </c>
      <c r="S1105" s="1"/>
      <c r="T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R1106" si="358">H966</f>
        <v>0</v>
      </c>
      <c r="I1106" s="170">
        <f t="shared" si="358"/>
        <v>610000</v>
      </c>
      <c r="J1106" s="170">
        <f t="shared" si="358"/>
        <v>320000</v>
      </c>
      <c r="K1106" s="170">
        <f t="shared" si="358"/>
        <v>290000</v>
      </c>
      <c r="L1106" s="170">
        <f t="shared" si="358"/>
        <v>190000</v>
      </c>
      <c r="M1106" s="170">
        <f t="shared" si="358"/>
        <v>190000</v>
      </c>
      <c r="N1106" s="170">
        <f t="shared" si="358"/>
        <v>130000</v>
      </c>
      <c r="O1106" s="170">
        <f t="shared" si="358"/>
        <v>100000</v>
      </c>
      <c r="P1106" s="170">
        <f t="shared" si="358"/>
        <v>80000</v>
      </c>
      <c r="Q1106" s="170">
        <f t="shared" si="358"/>
        <v>0</v>
      </c>
      <c r="R1106" s="170">
        <f t="shared" si="358"/>
        <v>0</v>
      </c>
      <c r="S1106" s="1"/>
      <c r="T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R1107" si="359">H969</f>
        <v>0</v>
      </c>
      <c r="I1107" s="170">
        <f t="shared" si="359"/>
        <v>0</v>
      </c>
      <c r="J1107" s="170">
        <f t="shared" si="359"/>
        <v>0</v>
      </c>
      <c r="K1107" s="170">
        <f t="shared" si="359"/>
        <v>0</v>
      </c>
      <c r="L1107" s="170">
        <f t="shared" si="359"/>
        <v>0</v>
      </c>
      <c r="M1107" s="170">
        <f t="shared" si="359"/>
        <v>0</v>
      </c>
      <c r="N1107" s="170">
        <f t="shared" si="359"/>
        <v>0</v>
      </c>
      <c r="O1107" s="170">
        <f t="shared" si="359"/>
        <v>0</v>
      </c>
      <c r="P1107" s="170">
        <f t="shared" si="359"/>
        <v>0</v>
      </c>
      <c r="Q1107" s="170">
        <f t="shared" si="359"/>
        <v>0</v>
      </c>
      <c r="R1107" s="170">
        <f t="shared" si="359"/>
        <v>0</v>
      </c>
      <c r="S1107" s="1"/>
      <c r="T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R1108" si="360">H972</f>
        <v>0</v>
      </c>
      <c r="I1108" s="170">
        <f t="shared" si="360"/>
        <v>0</v>
      </c>
      <c r="J1108" s="170">
        <f t="shared" si="360"/>
        <v>0</v>
      </c>
      <c r="K1108" s="170">
        <f t="shared" si="360"/>
        <v>0</v>
      </c>
      <c r="L1108" s="170">
        <f t="shared" si="360"/>
        <v>0</v>
      </c>
      <c r="M1108" s="170">
        <f t="shared" si="360"/>
        <v>0</v>
      </c>
      <c r="N1108" s="170">
        <f t="shared" si="360"/>
        <v>0</v>
      </c>
      <c r="O1108" s="170">
        <f t="shared" si="360"/>
        <v>0</v>
      </c>
      <c r="P1108" s="170">
        <f t="shared" si="360"/>
        <v>0</v>
      </c>
      <c r="Q1108" s="170">
        <f t="shared" si="360"/>
        <v>0</v>
      </c>
      <c r="R1108" s="170">
        <f t="shared" si="360"/>
        <v>0</v>
      </c>
      <c r="S1108" s="1"/>
      <c r="T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R1109" si="361">H975</f>
        <v>0</v>
      </c>
      <c r="I1109" s="170">
        <f t="shared" si="361"/>
        <v>0</v>
      </c>
      <c r="J1109" s="170">
        <f t="shared" si="361"/>
        <v>0</v>
      </c>
      <c r="K1109" s="170">
        <f t="shared" si="361"/>
        <v>0</v>
      </c>
      <c r="L1109" s="170">
        <f t="shared" si="361"/>
        <v>0</v>
      </c>
      <c r="M1109" s="170">
        <f t="shared" si="361"/>
        <v>0</v>
      </c>
      <c r="N1109" s="170">
        <f t="shared" si="361"/>
        <v>0</v>
      </c>
      <c r="O1109" s="170">
        <f t="shared" si="361"/>
        <v>0</v>
      </c>
      <c r="P1109" s="170">
        <f t="shared" si="361"/>
        <v>0</v>
      </c>
      <c r="Q1109" s="170">
        <f t="shared" si="361"/>
        <v>0</v>
      </c>
      <c r="R1109" s="170">
        <f t="shared" si="361"/>
        <v>0</v>
      </c>
      <c r="S1109" s="1"/>
      <c r="T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R1111" si="362">SUM(H1112:H1116)</f>
        <v>0</v>
      </c>
      <c r="I1111" s="178">
        <f t="shared" si="362"/>
        <v>474000</v>
      </c>
      <c r="J1111" s="178">
        <f t="shared" si="362"/>
        <v>252000</v>
      </c>
      <c r="K1111" s="178">
        <f t="shared" si="362"/>
        <v>222000</v>
      </c>
      <c r="L1111" s="178">
        <f t="shared" si="362"/>
        <v>150000</v>
      </c>
      <c r="M1111" s="178">
        <f t="shared" si="362"/>
        <v>144000</v>
      </c>
      <c r="N1111" s="178">
        <f t="shared" si="362"/>
        <v>108000</v>
      </c>
      <c r="O1111" s="178">
        <f t="shared" si="362"/>
        <v>78000</v>
      </c>
      <c r="P1111" s="178">
        <f t="shared" si="362"/>
        <v>64000</v>
      </c>
      <c r="Q1111" s="178">
        <f t="shared" si="362"/>
        <v>0</v>
      </c>
      <c r="R1111" s="178">
        <f t="shared" si="362"/>
        <v>0</v>
      </c>
      <c r="S1111" s="1"/>
      <c r="T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R1112" si="363">H1008</f>
        <v>0</v>
      </c>
      <c r="I1112" s="170">
        <f t="shared" si="363"/>
        <v>312000</v>
      </c>
      <c r="J1112" s="170">
        <f t="shared" si="363"/>
        <v>168000</v>
      </c>
      <c r="K1112" s="170">
        <f t="shared" si="363"/>
        <v>144000</v>
      </c>
      <c r="L1112" s="170">
        <f t="shared" si="363"/>
        <v>96000</v>
      </c>
      <c r="M1112" s="170">
        <f t="shared" si="363"/>
        <v>96000</v>
      </c>
      <c r="N1112" s="170">
        <f t="shared" si="363"/>
        <v>72000</v>
      </c>
      <c r="O1112" s="170">
        <f t="shared" si="363"/>
        <v>48000</v>
      </c>
      <c r="P1112" s="170">
        <f t="shared" si="363"/>
        <v>40000</v>
      </c>
      <c r="Q1112" s="170">
        <f t="shared" si="363"/>
        <v>0</v>
      </c>
      <c r="R1112" s="170">
        <f t="shared" si="363"/>
        <v>0</v>
      </c>
      <c r="S1112" s="223"/>
      <c r="T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R1113" si="364">H1011</f>
        <v>0</v>
      </c>
      <c r="I1113" s="170">
        <f t="shared" si="364"/>
        <v>162000</v>
      </c>
      <c r="J1113" s="170">
        <f t="shared" si="364"/>
        <v>84000</v>
      </c>
      <c r="K1113" s="170">
        <f t="shared" si="364"/>
        <v>78000</v>
      </c>
      <c r="L1113" s="170">
        <f t="shared" si="364"/>
        <v>54000</v>
      </c>
      <c r="M1113" s="170">
        <f t="shared" si="364"/>
        <v>48000</v>
      </c>
      <c r="N1113" s="170">
        <f t="shared" si="364"/>
        <v>36000</v>
      </c>
      <c r="O1113" s="170">
        <f t="shared" si="364"/>
        <v>30000</v>
      </c>
      <c r="P1113" s="170">
        <f t="shared" si="364"/>
        <v>24000</v>
      </c>
      <c r="Q1113" s="170">
        <f t="shared" si="364"/>
        <v>0</v>
      </c>
      <c r="R1113" s="170">
        <f t="shared" si="364"/>
        <v>0</v>
      </c>
      <c r="S1113" s="1"/>
      <c r="T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R1114" si="365">H1014</f>
        <v>0</v>
      </c>
      <c r="I1114" s="170">
        <f t="shared" si="365"/>
        <v>0</v>
      </c>
      <c r="J1114" s="170">
        <f t="shared" si="365"/>
        <v>0</v>
      </c>
      <c r="K1114" s="170">
        <f t="shared" si="365"/>
        <v>0</v>
      </c>
      <c r="L1114" s="170">
        <f t="shared" si="365"/>
        <v>0</v>
      </c>
      <c r="M1114" s="170">
        <f t="shared" si="365"/>
        <v>0</v>
      </c>
      <c r="N1114" s="170">
        <f t="shared" si="365"/>
        <v>0</v>
      </c>
      <c r="O1114" s="170">
        <f t="shared" si="365"/>
        <v>0</v>
      </c>
      <c r="P1114" s="170">
        <f t="shared" si="365"/>
        <v>0</v>
      </c>
      <c r="Q1114" s="170">
        <f t="shared" si="365"/>
        <v>0</v>
      </c>
      <c r="R1114" s="170">
        <f t="shared" si="365"/>
        <v>0</v>
      </c>
      <c r="S1114" s="1"/>
      <c r="T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R1115" si="366">H1017</f>
        <v>0</v>
      </c>
      <c r="I1115" s="170">
        <f t="shared" si="366"/>
        <v>0</v>
      </c>
      <c r="J1115" s="170">
        <f t="shared" si="366"/>
        <v>0</v>
      </c>
      <c r="K1115" s="170">
        <f t="shared" si="366"/>
        <v>0</v>
      </c>
      <c r="L1115" s="170">
        <f t="shared" si="366"/>
        <v>0</v>
      </c>
      <c r="M1115" s="170">
        <f t="shared" si="366"/>
        <v>0</v>
      </c>
      <c r="N1115" s="170">
        <f t="shared" si="366"/>
        <v>0</v>
      </c>
      <c r="O1115" s="170">
        <f t="shared" si="366"/>
        <v>0</v>
      </c>
      <c r="P1115" s="170">
        <f t="shared" si="366"/>
        <v>0</v>
      </c>
      <c r="Q1115" s="170">
        <f t="shared" si="366"/>
        <v>0</v>
      </c>
      <c r="R1115" s="170">
        <f t="shared" si="366"/>
        <v>0</v>
      </c>
      <c r="S1115" s="1"/>
      <c r="T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R1116" si="367">H1020</f>
        <v>0</v>
      </c>
      <c r="I1116" s="170">
        <f t="shared" si="367"/>
        <v>0</v>
      </c>
      <c r="J1116" s="170">
        <f t="shared" si="367"/>
        <v>0</v>
      </c>
      <c r="K1116" s="170">
        <f t="shared" si="367"/>
        <v>0</v>
      </c>
      <c r="L1116" s="170">
        <f t="shared" si="367"/>
        <v>0</v>
      </c>
      <c r="M1116" s="170">
        <f t="shared" si="367"/>
        <v>0</v>
      </c>
      <c r="N1116" s="170">
        <f t="shared" si="367"/>
        <v>0</v>
      </c>
      <c r="O1116" s="170">
        <f t="shared" si="367"/>
        <v>0</v>
      </c>
      <c r="P1116" s="170">
        <f t="shared" si="367"/>
        <v>0</v>
      </c>
      <c r="Q1116" s="170">
        <f t="shared" si="367"/>
        <v>0</v>
      </c>
      <c r="R1116" s="170">
        <f t="shared" si="367"/>
        <v>0</v>
      </c>
      <c r="S1116" s="1"/>
      <c r="T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</sheetData>
  <mergeCells count="1">
    <mergeCell ref="S1:S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17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4">
        <v>2026.0</v>
      </c>
      <c r="P1" s="4">
        <v>2026.0</v>
      </c>
      <c r="Q1" s="4">
        <v>2026.0</v>
      </c>
      <c r="R1" s="5" t="s">
        <v>1</v>
      </c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335</v>
      </c>
      <c r="I2" s="9">
        <f t="shared" ref="I2:Q2" si="1">H2+1</f>
        <v>4</v>
      </c>
      <c r="J2" s="9">
        <f t="shared" si="1"/>
        <v>5</v>
      </c>
      <c r="K2" s="9">
        <f t="shared" si="1"/>
        <v>6</v>
      </c>
      <c r="L2" s="9">
        <f t="shared" si="1"/>
        <v>7</v>
      </c>
      <c r="M2" s="9">
        <f t="shared" si="1"/>
        <v>8</v>
      </c>
      <c r="N2" s="9">
        <f t="shared" si="1"/>
        <v>9</v>
      </c>
      <c r="O2" s="9">
        <f t="shared" si="1"/>
        <v>10</v>
      </c>
      <c r="P2" s="9">
        <f t="shared" si="1"/>
        <v>11</v>
      </c>
      <c r="Q2" s="9">
        <f t="shared" si="1"/>
        <v>12</v>
      </c>
      <c r="R2" s="10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14"/>
      <c r="O4" s="114"/>
      <c r="P4" s="114"/>
      <c r="Q4" s="114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15"/>
      <c r="N5" s="1"/>
      <c r="O5" s="1"/>
      <c r="P5" s="1"/>
      <c r="Q5" s="1"/>
      <c r="R5" s="124"/>
      <c r="S5" s="124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15"/>
      <c r="N6" s="1"/>
      <c r="O6" s="1"/>
      <c r="P6" s="1"/>
      <c r="Q6" s="1"/>
      <c r="R6" s="125"/>
      <c r="S6" s="125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23"/>
      <c r="S7" s="123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- 2026'!J6</f>
        <v>5080924.8</v>
      </c>
      <c r="I8" s="120"/>
      <c r="J8" s="120"/>
      <c r="K8" s="120"/>
      <c r="L8" s="120"/>
      <c r="M8" s="120"/>
      <c r="N8" s="120"/>
      <c r="O8" s="120"/>
      <c r="P8" s="120"/>
      <c r="Q8" s="120"/>
      <c r="R8" s="130"/>
      <c r="S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- 2026'!J9</f>
        <v>367.71875</v>
      </c>
      <c r="I9" s="122"/>
      <c r="J9" s="122"/>
      <c r="K9" s="122"/>
      <c r="L9" s="122"/>
      <c r="M9" s="122"/>
      <c r="N9" s="122"/>
      <c r="O9" s="122"/>
      <c r="P9" s="122"/>
      <c r="Q9" s="122"/>
      <c r="R9" s="130"/>
      <c r="S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13817.42106</v>
      </c>
      <c r="I10" s="123"/>
      <c r="J10" s="123"/>
      <c r="K10" s="123"/>
      <c r="L10" s="123"/>
      <c r="M10" s="123"/>
      <c r="N10" s="123"/>
      <c r="O10" s="123"/>
      <c r="P10" s="123"/>
      <c r="Q10" s="123"/>
      <c r="R10" s="130"/>
      <c r="S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2766.421059</v>
      </c>
      <c r="I11" s="124"/>
      <c r="J11" s="124"/>
      <c r="K11" s="124"/>
      <c r="L11" s="124"/>
      <c r="M11" s="124"/>
      <c r="N11" s="124"/>
      <c r="O11" s="124"/>
      <c r="P11" s="124"/>
      <c r="Q11" s="124"/>
      <c r="R11" s="130"/>
      <c r="S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11051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508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564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2236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5261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2482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459.7705909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11051</v>
      </c>
      <c r="I29" s="115"/>
      <c r="J29" s="115"/>
      <c r="K29" s="115"/>
      <c r="L29" s="115"/>
      <c r="M29" s="115"/>
      <c r="N29" s="115"/>
      <c r="O29" s="115"/>
      <c r="P29" s="115"/>
      <c r="Q29" s="115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0.2926431997</v>
      </c>
      <c r="I30" s="134"/>
      <c r="J30" s="134"/>
      <c r="K30" s="134"/>
      <c r="L30" s="134"/>
      <c r="M30" s="134"/>
      <c r="N30" s="134"/>
      <c r="O30" s="134"/>
      <c r="P30" s="134"/>
      <c r="Q30" s="134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3234</v>
      </c>
      <c r="I31" s="115"/>
      <c r="J31" s="115"/>
      <c r="K31" s="115"/>
      <c r="L31" s="115"/>
      <c r="M31" s="115"/>
      <c r="N31" s="115"/>
      <c r="O31" s="115"/>
      <c r="P31" s="115"/>
      <c r="Q31" s="115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508</v>
      </c>
      <c r="I34" s="115"/>
      <c r="J34" s="115"/>
      <c r="K34" s="115"/>
      <c r="L34" s="115"/>
      <c r="M34" s="115"/>
      <c r="N34" s="115"/>
      <c r="O34" s="115"/>
      <c r="P34" s="115"/>
      <c r="Q34" s="115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26"/>
      <c r="N35" s="126"/>
      <c r="O35" s="126"/>
      <c r="P35" s="126"/>
      <c r="Q35" s="126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101</v>
      </c>
      <c r="I36" s="115"/>
      <c r="J36" s="115"/>
      <c r="K36" s="115"/>
      <c r="L36" s="115"/>
      <c r="M36" s="115"/>
      <c r="N36" s="115"/>
      <c r="O36" s="115"/>
      <c r="P36" s="115"/>
      <c r="Q36" s="115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564</v>
      </c>
      <c r="I39" s="115"/>
      <c r="J39" s="115"/>
      <c r="K39" s="115"/>
      <c r="L39" s="115"/>
      <c r="M39" s="115"/>
      <c r="N39" s="115"/>
      <c r="O39" s="115"/>
      <c r="P39" s="115"/>
      <c r="Q39" s="115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26"/>
      <c r="N40" s="126"/>
      <c r="O40" s="126"/>
      <c r="P40" s="126"/>
      <c r="Q40" s="126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141</v>
      </c>
      <c r="I41" s="115"/>
      <c r="J41" s="115"/>
      <c r="K41" s="115"/>
      <c r="L41" s="115"/>
      <c r="M41" s="115"/>
      <c r="N41" s="115"/>
      <c r="O41" s="115"/>
      <c r="P41" s="115"/>
      <c r="Q41" s="115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2236</v>
      </c>
      <c r="I44" s="115"/>
      <c r="J44" s="115"/>
      <c r="K44" s="115"/>
      <c r="L44" s="115"/>
      <c r="M44" s="115"/>
      <c r="N44" s="115"/>
      <c r="O44" s="115"/>
      <c r="P44" s="115"/>
      <c r="Q44" s="115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26"/>
      <c r="N45" s="126"/>
      <c r="O45" s="126"/>
      <c r="P45" s="126"/>
      <c r="Q45" s="126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670</v>
      </c>
      <c r="I46" s="115"/>
      <c r="J46" s="115"/>
      <c r="K46" s="115"/>
      <c r="L46" s="115"/>
      <c r="M46" s="115"/>
      <c r="N46" s="115"/>
      <c r="O46" s="115"/>
      <c r="P46" s="115"/>
      <c r="Q46" s="115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5261</v>
      </c>
      <c r="I49" s="115"/>
      <c r="J49" s="115"/>
      <c r="K49" s="115"/>
      <c r="L49" s="115"/>
      <c r="M49" s="115"/>
      <c r="N49" s="115"/>
      <c r="O49" s="115"/>
      <c r="P49" s="115"/>
      <c r="Q49" s="115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26"/>
      <c r="N50" s="126"/>
      <c r="O50" s="126"/>
      <c r="P50" s="126"/>
      <c r="Q50" s="126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1578</v>
      </c>
      <c r="I51" s="115"/>
      <c r="J51" s="115"/>
      <c r="K51" s="115"/>
      <c r="L51" s="115"/>
      <c r="M51" s="115"/>
      <c r="N51" s="115"/>
      <c r="O51" s="115"/>
      <c r="P51" s="115"/>
      <c r="Q51" s="115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2482</v>
      </c>
      <c r="I54" s="115"/>
      <c r="J54" s="115"/>
      <c r="K54" s="115"/>
      <c r="L54" s="115"/>
      <c r="M54" s="115"/>
      <c r="N54" s="115"/>
      <c r="O54" s="115"/>
      <c r="P54" s="115"/>
      <c r="Q54" s="115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26"/>
      <c r="N55" s="126"/>
      <c r="O55" s="126"/>
      <c r="P55" s="126"/>
      <c r="Q55" s="126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744</v>
      </c>
      <c r="I56" s="115"/>
      <c r="J56" s="115"/>
      <c r="K56" s="115"/>
      <c r="L56" s="115"/>
      <c r="M56" s="115"/>
      <c r="N56" s="115"/>
      <c r="O56" s="115"/>
      <c r="P56" s="115"/>
      <c r="Q56" s="115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3234</v>
      </c>
      <c r="I61" s="115"/>
      <c r="J61" s="115"/>
      <c r="K61" s="115"/>
      <c r="L61" s="115"/>
      <c r="M61" s="115"/>
      <c r="N61" s="115"/>
      <c r="O61" s="115"/>
      <c r="P61" s="115"/>
      <c r="Q61" s="115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1.074134199</v>
      </c>
      <c r="I62" s="138"/>
      <c r="J62" s="138"/>
      <c r="K62" s="138"/>
      <c r="L62" s="138"/>
      <c r="M62" s="138"/>
      <c r="N62" s="138"/>
      <c r="O62" s="138"/>
      <c r="P62" s="138"/>
      <c r="Q62" s="138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3473.75</v>
      </c>
      <c r="I63" s="115"/>
      <c r="J63" s="115"/>
      <c r="K63" s="115"/>
      <c r="L63" s="115"/>
      <c r="M63" s="115"/>
      <c r="N63" s="115"/>
      <c r="O63" s="115"/>
      <c r="P63" s="115"/>
      <c r="Q63" s="115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101</v>
      </c>
      <c r="I66" s="115"/>
      <c r="J66" s="115"/>
      <c r="K66" s="115"/>
      <c r="L66" s="115"/>
      <c r="M66" s="115"/>
      <c r="N66" s="115"/>
      <c r="O66" s="115"/>
      <c r="P66" s="115"/>
      <c r="Q66" s="115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26"/>
      <c r="N67" s="126"/>
      <c r="O67" s="126"/>
      <c r="P67" s="126"/>
      <c r="Q67" s="126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107.5</v>
      </c>
      <c r="I68" s="115"/>
      <c r="J68" s="115"/>
      <c r="K68" s="115"/>
      <c r="L68" s="115"/>
      <c r="M68" s="115"/>
      <c r="N68" s="115"/>
      <c r="O68" s="115"/>
      <c r="P68" s="115"/>
      <c r="Q68" s="115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86</v>
      </c>
      <c r="I69" s="115"/>
      <c r="J69" s="115"/>
      <c r="K69" s="115"/>
      <c r="L69" s="115"/>
      <c r="M69" s="115"/>
      <c r="N69" s="115"/>
      <c r="O69" s="115"/>
      <c r="P69" s="115"/>
      <c r="Q69" s="115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21.5</v>
      </c>
      <c r="I70" s="115"/>
      <c r="J70" s="115"/>
      <c r="K70" s="115"/>
      <c r="L70" s="115"/>
      <c r="M70" s="115"/>
      <c r="N70" s="115"/>
      <c r="O70" s="115"/>
      <c r="P70" s="115"/>
      <c r="Q70" s="115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26"/>
      <c r="M72" s="126"/>
      <c r="N72" s="126"/>
      <c r="O72" s="126"/>
      <c r="P72" s="126"/>
      <c r="Q72" s="126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141</v>
      </c>
      <c r="I73" s="115"/>
      <c r="J73" s="115"/>
      <c r="K73" s="115"/>
      <c r="L73" s="115"/>
      <c r="M73" s="115"/>
      <c r="N73" s="115"/>
      <c r="O73" s="115"/>
      <c r="P73" s="115"/>
      <c r="Q73" s="115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15"/>
      <c r="M74" s="115"/>
      <c r="N74" s="115"/>
      <c r="O74" s="115"/>
      <c r="P74" s="115"/>
      <c r="Q74" s="115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151.25</v>
      </c>
      <c r="I75" s="115"/>
      <c r="J75" s="115"/>
      <c r="K75" s="115"/>
      <c r="L75" s="115"/>
      <c r="M75" s="115"/>
      <c r="N75" s="115"/>
      <c r="O75" s="115"/>
      <c r="P75" s="115"/>
      <c r="Q75" s="115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121</v>
      </c>
      <c r="I76" s="115"/>
      <c r="J76" s="115"/>
      <c r="K76" s="115"/>
      <c r="L76" s="115"/>
      <c r="M76" s="115"/>
      <c r="N76" s="115"/>
      <c r="O76" s="115"/>
      <c r="P76" s="115"/>
      <c r="Q76" s="115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30.25</v>
      </c>
      <c r="I77" s="126"/>
      <c r="J77" s="126"/>
      <c r="K77" s="126"/>
      <c r="L77" s="126"/>
      <c r="M77" s="126"/>
      <c r="N77" s="126"/>
      <c r="O77" s="126"/>
      <c r="P77" s="126"/>
      <c r="Q77" s="126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670</v>
      </c>
      <c r="I80" s="115"/>
      <c r="J80" s="115"/>
      <c r="K80" s="115"/>
      <c r="L80" s="115"/>
      <c r="M80" s="115"/>
      <c r="N80" s="115"/>
      <c r="O80" s="115"/>
      <c r="P80" s="115"/>
      <c r="Q80" s="115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15"/>
      <c r="M81" s="115"/>
      <c r="N81" s="115"/>
      <c r="O81" s="115"/>
      <c r="P81" s="115"/>
      <c r="Q81" s="115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720</v>
      </c>
      <c r="I82" s="126"/>
      <c r="J82" s="126"/>
      <c r="K82" s="126"/>
      <c r="L82" s="126"/>
      <c r="M82" s="126"/>
      <c r="N82" s="126"/>
      <c r="O82" s="126"/>
      <c r="P82" s="126"/>
      <c r="Q82" s="126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576</v>
      </c>
      <c r="I83" s="115"/>
      <c r="J83" s="115"/>
      <c r="K83" s="115"/>
      <c r="L83" s="115"/>
      <c r="M83" s="115"/>
      <c r="N83" s="115"/>
      <c r="O83" s="115"/>
      <c r="P83" s="115"/>
      <c r="Q83" s="115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144</v>
      </c>
      <c r="I84" s="115"/>
      <c r="J84" s="115"/>
      <c r="K84" s="115"/>
      <c r="L84" s="115"/>
      <c r="M84" s="115"/>
      <c r="N84" s="115"/>
      <c r="O84" s="115"/>
      <c r="P84" s="115"/>
      <c r="Q84" s="115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1578</v>
      </c>
      <c r="I87" s="126"/>
      <c r="J87" s="126"/>
      <c r="K87" s="126"/>
      <c r="L87" s="126"/>
      <c r="M87" s="126"/>
      <c r="N87" s="126"/>
      <c r="O87" s="126"/>
      <c r="P87" s="126"/>
      <c r="Q87" s="126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15"/>
      <c r="M88" s="115"/>
      <c r="N88" s="115"/>
      <c r="O88" s="115"/>
      <c r="P88" s="115"/>
      <c r="Q88" s="115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1696.25</v>
      </c>
      <c r="I89" s="115"/>
      <c r="J89" s="115"/>
      <c r="K89" s="115"/>
      <c r="L89" s="115"/>
      <c r="M89" s="115"/>
      <c r="N89" s="115"/>
      <c r="O89" s="115"/>
      <c r="P89" s="115"/>
      <c r="Q89" s="115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1357</v>
      </c>
      <c r="I90" s="115"/>
      <c r="J90" s="115"/>
      <c r="K90" s="115"/>
      <c r="L90" s="115"/>
      <c r="M90" s="115"/>
      <c r="N90" s="115"/>
      <c r="O90" s="115"/>
      <c r="P90" s="115"/>
      <c r="Q90" s="115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339.25</v>
      </c>
      <c r="I91" s="115"/>
      <c r="J91" s="115"/>
      <c r="K91" s="115"/>
      <c r="L91" s="115"/>
      <c r="M91" s="115"/>
      <c r="N91" s="115"/>
      <c r="O91" s="115"/>
      <c r="P91" s="115"/>
      <c r="Q91" s="115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744</v>
      </c>
      <c r="I94" s="115"/>
      <c r="J94" s="115"/>
      <c r="K94" s="115"/>
      <c r="L94" s="115"/>
      <c r="M94" s="115"/>
      <c r="N94" s="115"/>
      <c r="O94" s="115"/>
      <c r="P94" s="115"/>
      <c r="Q94" s="115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15"/>
      <c r="M95" s="115"/>
      <c r="N95" s="115"/>
      <c r="O95" s="115"/>
      <c r="P95" s="115"/>
      <c r="Q95" s="115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798.75</v>
      </c>
      <c r="I96" s="115"/>
      <c r="J96" s="115"/>
      <c r="K96" s="115"/>
      <c r="L96" s="115"/>
      <c r="M96" s="115"/>
      <c r="N96" s="115"/>
      <c r="O96" s="115"/>
      <c r="P96" s="115"/>
      <c r="Q96" s="115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639</v>
      </c>
      <c r="I97" s="115"/>
      <c r="J97" s="115"/>
      <c r="K97" s="115"/>
      <c r="L97" s="115"/>
      <c r="M97" s="115"/>
      <c r="N97" s="115"/>
      <c r="O97" s="115"/>
      <c r="P97" s="115"/>
      <c r="Q97" s="115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159.75</v>
      </c>
      <c r="I98" s="115"/>
      <c r="J98" s="115"/>
      <c r="K98" s="115"/>
      <c r="L98" s="115"/>
      <c r="M98" s="115"/>
      <c r="N98" s="115"/>
      <c r="O98" s="115"/>
      <c r="P98" s="115"/>
      <c r="Q98" s="115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3473.75</v>
      </c>
      <c r="I103" s="115"/>
      <c r="J103" s="115"/>
      <c r="K103" s="115"/>
      <c r="L103" s="115"/>
      <c r="M103" s="115"/>
      <c r="N103" s="115"/>
      <c r="O103" s="115"/>
      <c r="P103" s="115"/>
      <c r="Q103" s="115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0.2999640158</v>
      </c>
      <c r="I104" s="143"/>
      <c r="J104" s="143"/>
      <c r="K104" s="143"/>
      <c r="L104" s="143"/>
      <c r="M104" s="143"/>
      <c r="N104" s="143"/>
      <c r="O104" s="143"/>
      <c r="P104" s="143"/>
      <c r="Q104" s="143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0.09429010949</v>
      </c>
      <c r="I105" s="143"/>
      <c r="J105" s="143"/>
      <c r="K105" s="143"/>
      <c r="L105" s="143"/>
      <c r="M105" s="143"/>
      <c r="N105" s="143"/>
      <c r="O105" s="143"/>
      <c r="P105" s="143"/>
      <c r="Q105" s="143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1042</v>
      </c>
      <c r="I106" s="115"/>
      <c r="J106" s="115"/>
      <c r="K106" s="115"/>
      <c r="L106" s="115"/>
      <c r="M106" s="115"/>
      <c r="N106" s="115"/>
      <c r="O106" s="115"/>
      <c r="P106" s="115"/>
      <c r="Q106" s="115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20954.7025</v>
      </c>
      <c r="I107" s="115"/>
      <c r="J107" s="115"/>
      <c r="K107" s="115"/>
      <c r="L107" s="115"/>
      <c r="M107" s="115"/>
      <c r="N107" s="115"/>
      <c r="O107" s="115"/>
      <c r="P107" s="115"/>
      <c r="Q107" s="115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21834800</v>
      </c>
      <c r="I108" s="115"/>
      <c r="J108" s="115"/>
      <c r="K108" s="115"/>
      <c r="L108" s="115"/>
      <c r="M108" s="115"/>
      <c r="N108" s="115"/>
      <c r="O108" s="115"/>
      <c r="P108" s="115"/>
      <c r="Q108" s="115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15"/>
      <c r="N109" s="115"/>
      <c r="O109" s="115"/>
      <c r="P109" s="115"/>
      <c r="Q109" s="115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43"/>
      <c r="N110" s="143"/>
      <c r="O110" s="143"/>
      <c r="P110" s="143"/>
      <c r="Q110" s="143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107.5</v>
      </c>
      <c r="I111" s="135"/>
      <c r="J111" s="135"/>
      <c r="K111" s="135"/>
      <c r="L111" s="135"/>
      <c r="M111" s="135"/>
      <c r="N111" s="135"/>
      <c r="O111" s="135"/>
      <c r="P111" s="135"/>
      <c r="Q111" s="135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29"/>
      <c r="N112" s="129"/>
      <c r="O112" s="129"/>
      <c r="P112" s="129"/>
      <c r="Q112" s="129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0.06299212598</v>
      </c>
      <c r="I113" s="143"/>
      <c r="J113" s="143"/>
      <c r="K113" s="143"/>
      <c r="L113" s="143"/>
      <c r="M113" s="143"/>
      <c r="N113" s="143"/>
      <c r="O113" s="143"/>
      <c r="P113" s="143"/>
      <c r="Q113" s="143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32</v>
      </c>
      <c r="I114" s="148"/>
      <c r="J114" s="148"/>
      <c r="K114" s="148"/>
      <c r="L114" s="148"/>
      <c r="M114" s="148"/>
      <c r="N114" s="148"/>
      <c r="O114" s="148"/>
      <c r="P114" s="148"/>
      <c r="Q114" s="148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48900</v>
      </c>
      <c r="I115" s="150"/>
      <c r="J115" s="150"/>
      <c r="K115" s="150"/>
      <c r="L115" s="150"/>
      <c r="M115" s="150"/>
      <c r="N115" s="150"/>
      <c r="O115" s="150"/>
      <c r="P115" s="150"/>
      <c r="Q115" s="150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1564800</v>
      </c>
      <c r="I116" s="150"/>
      <c r="J116" s="150"/>
      <c r="K116" s="150"/>
      <c r="L116" s="150"/>
      <c r="M116" s="150"/>
      <c r="N116" s="150"/>
      <c r="O116" s="150"/>
      <c r="P116" s="150"/>
      <c r="Q116" s="150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53"/>
      <c r="N117" s="153"/>
      <c r="O117" s="153"/>
      <c r="P117" s="153"/>
      <c r="Q117" s="153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53"/>
      <c r="N118" s="153"/>
      <c r="O118" s="153"/>
      <c r="P118" s="153"/>
      <c r="Q118" s="153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55"/>
      <c r="N119" s="155"/>
      <c r="O119" s="155"/>
      <c r="P119" s="155"/>
      <c r="Q119" s="155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55"/>
      <c r="N120" s="155"/>
      <c r="O120" s="155"/>
      <c r="P120" s="155"/>
      <c r="Q120" s="155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55"/>
      <c r="N121" s="155"/>
      <c r="O121" s="155"/>
      <c r="P121" s="155"/>
      <c r="Q121" s="155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6">
        <v>30000.0</v>
      </c>
      <c r="I122" s="157"/>
      <c r="J122" s="157"/>
      <c r="K122" s="157"/>
      <c r="L122" s="157"/>
      <c r="M122" s="157"/>
      <c r="N122" s="157"/>
      <c r="O122" s="157"/>
      <c r="P122" s="157"/>
      <c r="Q122" s="157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57"/>
      <c r="N123" s="157"/>
      <c r="O123" s="157"/>
      <c r="P123" s="157"/>
      <c r="Q123" s="157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57"/>
      <c r="N124" s="157"/>
      <c r="O124" s="157"/>
      <c r="P124" s="157"/>
      <c r="Q124" s="157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57"/>
      <c r="N125" s="157"/>
      <c r="O125" s="157"/>
      <c r="P125" s="157"/>
      <c r="Q125" s="157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59"/>
      <c r="N126" s="159"/>
      <c r="O126" s="159"/>
      <c r="P126" s="159"/>
      <c r="Q126" s="159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"),1.0)</f>
        <v>1</v>
      </c>
      <c r="I127" s="162"/>
      <c r="J127" s="162"/>
      <c r="K127" s="162"/>
      <c r="L127" s="162"/>
      <c r="M127" s="162"/>
      <c r="N127" s="162"/>
      <c r="O127" s="162"/>
      <c r="P127" s="162"/>
      <c r="Q127" s="162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20</v>
      </c>
      <c r="I128" s="148"/>
      <c r="J128" s="148"/>
      <c r="K128" s="148"/>
      <c r="L128" s="148"/>
      <c r="M128" s="148"/>
      <c r="N128" s="148"/>
      <c r="O128" s="148"/>
      <c r="P128" s="148"/>
      <c r="Q128" s="148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600000</v>
      </c>
      <c r="I129" s="150"/>
      <c r="J129" s="150"/>
      <c r="K129" s="150"/>
      <c r="L129" s="150"/>
      <c r="M129" s="150"/>
      <c r="N129" s="150"/>
      <c r="O129" s="150"/>
      <c r="P129" s="150"/>
      <c r="Q129" s="150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3</v>
      </c>
      <c r="I130" s="148"/>
      <c r="J130" s="148"/>
      <c r="K130" s="148"/>
      <c r="L130" s="148"/>
      <c r="M130" s="148"/>
      <c r="N130" s="148"/>
      <c r="O130" s="148"/>
      <c r="P130" s="148"/>
      <c r="Q130" s="148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94800</v>
      </c>
      <c r="I131" s="150"/>
      <c r="J131" s="150"/>
      <c r="K131" s="150"/>
      <c r="L131" s="150"/>
      <c r="M131" s="150"/>
      <c r="N131" s="150"/>
      <c r="O131" s="150"/>
      <c r="P131" s="150"/>
      <c r="Q131" s="150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48"/>
      <c r="N132" s="148"/>
      <c r="O132" s="148"/>
      <c r="P132" s="148"/>
      <c r="Q132" s="148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50"/>
      <c r="N133" s="150"/>
      <c r="O133" s="150"/>
      <c r="P133" s="150"/>
      <c r="Q133" s="150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6</v>
      </c>
      <c r="I134" s="148"/>
      <c r="J134" s="148"/>
      <c r="K134" s="148"/>
      <c r="L134" s="148"/>
      <c r="M134" s="148"/>
      <c r="N134" s="148"/>
      <c r="O134" s="148"/>
      <c r="P134" s="148"/>
      <c r="Q134" s="148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870000</v>
      </c>
      <c r="I135" s="150"/>
      <c r="J135" s="150"/>
      <c r="K135" s="150"/>
      <c r="L135" s="150"/>
      <c r="M135" s="150"/>
      <c r="N135" s="150"/>
      <c r="O135" s="150"/>
      <c r="P135" s="150"/>
      <c r="Q135" s="150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48"/>
      <c r="N136" s="148"/>
      <c r="O136" s="148"/>
      <c r="P136" s="148"/>
      <c r="Q136" s="148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50"/>
      <c r="N137" s="150"/>
      <c r="O137" s="150"/>
      <c r="P137" s="150"/>
      <c r="Q137" s="150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63"/>
      <c r="N138" s="163"/>
      <c r="O138" s="163"/>
      <c r="P138" s="163"/>
      <c r="Q138" s="163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43"/>
      <c r="N139" s="143"/>
      <c r="O139" s="143"/>
      <c r="P139" s="143"/>
      <c r="Q139" s="143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151.25</v>
      </c>
      <c r="I140" s="148"/>
      <c r="J140" s="148"/>
      <c r="K140" s="148"/>
      <c r="L140" s="148"/>
      <c r="M140" s="148"/>
      <c r="N140" s="148"/>
      <c r="O140" s="148"/>
      <c r="P140" s="148"/>
      <c r="Q140" s="148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29"/>
      <c r="N141" s="129"/>
      <c r="O141" s="129"/>
      <c r="P141" s="129"/>
      <c r="Q141" s="129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0.07978723404</v>
      </c>
      <c r="I142" s="143"/>
      <c r="J142" s="143"/>
      <c r="K142" s="143"/>
      <c r="L142" s="143"/>
      <c r="M142" s="143"/>
      <c r="N142" s="143"/>
      <c r="O142" s="143"/>
      <c r="P142" s="143"/>
      <c r="Q142" s="143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45</v>
      </c>
      <c r="I143" s="148"/>
      <c r="J143" s="148"/>
      <c r="K143" s="148"/>
      <c r="L143" s="148"/>
      <c r="M143" s="148"/>
      <c r="N143" s="148"/>
      <c r="O143" s="148"/>
      <c r="P143" s="148"/>
      <c r="Q143" s="148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36800</v>
      </c>
      <c r="I144" s="150"/>
      <c r="J144" s="150"/>
      <c r="K144" s="150"/>
      <c r="L144" s="150"/>
      <c r="M144" s="150"/>
      <c r="N144" s="150"/>
      <c r="O144" s="150"/>
      <c r="P144" s="150"/>
      <c r="Q144" s="150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1656000</v>
      </c>
      <c r="I145" s="150"/>
      <c r="J145" s="150"/>
      <c r="K145" s="150"/>
      <c r="L145" s="150"/>
      <c r="M145" s="150"/>
      <c r="N145" s="150"/>
      <c r="O145" s="150"/>
      <c r="P145" s="150"/>
      <c r="Q145" s="150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55"/>
      <c r="N146" s="155"/>
      <c r="O146" s="155"/>
      <c r="P146" s="155"/>
      <c r="Q146" s="155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53"/>
      <c r="N147" s="153"/>
      <c r="O147" s="153"/>
      <c r="P147" s="153"/>
      <c r="Q147" s="153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55"/>
      <c r="N148" s="155"/>
      <c r="O148" s="155"/>
      <c r="P148" s="155"/>
      <c r="Q148" s="155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55"/>
      <c r="N149" s="155"/>
      <c r="O149" s="155"/>
      <c r="P149" s="155"/>
      <c r="Q149" s="155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55"/>
      <c r="N150" s="155"/>
      <c r="O150" s="155"/>
      <c r="P150" s="155"/>
      <c r="Q150" s="155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25000.0</v>
      </c>
      <c r="I151" s="159"/>
      <c r="J151" s="159"/>
      <c r="K151" s="159"/>
      <c r="L151" s="159"/>
      <c r="M151" s="159"/>
      <c r="N151" s="159"/>
      <c r="O151" s="159"/>
      <c r="P151" s="159"/>
      <c r="Q151" s="159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57"/>
      <c r="N152" s="157"/>
      <c r="O152" s="157"/>
      <c r="P152" s="157"/>
      <c r="Q152" s="157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57"/>
      <c r="M153" s="157"/>
      <c r="N153" s="157"/>
      <c r="O153" s="157"/>
      <c r="P153" s="157"/>
      <c r="Q153" s="157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59"/>
      <c r="N154" s="159"/>
      <c r="O154" s="159"/>
      <c r="P154" s="159"/>
      <c r="Q154" s="159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59"/>
      <c r="N155" s="159"/>
      <c r="O155" s="159"/>
      <c r="P155" s="159"/>
      <c r="Q155" s="159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62"/>
      <c r="N156" s="162"/>
      <c r="O156" s="162"/>
      <c r="P156" s="162"/>
      <c r="Q156" s="162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27</v>
      </c>
      <c r="I157" s="148"/>
      <c r="J157" s="148"/>
      <c r="K157" s="148"/>
      <c r="L157" s="148"/>
      <c r="M157" s="148"/>
      <c r="N157" s="148"/>
      <c r="O157" s="148"/>
      <c r="P157" s="148"/>
      <c r="Q157" s="148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675000</v>
      </c>
      <c r="I158" s="150"/>
      <c r="J158" s="150"/>
      <c r="K158" s="150"/>
      <c r="L158" s="150"/>
      <c r="M158" s="150"/>
      <c r="N158" s="150"/>
      <c r="O158" s="150"/>
      <c r="P158" s="150"/>
      <c r="Q158" s="150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5</v>
      </c>
      <c r="I159" s="148"/>
      <c r="J159" s="148"/>
      <c r="K159" s="148"/>
      <c r="L159" s="148"/>
      <c r="M159" s="148"/>
      <c r="N159" s="148"/>
      <c r="O159" s="148"/>
      <c r="P159" s="148"/>
      <c r="Q159" s="148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90000</v>
      </c>
      <c r="I160" s="150"/>
      <c r="J160" s="150"/>
      <c r="K160" s="150"/>
      <c r="L160" s="150"/>
      <c r="M160" s="150"/>
      <c r="N160" s="150"/>
      <c r="O160" s="150"/>
      <c r="P160" s="150"/>
      <c r="Q160" s="150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48"/>
      <c r="N161" s="148"/>
      <c r="O161" s="148"/>
      <c r="P161" s="148"/>
      <c r="Q161" s="148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50"/>
      <c r="N162" s="150"/>
      <c r="O162" s="150"/>
      <c r="P162" s="150"/>
      <c r="Q162" s="150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9</v>
      </c>
      <c r="I163" s="148"/>
      <c r="J163" s="148"/>
      <c r="K163" s="148"/>
      <c r="L163" s="148"/>
      <c r="M163" s="148"/>
      <c r="N163" s="148"/>
      <c r="O163" s="148"/>
      <c r="P163" s="148"/>
      <c r="Q163" s="148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891000</v>
      </c>
      <c r="I164" s="150"/>
      <c r="J164" s="150"/>
      <c r="K164" s="150"/>
      <c r="L164" s="150"/>
      <c r="M164" s="150"/>
      <c r="N164" s="150"/>
      <c r="O164" s="150"/>
      <c r="P164" s="150"/>
      <c r="Q164" s="150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4</v>
      </c>
      <c r="I165" s="148"/>
      <c r="J165" s="148"/>
      <c r="K165" s="148"/>
      <c r="L165" s="148"/>
      <c r="M165" s="148"/>
      <c r="N165" s="148"/>
      <c r="O165" s="148"/>
      <c r="P165" s="148"/>
      <c r="Q165" s="148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50"/>
      <c r="N166" s="150"/>
      <c r="O166" s="150"/>
      <c r="P166" s="150"/>
      <c r="Q166" s="150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50"/>
      <c r="N167" s="150"/>
      <c r="O167" s="150"/>
      <c r="P167" s="150"/>
      <c r="Q167" s="150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43"/>
      <c r="N168" s="143"/>
      <c r="O168" s="143"/>
      <c r="P168" s="143"/>
      <c r="Q168" s="143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43"/>
      <c r="N169" s="143"/>
      <c r="O169" s="143"/>
      <c r="P169" s="143"/>
      <c r="Q169" s="143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720</v>
      </c>
      <c r="I170" s="148"/>
      <c r="J170" s="148"/>
      <c r="K170" s="148"/>
      <c r="L170" s="148"/>
      <c r="M170" s="148"/>
      <c r="N170" s="148"/>
      <c r="O170" s="148"/>
      <c r="P170" s="148"/>
      <c r="Q170" s="148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29"/>
      <c r="N171" s="129"/>
      <c r="O171" s="129"/>
      <c r="P171" s="129"/>
      <c r="Q171" s="129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0.09660107335</v>
      </c>
      <c r="I172" s="143"/>
      <c r="J172" s="143"/>
      <c r="K172" s="143"/>
      <c r="L172" s="143"/>
      <c r="M172" s="143"/>
      <c r="N172" s="143"/>
      <c r="O172" s="143"/>
      <c r="P172" s="143"/>
      <c r="Q172" s="143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216</v>
      </c>
      <c r="I173" s="166"/>
      <c r="J173" s="166"/>
      <c r="K173" s="166"/>
      <c r="L173" s="166"/>
      <c r="M173" s="166"/>
      <c r="N173" s="166"/>
      <c r="O173" s="166"/>
      <c r="P173" s="166"/>
      <c r="Q173" s="166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28060.18519</v>
      </c>
      <c r="I174" s="150"/>
      <c r="J174" s="150"/>
      <c r="K174" s="150"/>
      <c r="L174" s="150"/>
      <c r="M174" s="150"/>
      <c r="N174" s="150"/>
      <c r="O174" s="150"/>
      <c r="P174" s="150"/>
      <c r="Q174" s="150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6061000</v>
      </c>
      <c r="I175" s="150"/>
      <c r="J175" s="150"/>
      <c r="K175" s="150"/>
      <c r="L175" s="150"/>
      <c r="M175" s="150"/>
      <c r="N175" s="150"/>
      <c r="O175" s="150"/>
      <c r="P175" s="150"/>
      <c r="Q175" s="150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53"/>
      <c r="N176" s="153"/>
      <c r="O176" s="153"/>
      <c r="P176" s="153"/>
      <c r="Q176" s="153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53"/>
      <c r="N177" s="153"/>
      <c r="O177" s="153"/>
      <c r="P177" s="153"/>
      <c r="Q177" s="153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55"/>
      <c r="N178" s="155"/>
      <c r="O178" s="155"/>
      <c r="P178" s="155"/>
      <c r="Q178" s="155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55"/>
      <c r="N179" s="155"/>
      <c r="O179" s="155"/>
      <c r="P179" s="155"/>
      <c r="Q179" s="155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55"/>
      <c r="N180" s="155"/>
      <c r="O180" s="155"/>
      <c r="P180" s="155"/>
      <c r="Q180" s="155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20000.0</v>
      </c>
      <c r="I181" s="157"/>
      <c r="J181" s="157"/>
      <c r="K181" s="157"/>
      <c r="L181" s="157"/>
      <c r="M181" s="157"/>
      <c r="N181" s="157"/>
      <c r="O181" s="157"/>
      <c r="P181" s="157"/>
      <c r="Q181" s="157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57"/>
      <c r="N182" s="157"/>
      <c r="O182" s="157"/>
      <c r="P182" s="157"/>
      <c r="Q182" s="157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57"/>
      <c r="N183" s="157"/>
      <c r="O183" s="157"/>
      <c r="P183" s="157"/>
      <c r="Q183" s="157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59"/>
      <c r="N184" s="159"/>
      <c r="O184" s="159"/>
      <c r="P184" s="159"/>
      <c r="Q184" s="159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59"/>
      <c r="N185" s="159"/>
      <c r="O185" s="159"/>
      <c r="P185" s="159"/>
      <c r="Q185" s="159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62"/>
      <c r="N186" s="162"/>
      <c r="O186" s="162"/>
      <c r="P186" s="162"/>
      <c r="Q186" s="162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129</v>
      </c>
      <c r="I187" s="148"/>
      <c r="J187" s="148"/>
      <c r="K187" s="148"/>
      <c r="L187" s="148"/>
      <c r="M187" s="148"/>
      <c r="N187" s="148"/>
      <c r="O187" s="148"/>
      <c r="P187" s="148"/>
      <c r="Q187" s="148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2580000</v>
      </c>
      <c r="I188" s="150"/>
      <c r="J188" s="150"/>
      <c r="K188" s="150"/>
      <c r="L188" s="150"/>
      <c r="M188" s="150"/>
      <c r="N188" s="150"/>
      <c r="O188" s="150"/>
      <c r="P188" s="150"/>
      <c r="Q188" s="150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23</v>
      </c>
      <c r="I189" s="148"/>
      <c r="J189" s="148"/>
      <c r="K189" s="148"/>
      <c r="L189" s="148"/>
      <c r="M189" s="148"/>
      <c r="N189" s="148"/>
      <c r="O189" s="148"/>
      <c r="P189" s="148"/>
      <c r="Q189" s="148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345000</v>
      </c>
      <c r="I190" s="150"/>
      <c r="J190" s="150"/>
      <c r="K190" s="150"/>
      <c r="L190" s="150"/>
      <c r="M190" s="150"/>
      <c r="N190" s="150"/>
      <c r="O190" s="150"/>
      <c r="P190" s="150"/>
      <c r="Q190" s="150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48"/>
      <c r="N191" s="148"/>
      <c r="O191" s="148"/>
      <c r="P191" s="148"/>
      <c r="Q191" s="148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50"/>
      <c r="N192" s="150"/>
      <c r="O192" s="150"/>
      <c r="P192" s="150"/>
      <c r="Q192" s="150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64</v>
      </c>
      <c r="I193" s="148"/>
      <c r="J193" s="148"/>
      <c r="K193" s="148"/>
      <c r="L193" s="148"/>
      <c r="M193" s="148"/>
      <c r="N193" s="148"/>
      <c r="O193" s="148"/>
      <c r="P193" s="148"/>
      <c r="Q193" s="148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3136000</v>
      </c>
      <c r="I194" s="150"/>
      <c r="J194" s="150"/>
      <c r="K194" s="150"/>
      <c r="L194" s="150"/>
      <c r="M194" s="150"/>
      <c r="N194" s="150"/>
      <c r="O194" s="150"/>
      <c r="P194" s="150"/>
      <c r="Q194" s="150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48"/>
      <c r="N195" s="148"/>
      <c r="O195" s="148"/>
      <c r="P195" s="148"/>
      <c r="Q195" s="148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50"/>
      <c r="N196" s="150"/>
      <c r="O196" s="150"/>
      <c r="P196" s="150"/>
      <c r="Q196" s="150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50"/>
      <c r="N197" s="150"/>
      <c r="O197" s="150"/>
      <c r="P197" s="150"/>
      <c r="Q197" s="150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43"/>
      <c r="N198" s="143"/>
      <c r="O198" s="143"/>
      <c r="P198" s="143"/>
      <c r="Q198" s="143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43"/>
      <c r="N199" s="143"/>
      <c r="O199" s="143"/>
      <c r="P199" s="143"/>
      <c r="Q199" s="143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1696.25</v>
      </c>
      <c r="I200" s="148"/>
      <c r="J200" s="148"/>
      <c r="K200" s="148"/>
      <c r="L200" s="148"/>
      <c r="M200" s="148"/>
      <c r="N200" s="148"/>
      <c r="O200" s="148"/>
      <c r="P200" s="148"/>
      <c r="Q200" s="148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26"/>
      <c r="N201" s="126"/>
      <c r="O201" s="126"/>
      <c r="P201" s="126"/>
      <c r="Q201" s="126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0.09674966736</v>
      </c>
      <c r="I202" s="143"/>
      <c r="J202" s="143"/>
      <c r="K202" s="143"/>
      <c r="L202" s="143"/>
      <c r="M202" s="143"/>
      <c r="N202" s="143"/>
      <c r="O202" s="143"/>
      <c r="P202" s="143"/>
      <c r="Q202" s="143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509</v>
      </c>
      <c r="I203" s="148"/>
      <c r="J203" s="148"/>
      <c r="K203" s="148"/>
      <c r="L203" s="148"/>
      <c r="M203" s="148"/>
      <c r="N203" s="148"/>
      <c r="O203" s="148"/>
      <c r="P203" s="148"/>
      <c r="Q203" s="148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18296.66012</v>
      </c>
      <c r="I204" s="150"/>
      <c r="J204" s="150"/>
      <c r="K204" s="150"/>
      <c r="L204" s="150"/>
      <c r="M204" s="150"/>
      <c r="N204" s="150"/>
      <c r="O204" s="150"/>
      <c r="P204" s="150"/>
      <c r="Q204" s="150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9313000</v>
      </c>
      <c r="I205" s="150"/>
      <c r="J205" s="150"/>
      <c r="K205" s="150"/>
      <c r="L205" s="150"/>
      <c r="M205" s="150"/>
      <c r="N205" s="150"/>
      <c r="O205" s="150"/>
      <c r="P205" s="150"/>
      <c r="Q205" s="150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55"/>
      <c r="N206" s="155"/>
      <c r="O206" s="155"/>
      <c r="P206" s="155"/>
      <c r="Q206" s="155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55"/>
      <c r="N207" s="155"/>
      <c r="O207" s="155"/>
      <c r="P207" s="155"/>
      <c r="Q207" s="155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55"/>
      <c r="N208" s="155"/>
      <c r="O208" s="155"/>
      <c r="P208" s="155"/>
      <c r="Q208" s="155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53"/>
      <c r="N209" s="153"/>
      <c r="O209" s="153"/>
      <c r="P209" s="153"/>
      <c r="Q209" s="153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55"/>
      <c r="N210" s="155"/>
      <c r="O210" s="155"/>
      <c r="P210" s="155"/>
      <c r="Q210" s="155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20000.0</v>
      </c>
      <c r="I211" s="157"/>
      <c r="J211" s="157"/>
      <c r="K211" s="157"/>
      <c r="L211" s="157"/>
      <c r="M211" s="157"/>
      <c r="N211" s="157"/>
      <c r="O211" s="157"/>
      <c r="P211" s="157"/>
      <c r="Q211" s="157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57"/>
      <c r="N212" s="157"/>
      <c r="O212" s="157"/>
      <c r="P212" s="157"/>
      <c r="Q212" s="157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59"/>
      <c r="N213" s="159"/>
      <c r="O213" s="159"/>
      <c r="P213" s="159"/>
      <c r="Q213" s="159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59"/>
      <c r="N214" s="159"/>
      <c r="O214" s="159"/>
      <c r="P214" s="159"/>
      <c r="Q214" s="159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59"/>
      <c r="N215" s="159"/>
      <c r="O215" s="159"/>
      <c r="P215" s="159"/>
      <c r="Q215" s="159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62"/>
      <c r="N216" s="162"/>
      <c r="O216" s="162"/>
      <c r="P216" s="162"/>
      <c r="Q216" s="162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407</v>
      </c>
      <c r="I217" s="148"/>
      <c r="J217" s="148"/>
      <c r="K217" s="148"/>
      <c r="L217" s="148"/>
      <c r="M217" s="148"/>
      <c r="N217" s="148"/>
      <c r="O217" s="148"/>
      <c r="P217" s="148"/>
      <c r="Q217" s="148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8140000</v>
      </c>
      <c r="I218" s="150"/>
      <c r="J218" s="150"/>
      <c r="K218" s="150"/>
      <c r="L218" s="150"/>
      <c r="M218" s="150"/>
      <c r="N218" s="150"/>
      <c r="O218" s="150"/>
      <c r="P218" s="150"/>
      <c r="Q218" s="150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102</v>
      </c>
      <c r="I219" s="148"/>
      <c r="J219" s="148"/>
      <c r="K219" s="148"/>
      <c r="L219" s="148"/>
      <c r="M219" s="148"/>
      <c r="N219" s="148"/>
      <c r="O219" s="148"/>
      <c r="P219" s="148"/>
      <c r="Q219" s="148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1173000</v>
      </c>
      <c r="I220" s="150"/>
      <c r="J220" s="150"/>
      <c r="K220" s="150"/>
      <c r="L220" s="150"/>
      <c r="M220" s="150"/>
      <c r="N220" s="150"/>
      <c r="O220" s="150"/>
      <c r="P220" s="150"/>
      <c r="Q220" s="150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48"/>
      <c r="N221" s="148"/>
      <c r="O221" s="148"/>
      <c r="P221" s="148"/>
      <c r="Q221" s="148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50"/>
      <c r="N222" s="150"/>
      <c r="O222" s="150"/>
      <c r="P222" s="150"/>
      <c r="Q222" s="150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48"/>
      <c r="N223" s="148"/>
      <c r="O223" s="148"/>
      <c r="P223" s="148"/>
      <c r="Q223" s="148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50"/>
      <c r="N224" s="150"/>
      <c r="O224" s="150"/>
      <c r="P224" s="150"/>
      <c r="Q224" s="150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48"/>
      <c r="N225" s="148"/>
      <c r="O225" s="148"/>
      <c r="P225" s="148"/>
      <c r="Q225" s="148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50"/>
      <c r="N226" s="150"/>
      <c r="O226" s="150"/>
      <c r="P226" s="150"/>
      <c r="Q226" s="150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15"/>
      <c r="N227" s="115"/>
      <c r="O227" s="115"/>
      <c r="P227" s="115"/>
      <c r="Q227" s="115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43"/>
      <c r="N228" s="143"/>
      <c r="O228" s="143"/>
      <c r="P228" s="143"/>
      <c r="Q228" s="143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798.75</v>
      </c>
      <c r="I229" s="148"/>
      <c r="J229" s="148"/>
      <c r="K229" s="148"/>
      <c r="L229" s="148"/>
      <c r="M229" s="148"/>
      <c r="N229" s="148"/>
      <c r="O229" s="148"/>
      <c r="P229" s="148"/>
      <c r="Q229" s="148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29"/>
      <c r="N230" s="129"/>
      <c r="O230" s="129"/>
      <c r="P230" s="129"/>
      <c r="Q230" s="129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0.09669621273</v>
      </c>
      <c r="I231" s="143"/>
      <c r="J231" s="143"/>
      <c r="K231" s="143"/>
      <c r="L231" s="143"/>
      <c r="M231" s="143"/>
      <c r="N231" s="143"/>
      <c r="O231" s="143"/>
      <c r="P231" s="143"/>
      <c r="Q231" s="143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240</v>
      </c>
      <c r="I232" s="148"/>
      <c r="J232" s="148"/>
      <c r="K232" s="148"/>
      <c r="L232" s="148"/>
      <c r="M232" s="148"/>
      <c r="N232" s="148"/>
      <c r="O232" s="148"/>
      <c r="P232" s="148"/>
      <c r="Q232" s="148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13500</v>
      </c>
      <c r="I233" s="150"/>
      <c r="J233" s="150"/>
      <c r="K233" s="150"/>
      <c r="L233" s="150"/>
      <c r="M233" s="150"/>
      <c r="N233" s="150"/>
      <c r="O233" s="150"/>
      <c r="P233" s="150"/>
      <c r="Q233" s="150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3240000</v>
      </c>
      <c r="I234" s="150"/>
      <c r="J234" s="150"/>
      <c r="K234" s="150"/>
      <c r="L234" s="150"/>
      <c r="M234" s="150"/>
      <c r="N234" s="150"/>
      <c r="O234" s="150"/>
      <c r="P234" s="150"/>
      <c r="Q234" s="150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55"/>
      <c r="N235" s="155"/>
      <c r="O235" s="155"/>
      <c r="P235" s="155"/>
      <c r="Q235" s="155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55"/>
      <c r="N236" s="155"/>
      <c r="O236" s="155"/>
      <c r="P236" s="155"/>
      <c r="Q236" s="155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55"/>
      <c r="N237" s="155"/>
      <c r="O237" s="155"/>
      <c r="P237" s="155"/>
      <c r="Q237" s="155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53"/>
      <c r="N238" s="153"/>
      <c r="O238" s="153"/>
      <c r="P238" s="153"/>
      <c r="Q238" s="153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55"/>
      <c r="N239" s="155"/>
      <c r="O239" s="155"/>
      <c r="P239" s="155"/>
      <c r="Q239" s="155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15000.0</v>
      </c>
      <c r="I240" s="157"/>
      <c r="J240" s="157"/>
      <c r="K240" s="157"/>
      <c r="L240" s="157"/>
      <c r="M240" s="157"/>
      <c r="N240" s="157"/>
      <c r="O240" s="157"/>
      <c r="P240" s="157"/>
      <c r="Q240" s="157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57"/>
      <c r="N241" s="157"/>
      <c r="O241" s="157"/>
      <c r="P241" s="157"/>
      <c r="Q241" s="157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59"/>
      <c r="N242" s="159"/>
      <c r="O242" s="159"/>
      <c r="P242" s="159"/>
      <c r="Q242" s="159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59"/>
      <c r="N243" s="159"/>
      <c r="O243" s="159"/>
      <c r="P243" s="159"/>
      <c r="Q243" s="159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59"/>
      <c r="N244" s="159"/>
      <c r="O244" s="159"/>
      <c r="P244" s="159"/>
      <c r="Q244" s="159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62"/>
      <c r="N245" s="162"/>
      <c r="O245" s="162"/>
      <c r="P245" s="162"/>
      <c r="Q245" s="162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192</v>
      </c>
      <c r="I246" s="148"/>
      <c r="J246" s="148"/>
      <c r="K246" s="148"/>
      <c r="L246" s="148"/>
      <c r="M246" s="148"/>
      <c r="N246" s="148"/>
      <c r="O246" s="148"/>
      <c r="P246" s="148"/>
      <c r="Q246" s="148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2880000</v>
      </c>
      <c r="I247" s="150"/>
      <c r="J247" s="150"/>
      <c r="K247" s="150"/>
      <c r="L247" s="150"/>
      <c r="M247" s="150"/>
      <c r="N247" s="150"/>
      <c r="O247" s="150"/>
      <c r="P247" s="150"/>
      <c r="Q247" s="150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48</v>
      </c>
      <c r="I248" s="148"/>
      <c r="J248" s="148"/>
      <c r="K248" s="148"/>
      <c r="L248" s="148"/>
      <c r="M248" s="148"/>
      <c r="N248" s="148"/>
      <c r="O248" s="148"/>
      <c r="P248" s="148"/>
      <c r="Q248" s="148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360000</v>
      </c>
      <c r="I249" s="150"/>
      <c r="J249" s="150"/>
      <c r="K249" s="150"/>
      <c r="L249" s="150"/>
      <c r="M249" s="150"/>
      <c r="N249" s="150"/>
      <c r="O249" s="150"/>
      <c r="P249" s="150"/>
      <c r="Q249" s="150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48"/>
      <c r="N250" s="148"/>
      <c r="O250" s="148"/>
      <c r="P250" s="148"/>
      <c r="Q250" s="148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50"/>
      <c r="N251" s="150"/>
      <c r="O251" s="150"/>
      <c r="P251" s="150"/>
      <c r="Q251" s="150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48"/>
      <c r="N252" s="148"/>
      <c r="O252" s="148"/>
      <c r="P252" s="148"/>
      <c r="Q252" s="148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50"/>
      <c r="N253" s="150"/>
      <c r="O253" s="150"/>
      <c r="P253" s="150"/>
      <c r="Q253" s="150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48"/>
      <c r="N254" s="148"/>
      <c r="O254" s="148"/>
      <c r="P254" s="148"/>
      <c r="Q254" s="148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50"/>
      <c r="N255" s="150"/>
      <c r="O255" s="150"/>
      <c r="P255" s="150"/>
      <c r="Q255" s="150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1042</v>
      </c>
      <c r="I259" s="115"/>
      <c r="J259" s="115"/>
      <c r="K259" s="115"/>
      <c r="L259" s="115"/>
      <c r="M259" s="115"/>
      <c r="N259" s="115"/>
      <c r="O259" s="115"/>
      <c r="P259" s="115"/>
      <c r="Q259" s="115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0.9261036468</v>
      </c>
      <c r="I260" s="168"/>
      <c r="J260" s="168"/>
      <c r="K260" s="168"/>
      <c r="L260" s="168"/>
      <c r="M260" s="168"/>
      <c r="N260" s="168"/>
      <c r="O260" s="168"/>
      <c r="P260" s="168"/>
      <c r="Q260" s="168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965</v>
      </c>
      <c r="I261" s="169"/>
      <c r="J261" s="169"/>
      <c r="K261" s="169"/>
      <c r="L261" s="169"/>
      <c r="M261" s="169"/>
      <c r="N261" s="169"/>
      <c r="O261" s="169"/>
      <c r="P261" s="169"/>
      <c r="Q261" s="169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21834800</v>
      </c>
      <c r="I263" s="170"/>
      <c r="J263" s="170"/>
      <c r="K263" s="170"/>
      <c r="L263" s="170"/>
      <c r="M263" s="170"/>
      <c r="N263" s="170"/>
      <c r="O263" s="170"/>
      <c r="P263" s="170"/>
      <c r="Q263" s="170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68"/>
      <c r="N264" s="168"/>
      <c r="O264" s="168"/>
      <c r="P264" s="168"/>
      <c r="Q264" s="168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20306364</v>
      </c>
      <c r="I265" s="150"/>
      <c r="J265" s="150"/>
      <c r="K265" s="150"/>
      <c r="L265" s="150"/>
      <c r="M265" s="150"/>
      <c r="N265" s="150"/>
      <c r="O265" s="150"/>
      <c r="P265" s="150"/>
      <c r="Q265" s="150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32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0.875</v>
      </c>
      <c r="I269" s="168"/>
      <c r="J269" s="168"/>
      <c r="K269" s="168"/>
      <c r="L269" s="168"/>
      <c r="M269" s="168"/>
      <c r="N269" s="168"/>
      <c r="O269" s="168"/>
      <c r="P269" s="168"/>
      <c r="Q269" s="168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28</v>
      </c>
      <c r="I270" s="166"/>
      <c r="J270" s="166"/>
      <c r="K270" s="166"/>
      <c r="L270" s="166"/>
      <c r="M270" s="166"/>
      <c r="N270" s="166"/>
      <c r="O270" s="166"/>
      <c r="P270" s="166"/>
      <c r="Q270" s="166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68"/>
      <c r="N271" s="168"/>
      <c r="O271" s="168"/>
      <c r="P271" s="168"/>
      <c r="Q271" s="168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1455264</v>
      </c>
      <c r="I272" s="150"/>
      <c r="J272" s="150"/>
      <c r="K272" s="150"/>
      <c r="L272" s="150"/>
      <c r="M272" s="150"/>
      <c r="N272" s="150"/>
      <c r="O272" s="150"/>
      <c r="P272" s="150"/>
      <c r="Q272" s="150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55"/>
      <c r="N273" s="155"/>
      <c r="O273" s="155"/>
      <c r="P273" s="155"/>
      <c r="Q273" s="155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55"/>
      <c r="N274" s="155"/>
      <c r="O274" s="155"/>
      <c r="P274" s="155"/>
      <c r="Q274" s="155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55"/>
      <c r="N275" s="155"/>
      <c r="O275" s="155"/>
      <c r="P275" s="155"/>
      <c r="Q275" s="155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55"/>
      <c r="N276" s="155"/>
      <c r="O276" s="155"/>
      <c r="P276" s="155"/>
      <c r="Q276" s="155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55"/>
      <c r="N277" s="155"/>
      <c r="O277" s="155"/>
      <c r="P277" s="155"/>
      <c r="Q277" s="155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55"/>
      <c r="N278" s="155"/>
      <c r="O278" s="155"/>
      <c r="P278" s="155"/>
      <c r="Q278" s="155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55"/>
      <c r="N279" s="155"/>
      <c r="O279" s="155"/>
      <c r="P279" s="155"/>
      <c r="Q279" s="155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55"/>
      <c r="N280" s="155"/>
      <c r="O280" s="155"/>
      <c r="P280" s="155"/>
      <c r="Q280" s="155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52"/>
      <c r="N281" s="152"/>
      <c r="O281" s="152"/>
      <c r="P281" s="152"/>
      <c r="Q281" s="152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52"/>
      <c r="N282" s="152"/>
      <c r="O282" s="152"/>
      <c r="P282" s="152"/>
      <c r="Q282" s="152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19</v>
      </c>
      <c r="I283" s="166"/>
      <c r="J283" s="166"/>
      <c r="K283" s="166"/>
      <c r="L283" s="166"/>
      <c r="M283" s="166"/>
      <c r="N283" s="166"/>
      <c r="O283" s="166"/>
      <c r="P283" s="166"/>
      <c r="Q283" s="166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558000</v>
      </c>
      <c r="I284" s="150"/>
      <c r="J284" s="150"/>
      <c r="K284" s="150"/>
      <c r="L284" s="150"/>
      <c r="M284" s="150"/>
      <c r="N284" s="150"/>
      <c r="O284" s="150"/>
      <c r="P284" s="150"/>
      <c r="Q284" s="150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3</v>
      </c>
      <c r="I285" s="166"/>
      <c r="J285" s="166"/>
      <c r="K285" s="166"/>
      <c r="L285" s="166"/>
      <c r="M285" s="166"/>
      <c r="N285" s="166"/>
      <c r="O285" s="166"/>
      <c r="P285" s="166"/>
      <c r="Q285" s="166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88164</v>
      </c>
      <c r="I286" s="150"/>
      <c r="J286" s="150"/>
      <c r="K286" s="150"/>
      <c r="L286" s="150"/>
      <c r="M286" s="150"/>
      <c r="N286" s="150"/>
      <c r="O286" s="150"/>
      <c r="P286" s="150"/>
      <c r="Q286" s="150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66"/>
      <c r="N287" s="166"/>
      <c r="O287" s="166"/>
      <c r="P287" s="166"/>
      <c r="Q287" s="166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50"/>
      <c r="N288" s="150"/>
      <c r="O288" s="150"/>
      <c r="P288" s="150"/>
      <c r="Q288" s="150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6</v>
      </c>
      <c r="I289" s="166"/>
      <c r="J289" s="166"/>
      <c r="K289" s="166"/>
      <c r="L289" s="166"/>
      <c r="M289" s="166"/>
      <c r="N289" s="166"/>
      <c r="O289" s="166"/>
      <c r="P289" s="166"/>
      <c r="Q289" s="166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809100</v>
      </c>
      <c r="I290" s="150"/>
      <c r="J290" s="150"/>
      <c r="K290" s="150"/>
      <c r="L290" s="150"/>
      <c r="M290" s="150"/>
      <c r="N290" s="150"/>
      <c r="O290" s="150"/>
      <c r="P290" s="150"/>
      <c r="Q290" s="150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66"/>
      <c r="N291" s="166"/>
      <c r="O291" s="166"/>
      <c r="P291" s="166"/>
      <c r="Q291" s="166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50"/>
      <c r="N292" s="150"/>
      <c r="O292" s="150"/>
      <c r="P292" s="150"/>
      <c r="Q292" s="150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45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0.8444444444</v>
      </c>
      <c r="I296" s="168"/>
      <c r="J296" s="168"/>
      <c r="K296" s="168"/>
      <c r="L296" s="168"/>
      <c r="M296" s="168"/>
      <c r="N296" s="168"/>
      <c r="O296" s="168"/>
      <c r="P296" s="168"/>
      <c r="Q296" s="168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38</v>
      </c>
      <c r="I297" s="148"/>
      <c r="J297" s="148"/>
      <c r="K297" s="148"/>
      <c r="L297" s="148"/>
      <c r="M297" s="148"/>
      <c r="N297" s="148"/>
      <c r="O297" s="148"/>
      <c r="P297" s="148"/>
      <c r="Q297" s="148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68"/>
      <c r="N298" s="168"/>
      <c r="O298" s="168"/>
      <c r="P298" s="168"/>
      <c r="Q298" s="168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1540080</v>
      </c>
      <c r="I299" s="173"/>
      <c r="J299" s="173"/>
      <c r="K299" s="173"/>
      <c r="L299" s="173"/>
      <c r="M299" s="173"/>
      <c r="N299" s="173"/>
      <c r="O299" s="173"/>
      <c r="P299" s="173"/>
      <c r="Q299" s="173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55"/>
      <c r="N300" s="155"/>
      <c r="O300" s="155"/>
      <c r="P300" s="155"/>
      <c r="Q300" s="155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55"/>
      <c r="N301" s="155"/>
      <c r="O301" s="155"/>
      <c r="P301" s="155"/>
      <c r="Q301" s="155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55"/>
      <c r="N302" s="155"/>
      <c r="O302" s="155"/>
      <c r="P302" s="155"/>
      <c r="Q302" s="155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55"/>
      <c r="N303" s="155"/>
      <c r="O303" s="155"/>
      <c r="P303" s="155"/>
      <c r="Q303" s="155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55"/>
      <c r="N304" s="155"/>
      <c r="O304" s="155"/>
      <c r="P304" s="155"/>
      <c r="Q304" s="155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55"/>
      <c r="N305" s="155"/>
      <c r="O305" s="155"/>
      <c r="P305" s="155"/>
      <c r="Q305" s="155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55"/>
      <c r="N306" s="155"/>
      <c r="O306" s="155"/>
      <c r="P306" s="155"/>
      <c r="Q306" s="155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55"/>
      <c r="N307" s="155"/>
      <c r="O307" s="155"/>
      <c r="P307" s="155"/>
      <c r="Q307" s="155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55"/>
      <c r="N308" s="155"/>
      <c r="O308" s="155"/>
      <c r="P308" s="155"/>
      <c r="Q308" s="155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55"/>
      <c r="N309" s="155"/>
      <c r="O309" s="155"/>
      <c r="P309" s="155"/>
      <c r="Q309" s="155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25</v>
      </c>
      <c r="I310" s="148"/>
      <c r="J310" s="148"/>
      <c r="K310" s="148"/>
      <c r="L310" s="148"/>
      <c r="M310" s="148"/>
      <c r="N310" s="148"/>
      <c r="O310" s="148"/>
      <c r="P310" s="148"/>
      <c r="Q310" s="148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627750</v>
      </c>
      <c r="I311" s="150"/>
      <c r="J311" s="150"/>
      <c r="K311" s="150"/>
      <c r="L311" s="150"/>
      <c r="M311" s="150"/>
      <c r="N311" s="150"/>
      <c r="O311" s="150"/>
      <c r="P311" s="150"/>
      <c r="Q311" s="150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5</v>
      </c>
      <c r="I312" s="148"/>
      <c r="J312" s="148"/>
      <c r="K312" s="148"/>
      <c r="L312" s="148"/>
      <c r="M312" s="148"/>
      <c r="N312" s="148"/>
      <c r="O312" s="148"/>
      <c r="P312" s="148"/>
      <c r="Q312" s="148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83700</v>
      </c>
      <c r="I313" s="150"/>
      <c r="J313" s="150"/>
      <c r="K313" s="150"/>
      <c r="L313" s="150"/>
      <c r="M313" s="150"/>
      <c r="N313" s="150"/>
      <c r="O313" s="150"/>
      <c r="P313" s="150"/>
      <c r="Q313" s="150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48"/>
      <c r="N314" s="148"/>
      <c r="O314" s="148"/>
      <c r="P314" s="148"/>
      <c r="Q314" s="148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50"/>
      <c r="N315" s="150"/>
      <c r="O315" s="150"/>
      <c r="P315" s="150"/>
      <c r="Q315" s="150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8</v>
      </c>
      <c r="I316" s="148"/>
      <c r="J316" s="148"/>
      <c r="K316" s="148"/>
      <c r="L316" s="148"/>
      <c r="M316" s="148"/>
      <c r="N316" s="148"/>
      <c r="O316" s="148"/>
      <c r="P316" s="148"/>
      <c r="Q316" s="148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828630</v>
      </c>
      <c r="I317" s="150"/>
      <c r="J317" s="150"/>
      <c r="K317" s="150"/>
      <c r="L317" s="150"/>
      <c r="M317" s="150"/>
      <c r="N317" s="150"/>
      <c r="O317" s="150"/>
      <c r="P317" s="150"/>
      <c r="Q317" s="150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4</v>
      </c>
      <c r="I318" s="166"/>
      <c r="J318" s="166"/>
      <c r="K318" s="166"/>
      <c r="L318" s="166"/>
      <c r="M318" s="166"/>
      <c r="N318" s="166"/>
      <c r="O318" s="166"/>
      <c r="P318" s="166"/>
      <c r="Q318" s="166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50"/>
      <c r="N319" s="150"/>
      <c r="O319" s="150"/>
      <c r="P319" s="150"/>
      <c r="Q319" s="150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216</v>
      </c>
      <c r="I322" s="163"/>
      <c r="J322" s="163"/>
      <c r="K322" s="163"/>
      <c r="L322" s="163"/>
      <c r="M322" s="163"/>
      <c r="N322" s="163"/>
      <c r="O322" s="163"/>
      <c r="P322" s="163"/>
      <c r="Q322" s="163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0.9305555556</v>
      </c>
      <c r="I323" s="168"/>
      <c r="J323" s="168"/>
      <c r="K323" s="168"/>
      <c r="L323" s="168"/>
      <c r="M323" s="168"/>
      <c r="N323" s="168"/>
      <c r="O323" s="168"/>
      <c r="P323" s="168"/>
      <c r="Q323" s="168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201</v>
      </c>
      <c r="I324" s="148"/>
      <c r="J324" s="148"/>
      <c r="K324" s="148"/>
      <c r="L324" s="148"/>
      <c r="M324" s="148"/>
      <c r="N324" s="148"/>
      <c r="O324" s="148"/>
      <c r="P324" s="148"/>
      <c r="Q324" s="148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68"/>
      <c r="N325" s="168"/>
      <c r="O325" s="168"/>
      <c r="P325" s="168"/>
      <c r="Q325" s="168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5636730</v>
      </c>
      <c r="I326" s="150"/>
      <c r="J326" s="150"/>
      <c r="K326" s="150"/>
      <c r="L326" s="150"/>
      <c r="M326" s="150"/>
      <c r="N326" s="150"/>
      <c r="O326" s="150"/>
      <c r="P326" s="150"/>
      <c r="Q326" s="150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55"/>
      <c r="N327" s="155"/>
      <c r="O327" s="155"/>
      <c r="P327" s="155"/>
      <c r="Q327" s="155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55"/>
      <c r="N328" s="155"/>
      <c r="O328" s="155"/>
      <c r="P328" s="155"/>
      <c r="Q328" s="155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55"/>
      <c r="N329" s="155"/>
      <c r="O329" s="155"/>
      <c r="P329" s="155"/>
      <c r="Q329" s="155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55"/>
      <c r="N330" s="155"/>
      <c r="O330" s="155"/>
      <c r="P330" s="155"/>
      <c r="Q330" s="155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55"/>
      <c r="N331" s="155"/>
      <c r="O331" s="155"/>
      <c r="P331" s="155"/>
      <c r="Q331" s="155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55"/>
      <c r="N332" s="155"/>
      <c r="O332" s="155"/>
      <c r="P332" s="155"/>
      <c r="Q332" s="155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55"/>
      <c r="N333" s="155"/>
      <c r="O333" s="155"/>
      <c r="P333" s="155"/>
      <c r="Q333" s="155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55"/>
      <c r="N334" s="155"/>
      <c r="O334" s="155"/>
      <c r="P334" s="155"/>
      <c r="Q334" s="155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55"/>
      <c r="N335" s="155"/>
      <c r="O335" s="155"/>
      <c r="P335" s="155"/>
      <c r="Q335" s="155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55"/>
      <c r="N336" s="155"/>
      <c r="O336" s="155"/>
      <c r="P336" s="155"/>
      <c r="Q336" s="155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120</v>
      </c>
      <c r="I337" s="148"/>
      <c r="J337" s="148"/>
      <c r="K337" s="148"/>
      <c r="L337" s="148"/>
      <c r="M337" s="148"/>
      <c r="N337" s="148"/>
      <c r="O337" s="148"/>
      <c r="P337" s="148"/>
      <c r="Q337" s="148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2399400</v>
      </c>
      <c r="I338" s="150"/>
      <c r="J338" s="150"/>
      <c r="K338" s="150"/>
      <c r="L338" s="150"/>
      <c r="M338" s="150"/>
      <c r="N338" s="150"/>
      <c r="O338" s="150"/>
      <c r="P338" s="150"/>
      <c r="Q338" s="150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21</v>
      </c>
      <c r="I339" s="148"/>
      <c r="J339" s="148"/>
      <c r="K339" s="148"/>
      <c r="L339" s="148"/>
      <c r="M339" s="148"/>
      <c r="N339" s="148"/>
      <c r="O339" s="148"/>
      <c r="P339" s="148"/>
      <c r="Q339" s="148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320850</v>
      </c>
      <c r="I340" s="150"/>
      <c r="J340" s="150"/>
      <c r="K340" s="150"/>
      <c r="L340" s="150"/>
      <c r="M340" s="150"/>
      <c r="N340" s="150"/>
      <c r="O340" s="150"/>
      <c r="P340" s="150"/>
      <c r="Q340" s="150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48"/>
      <c r="N341" s="148"/>
      <c r="O341" s="148"/>
      <c r="P341" s="148"/>
      <c r="Q341" s="148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50"/>
      <c r="N342" s="150"/>
      <c r="O342" s="150"/>
      <c r="P342" s="150"/>
      <c r="Q342" s="150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60</v>
      </c>
      <c r="I343" s="148"/>
      <c r="J343" s="148"/>
      <c r="K343" s="148"/>
      <c r="L343" s="148"/>
      <c r="M343" s="148"/>
      <c r="N343" s="148"/>
      <c r="O343" s="148"/>
      <c r="P343" s="148"/>
      <c r="Q343" s="148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2916480</v>
      </c>
      <c r="I344" s="150"/>
      <c r="J344" s="150"/>
      <c r="K344" s="150"/>
      <c r="L344" s="150"/>
      <c r="M344" s="150"/>
      <c r="N344" s="150"/>
      <c r="O344" s="150"/>
      <c r="P344" s="150"/>
      <c r="Q344" s="150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66"/>
      <c r="N345" s="166"/>
      <c r="O345" s="166"/>
      <c r="P345" s="166"/>
      <c r="Q345" s="166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50"/>
      <c r="N346" s="150"/>
      <c r="O346" s="150"/>
      <c r="P346" s="150"/>
      <c r="Q346" s="150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509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0.931237721</v>
      </c>
      <c r="I350" s="168"/>
      <c r="J350" s="168"/>
      <c r="K350" s="168"/>
      <c r="L350" s="168"/>
      <c r="M350" s="168"/>
      <c r="N350" s="168"/>
      <c r="O350" s="168"/>
      <c r="P350" s="168"/>
      <c r="Q350" s="168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474</v>
      </c>
      <c r="I351" s="148"/>
      <c r="J351" s="148"/>
      <c r="K351" s="148"/>
      <c r="L351" s="148"/>
      <c r="M351" s="148"/>
      <c r="N351" s="148"/>
      <c r="O351" s="148"/>
      <c r="P351" s="148"/>
      <c r="Q351" s="148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68"/>
      <c r="N352" s="168"/>
      <c r="O352" s="168"/>
      <c r="P352" s="168"/>
      <c r="Q352" s="168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8661090</v>
      </c>
      <c r="I353" s="150"/>
      <c r="J353" s="150"/>
      <c r="K353" s="150"/>
      <c r="L353" s="150"/>
      <c r="M353" s="150"/>
      <c r="N353" s="150"/>
      <c r="O353" s="150"/>
      <c r="P353" s="150"/>
      <c r="Q353" s="150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55"/>
      <c r="N354" s="155"/>
      <c r="O354" s="155"/>
      <c r="P354" s="155"/>
      <c r="Q354" s="155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55"/>
      <c r="N355" s="155"/>
      <c r="O355" s="155"/>
      <c r="P355" s="155"/>
      <c r="Q355" s="155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55"/>
      <c r="N356" s="155"/>
      <c r="O356" s="155"/>
      <c r="P356" s="155"/>
      <c r="Q356" s="155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55"/>
      <c r="N357" s="155"/>
      <c r="O357" s="155"/>
      <c r="P357" s="155"/>
      <c r="Q357" s="155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53"/>
      <c r="N358" s="153"/>
      <c r="O358" s="153"/>
      <c r="P358" s="153"/>
      <c r="Q358" s="153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53"/>
      <c r="N359" s="153"/>
      <c r="O359" s="153"/>
      <c r="P359" s="153"/>
      <c r="Q359" s="153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53"/>
      <c r="N360" s="153"/>
      <c r="O360" s="153"/>
      <c r="P360" s="153"/>
      <c r="Q360" s="153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53"/>
      <c r="N361" s="153"/>
      <c r="O361" s="153"/>
      <c r="P361" s="153"/>
      <c r="Q361" s="153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55"/>
      <c r="N362" s="155"/>
      <c r="O362" s="155"/>
      <c r="P362" s="155"/>
      <c r="Q362" s="155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55"/>
      <c r="N363" s="155"/>
      <c r="O363" s="155"/>
      <c r="P363" s="155"/>
      <c r="Q363" s="155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379</v>
      </c>
      <c r="I364" s="148"/>
      <c r="J364" s="148"/>
      <c r="K364" s="148"/>
      <c r="L364" s="148"/>
      <c r="M364" s="148"/>
      <c r="N364" s="148"/>
      <c r="O364" s="148"/>
      <c r="P364" s="148"/>
      <c r="Q364" s="148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7570200</v>
      </c>
      <c r="I365" s="150"/>
      <c r="J365" s="150"/>
      <c r="K365" s="150"/>
      <c r="L365" s="150"/>
      <c r="M365" s="150"/>
      <c r="N365" s="150"/>
      <c r="O365" s="150"/>
      <c r="P365" s="150"/>
      <c r="Q365" s="150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95</v>
      </c>
      <c r="I366" s="148"/>
      <c r="J366" s="148"/>
      <c r="K366" s="148"/>
      <c r="L366" s="148"/>
      <c r="M366" s="148"/>
      <c r="N366" s="148"/>
      <c r="O366" s="148"/>
      <c r="P366" s="148"/>
      <c r="Q366" s="148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1090890</v>
      </c>
      <c r="I367" s="150"/>
      <c r="J367" s="150"/>
      <c r="K367" s="150"/>
      <c r="L367" s="150"/>
      <c r="M367" s="150"/>
      <c r="N367" s="150"/>
      <c r="O367" s="150"/>
      <c r="P367" s="150"/>
      <c r="Q367" s="150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48"/>
      <c r="N368" s="148"/>
      <c r="O368" s="148"/>
      <c r="P368" s="148"/>
      <c r="Q368" s="148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50"/>
      <c r="N369" s="150"/>
      <c r="O369" s="150"/>
      <c r="P369" s="150"/>
      <c r="Q369" s="150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48"/>
      <c r="N370" s="148"/>
      <c r="O370" s="148"/>
      <c r="P370" s="148"/>
      <c r="Q370" s="148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50"/>
      <c r="N371" s="150"/>
      <c r="O371" s="150"/>
      <c r="P371" s="150"/>
      <c r="Q371" s="150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66"/>
      <c r="N372" s="166"/>
      <c r="O372" s="166"/>
      <c r="P372" s="166"/>
      <c r="Q372" s="166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50"/>
      <c r="N373" s="150"/>
      <c r="O373" s="150"/>
      <c r="P373" s="150"/>
      <c r="Q373" s="150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240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0.9333333333</v>
      </c>
      <c r="I377" s="168"/>
      <c r="J377" s="168"/>
      <c r="K377" s="168"/>
      <c r="L377" s="168"/>
      <c r="M377" s="168"/>
      <c r="N377" s="168"/>
      <c r="O377" s="168"/>
      <c r="P377" s="168"/>
      <c r="Q377" s="168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224</v>
      </c>
      <c r="I378" s="148"/>
      <c r="J378" s="148"/>
      <c r="K378" s="148"/>
      <c r="L378" s="148"/>
      <c r="M378" s="148"/>
      <c r="N378" s="148"/>
      <c r="O378" s="148"/>
      <c r="P378" s="148"/>
      <c r="Q378" s="148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34"/>
      <c r="N379" s="134"/>
      <c r="O379" s="134"/>
      <c r="P379" s="134"/>
      <c r="Q379" s="134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3013200</v>
      </c>
      <c r="I380" s="150"/>
      <c r="J380" s="150"/>
      <c r="K380" s="150"/>
      <c r="L380" s="150"/>
      <c r="M380" s="150"/>
      <c r="N380" s="150"/>
      <c r="O380" s="150"/>
      <c r="P380" s="150"/>
      <c r="Q380" s="150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55"/>
      <c r="N381" s="155"/>
      <c r="O381" s="155"/>
      <c r="P381" s="155"/>
      <c r="Q381" s="155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55"/>
      <c r="N382" s="155"/>
      <c r="O382" s="155"/>
      <c r="P382" s="155"/>
      <c r="Q382" s="155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55"/>
      <c r="N383" s="155"/>
      <c r="O383" s="155"/>
      <c r="P383" s="155"/>
      <c r="Q383" s="155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55"/>
      <c r="N384" s="155"/>
      <c r="O384" s="155"/>
      <c r="P384" s="155"/>
      <c r="Q384" s="155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53"/>
      <c r="N385" s="153"/>
      <c r="O385" s="153"/>
      <c r="P385" s="153"/>
      <c r="Q385" s="153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53"/>
      <c r="N386" s="153"/>
      <c r="O386" s="153"/>
      <c r="P386" s="153"/>
      <c r="Q386" s="153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53"/>
      <c r="N387" s="153"/>
      <c r="O387" s="153"/>
      <c r="P387" s="153"/>
      <c r="Q387" s="153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53"/>
      <c r="N388" s="153"/>
      <c r="O388" s="153"/>
      <c r="P388" s="153"/>
      <c r="Q388" s="153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55"/>
      <c r="N389" s="155"/>
      <c r="O389" s="155"/>
      <c r="P389" s="155"/>
      <c r="Q389" s="155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55"/>
      <c r="N390" s="155"/>
      <c r="O390" s="155"/>
      <c r="P390" s="155"/>
      <c r="Q390" s="155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179</v>
      </c>
      <c r="I391" s="148"/>
      <c r="J391" s="148"/>
      <c r="K391" s="148"/>
      <c r="L391" s="148"/>
      <c r="M391" s="148"/>
      <c r="N391" s="148"/>
      <c r="O391" s="148"/>
      <c r="P391" s="148"/>
      <c r="Q391" s="148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2678400</v>
      </c>
      <c r="I392" s="150"/>
      <c r="J392" s="150"/>
      <c r="K392" s="150"/>
      <c r="L392" s="150"/>
      <c r="M392" s="150"/>
      <c r="N392" s="150"/>
      <c r="O392" s="150"/>
      <c r="P392" s="150"/>
      <c r="Q392" s="150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45</v>
      </c>
      <c r="I393" s="148"/>
      <c r="J393" s="148"/>
      <c r="K393" s="148"/>
      <c r="L393" s="148"/>
      <c r="M393" s="148"/>
      <c r="N393" s="148"/>
      <c r="O393" s="148"/>
      <c r="P393" s="148"/>
      <c r="Q393" s="148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334800</v>
      </c>
      <c r="I394" s="150"/>
      <c r="J394" s="150"/>
      <c r="K394" s="150"/>
      <c r="L394" s="150"/>
      <c r="M394" s="150"/>
      <c r="N394" s="150"/>
      <c r="O394" s="150"/>
      <c r="P394" s="150"/>
      <c r="Q394" s="150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48"/>
      <c r="N395" s="148"/>
      <c r="O395" s="148"/>
      <c r="P395" s="148"/>
      <c r="Q395" s="148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50"/>
      <c r="N396" s="150"/>
      <c r="O396" s="150"/>
      <c r="P396" s="150"/>
      <c r="Q396" s="150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48"/>
      <c r="N397" s="148"/>
      <c r="O397" s="148"/>
      <c r="P397" s="148"/>
      <c r="Q397" s="148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50"/>
      <c r="N398" s="150"/>
      <c r="O398" s="150"/>
      <c r="P398" s="150"/>
      <c r="Q398" s="150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48"/>
      <c r="N399" s="148"/>
      <c r="O399" s="148"/>
      <c r="P399" s="148"/>
      <c r="Q399" s="148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50"/>
      <c r="N400" s="150"/>
      <c r="O400" s="150"/>
      <c r="P400" s="150"/>
      <c r="Q400" s="150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965</v>
      </c>
      <c r="I404" s="123"/>
      <c r="J404" s="123"/>
      <c r="K404" s="123"/>
      <c r="L404" s="123"/>
      <c r="M404" s="123"/>
      <c r="N404" s="123"/>
      <c r="O404" s="123"/>
      <c r="P404" s="123"/>
      <c r="Q404" s="123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68"/>
      <c r="N405" s="168"/>
      <c r="O405" s="168"/>
      <c r="P405" s="168"/>
      <c r="Q405" s="168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965</v>
      </c>
      <c r="I406" s="148"/>
      <c r="J406" s="148"/>
      <c r="K406" s="148"/>
      <c r="L406" s="148"/>
      <c r="M406" s="148"/>
      <c r="N406" s="148"/>
      <c r="O406" s="148"/>
      <c r="P406" s="148"/>
      <c r="Q406" s="148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20306364</v>
      </c>
      <c r="I408" s="150"/>
      <c r="J408" s="150"/>
      <c r="K408" s="150"/>
      <c r="L408" s="150"/>
      <c r="M408" s="150"/>
      <c r="N408" s="150"/>
      <c r="O408" s="150"/>
      <c r="P408" s="150"/>
      <c r="Q408" s="150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68"/>
      <c r="N409" s="168"/>
      <c r="O409" s="168"/>
      <c r="P409" s="168"/>
      <c r="Q409" s="168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20306364</v>
      </c>
      <c r="I410" s="150"/>
      <c r="J410" s="150"/>
      <c r="K410" s="150"/>
      <c r="L410" s="150"/>
      <c r="M410" s="150"/>
      <c r="N410" s="150"/>
      <c r="O410" s="150"/>
      <c r="P410" s="150"/>
      <c r="Q410" s="150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15"/>
      <c r="N411" s="115"/>
      <c r="O411" s="115"/>
      <c r="P411" s="115"/>
      <c r="Q411" s="115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68"/>
      <c r="N413" s="168"/>
      <c r="O413" s="168"/>
      <c r="P413" s="168"/>
      <c r="Q413" s="168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28</v>
      </c>
      <c r="I414" s="148"/>
      <c r="J414" s="148"/>
      <c r="K414" s="148"/>
      <c r="L414" s="148"/>
      <c r="M414" s="148"/>
      <c r="N414" s="148"/>
      <c r="O414" s="148"/>
      <c r="P414" s="148"/>
      <c r="Q414" s="148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68"/>
      <c r="N415" s="168"/>
      <c r="O415" s="168"/>
      <c r="P415" s="168"/>
      <c r="Q415" s="168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1455264</v>
      </c>
      <c r="I416" s="150"/>
      <c r="J416" s="150"/>
      <c r="K416" s="150"/>
      <c r="L416" s="150"/>
      <c r="M416" s="150"/>
      <c r="N416" s="150"/>
      <c r="O416" s="150"/>
      <c r="P416" s="150"/>
      <c r="Q416" s="150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53"/>
      <c r="N417" s="153"/>
      <c r="O417" s="153"/>
      <c r="P417" s="153"/>
      <c r="Q417" s="153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53"/>
      <c r="N418" s="153"/>
      <c r="O418" s="153"/>
      <c r="P418" s="153"/>
      <c r="Q418" s="153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53"/>
      <c r="N419" s="153"/>
      <c r="O419" s="153"/>
      <c r="P419" s="153"/>
      <c r="Q419" s="153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53"/>
      <c r="N420" s="153"/>
      <c r="O420" s="153"/>
      <c r="P420" s="153"/>
      <c r="Q420" s="153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53"/>
      <c r="N421" s="153"/>
      <c r="O421" s="153"/>
      <c r="P421" s="153"/>
      <c r="Q421" s="153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53"/>
      <c r="N422" s="153"/>
      <c r="O422" s="153"/>
      <c r="P422" s="153"/>
      <c r="Q422" s="153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53"/>
      <c r="N423" s="153"/>
      <c r="O423" s="153"/>
      <c r="P423" s="153"/>
      <c r="Q423" s="153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53"/>
      <c r="N424" s="153"/>
      <c r="O424" s="153"/>
      <c r="P424" s="153"/>
      <c r="Q424" s="153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53"/>
      <c r="N425" s="153"/>
      <c r="O425" s="153"/>
      <c r="P425" s="153"/>
      <c r="Q425" s="153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53"/>
      <c r="N426" s="153"/>
      <c r="O426" s="153"/>
      <c r="P426" s="153"/>
      <c r="Q426" s="153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19</v>
      </c>
      <c r="I427" s="148"/>
      <c r="J427" s="148"/>
      <c r="K427" s="148"/>
      <c r="L427" s="148"/>
      <c r="M427" s="148"/>
      <c r="N427" s="148"/>
      <c r="O427" s="148"/>
      <c r="P427" s="148"/>
      <c r="Q427" s="148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558000</v>
      </c>
      <c r="I428" s="173"/>
      <c r="J428" s="173"/>
      <c r="K428" s="173"/>
      <c r="L428" s="173"/>
      <c r="M428" s="173"/>
      <c r="N428" s="173"/>
      <c r="O428" s="173"/>
      <c r="P428" s="173"/>
      <c r="Q428" s="173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3</v>
      </c>
      <c r="I429" s="148"/>
      <c r="J429" s="148"/>
      <c r="K429" s="148"/>
      <c r="L429" s="148"/>
      <c r="M429" s="148"/>
      <c r="N429" s="148"/>
      <c r="O429" s="148"/>
      <c r="P429" s="148"/>
      <c r="Q429" s="148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88164</v>
      </c>
      <c r="I430" s="148"/>
      <c r="J430" s="148"/>
      <c r="K430" s="148"/>
      <c r="L430" s="148"/>
      <c r="M430" s="148"/>
      <c r="N430" s="148"/>
      <c r="O430" s="148"/>
      <c r="P430" s="148"/>
      <c r="Q430" s="148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74"/>
      <c r="N431" s="174"/>
      <c r="O431" s="174"/>
      <c r="P431" s="174"/>
      <c r="Q431" s="174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74"/>
      <c r="N432" s="174"/>
      <c r="O432" s="174"/>
      <c r="P432" s="174"/>
      <c r="Q432" s="174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6</v>
      </c>
      <c r="I433" s="174"/>
      <c r="J433" s="174"/>
      <c r="K433" s="174"/>
      <c r="L433" s="174"/>
      <c r="M433" s="174"/>
      <c r="N433" s="174"/>
      <c r="O433" s="174"/>
      <c r="P433" s="174"/>
      <c r="Q433" s="174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809100</v>
      </c>
      <c r="I434" s="174"/>
      <c r="J434" s="174"/>
      <c r="K434" s="174"/>
      <c r="L434" s="174"/>
      <c r="M434" s="174"/>
      <c r="N434" s="174"/>
      <c r="O434" s="174"/>
      <c r="P434" s="174"/>
      <c r="Q434" s="174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74"/>
      <c r="N435" s="174"/>
      <c r="O435" s="174"/>
      <c r="P435" s="174"/>
      <c r="Q435" s="174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74"/>
      <c r="N436" s="174"/>
      <c r="O436" s="174"/>
      <c r="P436" s="174"/>
      <c r="Q436" s="174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68"/>
      <c r="N439" s="168"/>
      <c r="O439" s="168"/>
      <c r="P439" s="168"/>
      <c r="Q439" s="168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38</v>
      </c>
      <c r="I440" s="148"/>
      <c r="J440" s="148"/>
      <c r="K440" s="148"/>
      <c r="L440" s="148"/>
      <c r="M440" s="148"/>
      <c r="N440" s="148"/>
      <c r="O440" s="148"/>
      <c r="P440" s="148"/>
      <c r="Q440" s="148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68"/>
      <c r="N441" s="168"/>
      <c r="O441" s="168"/>
      <c r="P441" s="168"/>
      <c r="Q441" s="168"/>
      <c r="R441" s="1"/>
      <c r="S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1540080</v>
      </c>
      <c r="I442" s="150"/>
      <c r="J442" s="150"/>
      <c r="K442" s="150"/>
      <c r="L442" s="150"/>
      <c r="M442" s="150"/>
      <c r="N442" s="150"/>
      <c r="O442" s="150"/>
      <c r="P442" s="150"/>
      <c r="Q442" s="150"/>
      <c r="R442" s="1"/>
      <c r="S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55"/>
      <c r="N443" s="155"/>
      <c r="O443" s="155"/>
      <c r="P443" s="155"/>
      <c r="Q443" s="155"/>
      <c r="R443" s="1"/>
      <c r="S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55"/>
      <c r="N444" s="155"/>
      <c r="O444" s="155"/>
      <c r="P444" s="155"/>
      <c r="Q444" s="155"/>
      <c r="R444" s="1"/>
      <c r="S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55"/>
      <c r="N445" s="155"/>
      <c r="O445" s="155"/>
      <c r="P445" s="155"/>
      <c r="Q445" s="155"/>
      <c r="R445" s="1"/>
      <c r="S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55"/>
      <c r="N446" s="155"/>
      <c r="O446" s="155"/>
      <c r="P446" s="155"/>
      <c r="Q446" s="155"/>
      <c r="R446" s="1"/>
      <c r="S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55"/>
      <c r="N447" s="155"/>
      <c r="O447" s="155"/>
      <c r="P447" s="155"/>
      <c r="Q447" s="155"/>
      <c r="R447" s="1"/>
      <c r="S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55"/>
      <c r="N448" s="155"/>
      <c r="O448" s="155"/>
      <c r="P448" s="155"/>
      <c r="Q448" s="155"/>
      <c r="R448" s="1"/>
      <c r="S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53"/>
      <c r="N449" s="153"/>
      <c r="O449" s="153"/>
      <c r="P449" s="153"/>
      <c r="Q449" s="153"/>
      <c r="R449" s="1"/>
      <c r="S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53"/>
      <c r="N450" s="153"/>
      <c r="O450" s="153"/>
      <c r="P450" s="153"/>
      <c r="Q450" s="153"/>
      <c r="R450" s="1"/>
      <c r="S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53"/>
      <c r="N451" s="153"/>
      <c r="O451" s="153"/>
      <c r="P451" s="153"/>
      <c r="Q451" s="153"/>
      <c r="R451" s="1"/>
      <c r="S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53"/>
      <c r="N452" s="153"/>
      <c r="O452" s="153"/>
      <c r="P452" s="153"/>
      <c r="Q452" s="153"/>
      <c r="R452" s="1"/>
      <c r="S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25</v>
      </c>
      <c r="I453" s="148"/>
      <c r="J453" s="148"/>
      <c r="K453" s="148"/>
      <c r="L453" s="148"/>
      <c r="M453" s="148"/>
      <c r="N453" s="148"/>
      <c r="O453" s="148"/>
      <c r="P453" s="148"/>
      <c r="Q453" s="148"/>
      <c r="R453" s="1"/>
      <c r="S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627750</v>
      </c>
      <c r="I454" s="148"/>
      <c r="J454" s="148"/>
      <c r="K454" s="148"/>
      <c r="L454" s="148"/>
      <c r="M454" s="148"/>
      <c r="N454" s="148"/>
      <c r="O454" s="148"/>
      <c r="P454" s="148"/>
      <c r="Q454" s="148"/>
      <c r="R454" s="1"/>
      <c r="S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5</v>
      </c>
      <c r="I455" s="148"/>
      <c r="J455" s="148"/>
      <c r="K455" s="148"/>
      <c r="L455" s="148"/>
      <c r="M455" s="148"/>
      <c r="N455" s="148"/>
      <c r="O455" s="148"/>
      <c r="P455" s="148"/>
      <c r="Q455" s="148"/>
      <c r="R455" s="1"/>
      <c r="S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83700</v>
      </c>
      <c r="I456" s="148"/>
      <c r="J456" s="148"/>
      <c r="K456" s="148"/>
      <c r="L456" s="148"/>
      <c r="M456" s="148"/>
      <c r="N456" s="148"/>
      <c r="O456" s="148"/>
      <c r="P456" s="148"/>
      <c r="Q456" s="148"/>
      <c r="R456" s="1"/>
      <c r="S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48"/>
      <c r="N457" s="148"/>
      <c r="O457" s="148"/>
      <c r="P457" s="148"/>
      <c r="Q457" s="148"/>
      <c r="R457" s="1"/>
      <c r="S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48"/>
      <c r="N458" s="148"/>
      <c r="O458" s="148"/>
      <c r="P458" s="148"/>
      <c r="Q458" s="148"/>
      <c r="R458" s="1"/>
      <c r="S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8</v>
      </c>
      <c r="I459" s="148"/>
      <c r="J459" s="148"/>
      <c r="K459" s="148"/>
      <c r="L459" s="148"/>
      <c r="M459" s="148"/>
      <c r="N459" s="148"/>
      <c r="O459" s="148"/>
      <c r="P459" s="148"/>
      <c r="Q459" s="148"/>
      <c r="R459" s="1"/>
      <c r="S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828630</v>
      </c>
      <c r="I460" s="148"/>
      <c r="J460" s="148"/>
      <c r="K460" s="148"/>
      <c r="L460" s="148"/>
      <c r="M460" s="148"/>
      <c r="N460" s="148"/>
      <c r="O460" s="148"/>
      <c r="P460" s="148"/>
      <c r="Q460" s="148"/>
      <c r="R460" s="1"/>
      <c r="S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4</v>
      </c>
      <c r="I461" s="148"/>
      <c r="J461" s="148"/>
      <c r="K461" s="148"/>
      <c r="L461" s="148"/>
      <c r="M461" s="148"/>
      <c r="N461" s="148"/>
      <c r="O461" s="148"/>
      <c r="P461" s="148"/>
      <c r="Q461" s="148"/>
      <c r="R461" s="1"/>
      <c r="S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48"/>
      <c r="N462" s="148"/>
      <c r="O462" s="148"/>
      <c r="P462" s="148"/>
      <c r="Q462" s="148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68"/>
      <c r="N465" s="168"/>
      <c r="O465" s="168"/>
      <c r="P465" s="168"/>
      <c r="Q465" s="168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201</v>
      </c>
      <c r="I466" s="148"/>
      <c r="J466" s="148"/>
      <c r="K466" s="148"/>
      <c r="L466" s="148"/>
      <c r="M466" s="148"/>
      <c r="N466" s="148"/>
      <c r="O466" s="148"/>
      <c r="P466" s="148"/>
      <c r="Q466" s="148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68"/>
      <c r="N467" s="168"/>
      <c r="O467" s="168"/>
      <c r="P467" s="168"/>
      <c r="Q467" s="168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5636730</v>
      </c>
      <c r="I468" s="150"/>
      <c r="J468" s="150"/>
      <c r="K468" s="150"/>
      <c r="L468" s="150"/>
      <c r="M468" s="150"/>
      <c r="N468" s="150"/>
      <c r="O468" s="150"/>
      <c r="P468" s="150"/>
      <c r="Q468" s="150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55"/>
      <c r="N469" s="155"/>
      <c r="O469" s="155"/>
      <c r="P469" s="155"/>
      <c r="Q469" s="155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55"/>
      <c r="N470" s="155"/>
      <c r="O470" s="155"/>
      <c r="P470" s="155"/>
      <c r="Q470" s="155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55"/>
      <c r="N471" s="155"/>
      <c r="O471" s="155"/>
      <c r="P471" s="155"/>
      <c r="Q471" s="155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55"/>
      <c r="N472" s="155"/>
      <c r="O472" s="155"/>
      <c r="P472" s="155"/>
      <c r="Q472" s="155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55"/>
      <c r="N473" s="155"/>
      <c r="O473" s="155"/>
      <c r="P473" s="155"/>
      <c r="Q473" s="155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55"/>
      <c r="N474" s="155"/>
      <c r="O474" s="155"/>
      <c r="P474" s="155"/>
      <c r="Q474" s="155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55"/>
      <c r="N475" s="155"/>
      <c r="O475" s="155"/>
      <c r="P475" s="155"/>
      <c r="Q475" s="155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55"/>
      <c r="N476" s="155"/>
      <c r="O476" s="155"/>
      <c r="P476" s="155"/>
      <c r="Q476" s="155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55"/>
      <c r="N477" s="155"/>
      <c r="O477" s="155"/>
      <c r="P477" s="155"/>
      <c r="Q477" s="155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55"/>
      <c r="N478" s="155"/>
      <c r="O478" s="155"/>
      <c r="P478" s="155"/>
      <c r="Q478" s="155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120</v>
      </c>
      <c r="I479" s="148"/>
      <c r="J479" s="148"/>
      <c r="K479" s="148"/>
      <c r="L479" s="148"/>
      <c r="M479" s="148"/>
      <c r="N479" s="148"/>
      <c r="O479" s="148"/>
      <c r="P479" s="148"/>
      <c r="Q479" s="148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2399400</v>
      </c>
      <c r="I480" s="148"/>
      <c r="J480" s="148"/>
      <c r="K480" s="148"/>
      <c r="L480" s="148"/>
      <c r="M480" s="148"/>
      <c r="N480" s="148"/>
      <c r="O480" s="148"/>
      <c r="P480" s="148"/>
      <c r="Q480" s="148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21</v>
      </c>
      <c r="I481" s="148"/>
      <c r="J481" s="148"/>
      <c r="K481" s="148"/>
      <c r="L481" s="148"/>
      <c r="M481" s="148"/>
      <c r="N481" s="148"/>
      <c r="O481" s="148"/>
      <c r="P481" s="148"/>
      <c r="Q481" s="148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320850</v>
      </c>
      <c r="I482" s="148"/>
      <c r="J482" s="148"/>
      <c r="K482" s="148"/>
      <c r="L482" s="148"/>
      <c r="M482" s="148"/>
      <c r="N482" s="148"/>
      <c r="O482" s="148"/>
      <c r="P482" s="148"/>
      <c r="Q482" s="148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48"/>
      <c r="N483" s="148"/>
      <c r="O483" s="148"/>
      <c r="P483" s="148"/>
      <c r="Q483" s="148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48"/>
      <c r="N484" s="148"/>
      <c r="O484" s="148"/>
      <c r="P484" s="148"/>
      <c r="Q484" s="148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60</v>
      </c>
      <c r="I485" s="148"/>
      <c r="J485" s="148"/>
      <c r="K485" s="148"/>
      <c r="L485" s="148"/>
      <c r="M485" s="148"/>
      <c r="N485" s="148"/>
      <c r="O485" s="148"/>
      <c r="P485" s="148"/>
      <c r="Q485" s="148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2916480</v>
      </c>
      <c r="I486" s="148"/>
      <c r="J486" s="148"/>
      <c r="K486" s="148"/>
      <c r="L486" s="148"/>
      <c r="M486" s="148"/>
      <c r="N486" s="148"/>
      <c r="O486" s="148"/>
      <c r="P486" s="148"/>
      <c r="Q486" s="148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48"/>
      <c r="N487" s="148"/>
      <c r="O487" s="148"/>
      <c r="P487" s="148"/>
      <c r="Q487" s="148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48"/>
      <c r="N488" s="148"/>
      <c r="O488" s="148"/>
      <c r="P488" s="148"/>
      <c r="Q488" s="148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68"/>
      <c r="N491" s="168"/>
      <c r="O491" s="168"/>
      <c r="P491" s="168"/>
      <c r="Q491" s="168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474</v>
      </c>
      <c r="I492" s="148"/>
      <c r="J492" s="148"/>
      <c r="K492" s="148"/>
      <c r="L492" s="148"/>
      <c r="M492" s="148"/>
      <c r="N492" s="148"/>
      <c r="O492" s="148"/>
      <c r="P492" s="148"/>
      <c r="Q492" s="148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68"/>
      <c r="N493" s="168"/>
      <c r="O493" s="168"/>
      <c r="P493" s="168"/>
      <c r="Q493" s="168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8661090</v>
      </c>
      <c r="I494" s="150"/>
      <c r="J494" s="150"/>
      <c r="K494" s="150"/>
      <c r="L494" s="150"/>
      <c r="M494" s="150"/>
      <c r="N494" s="150"/>
      <c r="O494" s="150"/>
      <c r="P494" s="150"/>
      <c r="Q494" s="150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55"/>
      <c r="N495" s="155"/>
      <c r="O495" s="155"/>
      <c r="P495" s="155"/>
      <c r="Q495" s="155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55"/>
      <c r="N496" s="155"/>
      <c r="O496" s="155"/>
      <c r="P496" s="155"/>
      <c r="Q496" s="155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55"/>
      <c r="N497" s="155"/>
      <c r="O497" s="155"/>
      <c r="P497" s="155"/>
      <c r="Q497" s="155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55"/>
      <c r="N498" s="155"/>
      <c r="O498" s="155"/>
      <c r="P498" s="155"/>
      <c r="Q498" s="155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53"/>
      <c r="N499" s="153"/>
      <c r="O499" s="153"/>
      <c r="P499" s="153"/>
      <c r="Q499" s="153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53"/>
      <c r="N500" s="153"/>
      <c r="O500" s="153"/>
      <c r="P500" s="153"/>
      <c r="Q500" s="153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53"/>
      <c r="N501" s="153"/>
      <c r="O501" s="153"/>
      <c r="P501" s="153"/>
      <c r="Q501" s="153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53"/>
      <c r="N502" s="153"/>
      <c r="O502" s="153"/>
      <c r="P502" s="153"/>
      <c r="Q502" s="153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53"/>
      <c r="N503" s="153"/>
      <c r="O503" s="153"/>
      <c r="P503" s="153"/>
      <c r="Q503" s="153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53"/>
      <c r="N504" s="153"/>
      <c r="O504" s="153"/>
      <c r="P504" s="153"/>
      <c r="Q504" s="153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379</v>
      </c>
      <c r="I505" s="148"/>
      <c r="J505" s="148"/>
      <c r="K505" s="148"/>
      <c r="L505" s="148"/>
      <c r="M505" s="148"/>
      <c r="N505" s="148"/>
      <c r="O505" s="148"/>
      <c r="P505" s="148"/>
      <c r="Q505" s="148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7570200</v>
      </c>
      <c r="I506" s="148"/>
      <c r="J506" s="148"/>
      <c r="K506" s="148"/>
      <c r="L506" s="148"/>
      <c r="M506" s="148"/>
      <c r="N506" s="148"/>
      <c r="O506" s="148"/>
      <c r="P506" s="148"/>
      <c r="Q506" s="148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95</v>
      </c>
      <c r="I507" s="148"/>
      <c r="J507" s="148"/>
      <c r="K507" s="148"/>
      <c r="L507" s="148"/>
      <c r="M507" s="148"/>
      <c r="N507" s="148"/>
      <c r="O507" s="148"/>
      <c r="P507" s="148"/>
      <c r="Q507" s="148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1090890</v>
      </c>
      <c r="I508" s="148"/>
      <c r="J508" s="148"/>
      <c r="K508" s="148"/>
      <c r="L508" s="148"/>
      <c r="M508" s="148"/>
      <c r="N508" s="148"/>
      <c r="O508" s="148"/>
      <c r="P508" s="148"/>
      <c r="Q508" s="148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48"/>
      <c r="N509" s="148"/>
      <c r="O509" s="148"/>
      <c r="P509" s="148"/>
      <c r="Q509" s="148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48"/>
      <c r="N510" s="148"/>
      <c r="O510" s="148"/>
      <c r="P510" s="148"/>
      <c r="Q510" s="148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48"/>
      <c r="N511" s="148"/>
      <c r="O511" s="148"/>
      <c r="P511" s="148"/>
      <c r="Q511" s="148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48"/>
      <c r="N512" s="148"/>
      <c r="O512" s="148"/>
      <c r="P512" s="148"/>
      <c r="Q512" s="148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48"/>
      <c r="N513" s="148"/>
      <c r="O513" s="148"/>
      <c r="P513" s="148"/>
      <c r="Q513" s="148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48"/>
      <c r="N514" s="148"/>
      <c r="O514" s="148"/>
      <c r="P514" s="148"/>
      <c r="Q514" s="148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68"/>
      <c r="N517" s="168"/>
      <c r="O517" s="168"/>
      <c r="P517" s="168"/>
      <c r="Q517" s="168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224</v>
      </c>
      <c r="I518" s="148"/>
      <c r="J518" s="148"/>
      <c r="K518" s="148"/>
      <c r="L518" s="148"/>
      <c r="M518" s="148"/>
      <c r="N518" s="148"/>
      <c r="O518" s="148"/>
      <c r="P518" s="148"/>
      <c r="Q518" s="148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68"/>
      <c r="N519" s="168"/>
      <c r="O519" s="168"/>
      <c r="P519" s="168"/>
      <c r="Q519" s="168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3013200</v>
      </c>
      <c r="I520" s="150"/>
      <c r="J520" s="150"/>
      <c r="K520" s="150"/>
      <c r="L520" s="150"/>
      <c r="M520" s="150"/>
      <c r="N520" s="150"/>
      <c r="O520" s="150"/>
      <c r="P520" s="150"/>
      <c r="Q520" s="150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55"/>
      <c r="N521" s="155"/>
      <c r="O521" s="155"/>
      <c r="P521" s="155"/>
      <c r="Q521" s="155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55"/>
      <c r="N522" s="155"/>
      <c r="O522" s="155"/>
      <c r="P522" s="155"/>
      <c r="Q522" s="155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55"/>
      <c r="N523" s="155"/>
      <c r="O523" s="155"/>
      <c r="P523" s="155"/>
      <c r="Q523" s="155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55"/>
      <c r="N524" s="155"/>
      <c r="O524" s="155"/>
      <c r="P524" s="155"/>
      <c r="Q524" s="155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53"/>
      <c r="N525" s="153"/>
      <c r="O525" s="153"/>
      <c r="P525" s="153"/>
      <c r="Q525" s="153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53"/>
      <c r="N526" s="153"/>
      <c r="O526" s="153"/>
      <c r="P526" s="153"/>
      <c r="Q526" s="153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53"/>
      <c r="N527" s="153"/>
      <c r="O527" s="153"/>
      <c r="P527" s="153"/>
      <c r="Q527" s="153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53"/>
      <c r="N528" s="153"/>
      <c r="O528" s="153"/>
      <c r="P528" s="153"/>
      <c r="Q528" s="153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53"/>
      <c r="N529" s="153"/>
      <c r="O529" s="153"/>
      <c r="P529" s="153"/>
      <c r="Q529" s="153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53"/>
      <c r="N530" s="153"/>
      <c r="O530" s="153"/>
      <c r="P530" s="153"/>
      <c r="Q530" s="153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179</v>
      </c>
      <c r="I531" s="148"/>
      <c r="J531" s="148"/>
      <c r="K531" s="148"/>
      <c r="L531" s="148"/>
      <c r="M531" s="148"/>
      <c r="N531" s="148"/>
      <c r="O531" s="148"/>
      <c r="P531" s="148"/>
      <c r="Q531" s="148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2678400</v>
      </c>
      <c r="I532" s="148"/>
      <c r="J532" s="148"/>
      <c r="K532" s="148"/>
      <c r="L532" s="148"/>
      <c r="M532" s="148"/>
      <c r="N532" s="148"/>
      <c r="O532" s="148"/>
      <c r="P532" s="148"/>
      <c r="Q532" s="148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45</v>
      </c>
      <c r="I533" s="148"/>
      <c r="J533" s="148"/>
      <c r="K533" s="148"/>
      <c r="L533" s="148"/>
      <c r="M533" s="148"/>
      <c r="N533" s="148"/>
      <c r="O533" s="148"/>
      <c r="P533" s="148"/>
      <c r="Q533" s="148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334800</v>
      </c>
      <c r="I534" s="148"/>
      <c r="J534" s="148"/>
      <c r="K534" s="148"/>
      <c r="L534" s="148"/>
      <c r="M534" s="148"/>
      <c r="N534" s="148"/>
      <c r="O534" s="148"/>
      <c r="P534" s="148"/>
      <c r="Q534" s="148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48"/>
      <c r="N535" s="148"/>
      <c r="O535" s="148"/>
      <c r="P535" s="148"/>
      <c r="Q535" s="148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48"/>
      <c r="N536" s="148"/>
      <c r="O536" s="148"/>
      <c r="P536" s="148"/>
      <c r="Q536" s="148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48"/>
      <c r="N537" s="148"/>
      <c r="O537" s="148"/>
      <c r="P537" s="148"/>
      <c r="Q537" s="148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48"/>
      <c r="N538" s="148"/>
      <c r="O538" s="148"/>
      <c r="P538" s="148"/>
      <c r="Q538" s="148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48"/>
      <c r="N539" s="148"/>
      <c r="O539" s="148"/>
      <c r="P539" s="148"/>
      <c r="Q539" s="148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48"/>
      <c r="N540" s="148"/>
      <c r="O540" s="148"/>
      <c r="P540" s="148"/>
      <c r="Q540" s="148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Q545" si="13">SUM(H554,H588,H629,H663,H703,H737)</f>
        <v>4554210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78">
        <f t="shared" si="13"/>
        <v>0</v>
      </c>
      <c r="N545" s="178">
        <f t="shared" si="13"/>
        <v>0</v>
      </c>
      <c r="O545" s="178">
        <f t="shared" si="13"/>
        <v>0</v>
      </c>
      <c r="P545" s="178">
        <f t="shared" si="13"/>
        <v>0</v>
      </c>
      <c r="Q545" s="178">
        <f t="shared" si="13"/>
        <v>0</v>
      </c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Q546" si="14">SUM(H553,H587,H628,H662,H702,H735)</f>
        <v>0</v>
      </c>
      <c r="I546" s="180">
        <f t="shared" si="14"/>
        <v>120000</v>
      </c>
      <c r="J546" s="180">
        <f t="shared" si="14"/>
        <v>160000</v>
      </c>
      <c r="K546" s="180">
        <f t="shared" si="14"/>
        <v>66000</v>
      </c>
      <c r="L546" s="180">
        <f t="shared" si="14"/>
        <v>42000</v>
      </c>
      <c r="M546" s="180">
        <f t="shared" si="14"/>
        <v>384000</v>
      </c>
      <c r="N546" s="180">
        <f t="shared" si="14"/>
        <v>36000</v>
      </c>
      <c r="O546" s="180">
        <f t="shared" si="14"/>
        <v>607296</v>
      </c>
      <c r="P546" s="180">
        <f t="shared" si="14"/>
        <v>520000</v>
      </c>
      <c r="Q546" s="180">
        <f t="shared" si="14"/>
        <v>84000</v>
      </c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Q549" si="15">SUM(H571,H605,H624,H646,H679,H698,H720,H754,H774)</f>
        <v>31500</v>
      </c>
      <c r="I549" s="178">
        <f t="shared" si="15"/>
        <v>34650</v>
      </c>
      <c r="J549" s="178">
        <f t="shared" si="15"/>
        <v>38115</v>
      </c>
      <c r="K549" s="178">
        <f t="shared" si="15"/>
        <v>137926.5</v>
      </c>
      <c r="L549" s="178">
        <f t="shared" si="15"/>
        <v>116519.15</v>
      </c>
      <c r="M549" s="178">
        <f t="shared" si="15"/>
        <v>180331.065</v>
      </c>
      <c r="N549" s="178">
        <f t="shared" si="15"/>
        <v>145724.1715</v>
      </c>
      <c r="O549" s="178">
        <f t="shared" si="15"/>
        <v>825160.5887</v>
      </c>
      <c r="P549" s="178">
        <f t="shared" si="15"/>
        <v>336259.0475</v>
      </c>
      <c r="Q549" s="178">
        <f t="shared" si="15"/>
        <v>487585.3523</v>
      </c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81"/>
      <c r="M550" s="18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Q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70">
        <f t="shared" si="16"/>
        <v>0</v>
      </c>
      <c r="N553" s="170">
        <f t="shared" si="16"/>
        <v>0</v>
      </c>
      <c r="O553" s="170">
        <f t="shared" si="16"/>
        <v>0</v>
      </c>
      <c r="P553" s="170">
        <f t="shared" si="16"/>
        <v>0</v>
      </c>
      <c r="Q553" s="170">
        <f t="shared" si="16"/>
        <v>0</v>
      </c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Q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84" t="str">
        <f t="shared" si="17"/>
        <v/>
      </c>
      <c r="N554" s="184" t="str">
        <f t="shared" si="17"/>
        <v/>
      </c>
      <c r="O554" s="184" t="str">
        <f t="shared" si="17"/>
        <v/>
      </c>
      <c r="P554" s="184" t="str">
        <f t="shared" si="17"/>
        <v/>
      </c>
      <c r="Q554" s="184" t="str">
        <f t="shared" si="17"/>
        <v/>
      </c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Q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84">
        <f t="shared" si="18"/>
        <v>0</v>
      </c>
      <c r="N555" s="184">
        <f t="shared" si="18"/>
        <v>0</v>
      </c>
      <c r="O555" s="184">
        <f t="shared" si="18"/>
        <v>0</v>
      </c>
      <c r="P555" s="184">
        <f t="shared" si="18"/>
        <v>0</v>
      </c>
      <c r="Q555" s="184">
        <f t="shared" si="18"/>
        <v>0</v>
      </c>
      <c r="R555" s="1"/>
      <c r="S555" s="1"/>
    </row>
    <row r="556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86"/>
      <c r="N556" s="186"/>
      <c r="O556" s="186"/>
      <c r="P556" s="186"/>
      <c r="Q556" s="186"/>
      <c r="R556" s="1"/>
      <c r="S556" s="1"/>
    </row>
    <row r="557" outlineLevel="1">
      <c r="A557" s="1"/>
      <c r="B557" s="1"/>
      <c r="C557" s="1"/>
      <c r="D557" s="1"/>
      <c r="E557" s="127"/>
      <c r="F557" s="13"/>
      <c r="G557" s="185"/>
      <c r="H557" s="186">
        <f t="shared" ref="H557:Q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86">
        <f t="shared" si="19"/>
        <v>1</v>
      </c>
      <c r="N557" s="186">
        <f t="shared" si="19"/>
        <v>0</v>
      </c>
      <c r="O557" s="186">
        <f t="shared" si="19"/>
        <v>1</v>
      </c>
      <c r="P557" s="186">
        <f t="shared" si="19"/>
        <v>0</v>
      </c>
      <c r="Q557" s="186">
        <f t="shared" si="19"/>
        <v>1</v>
      </c>
      <c r="R557" s="1"/>
      <c r="S557" s="1"/>
    </row>
    <row r="558" outlineLevel="1">
      <c r="A558" s="1"/>
      <c r="B558" s="1"/>
      <c r="C558" s="1"/>
      <c r="D558" s="1"/>
      <c r="E558" s="127"/>
      <c r="F558" s="13"/>
      <c r="G558" s="185"/>
      <c r="H558" s="186">
        <f t="shared" ref="H558:Q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86">
        <f t="shared" si="20"/>
        <v>0</v>
      </c>
      <c r="N558" s="186">
        <f t="shared" si="20"/>
        <v>1</v>
      </c>
      <c r="O558" s="186">
        <f t="shared" si="20"/>
        <v>0</v>
      </c>
      <c r="P558" s="186">
        <f t="shared" si="20"/>
        <v>1</v>
      </c>
      <c r="Q558" s="186">
        <f t="shared" si="20"/>
        <v>0</v>
      </c>
      <c r="R558" s="1"/>
      <c r="S558" s="1"/>
    </row>
    <row r="559" outlineLevel="1">
      <c r="A559" s="1"/>
      <c r="B559" s="1"/>
      <c r="C559" s="1"/>
      <c r="D559" s="1"/>
      <c r="E559" s="127"/>
      <c r="F559" s="13"/>
      <c r="G559" s="185"/>
      <c r="H559" s="186">
        <f t="shared" ref="H559:Q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86">
        <f t="shared" si="21"/>
        <v>1</v>
      </c>
      <c r="N559" s="186">
        <f t="shared" si="21"/>
        <v>0</v>
      </c>
      <c r="O559" s="186">
        <f t="shared" si="21"/>
        <v>1</v>
      </c>
      <c r="P559" s="186">
        <f t="shared" si="21"/>
        <v>0</v>
      </c>
      <c r="Q559" s="186">
        <f t="shared" si="21"/>
        <v>1</v>
      </c>
      <c r="R559" s="1"/>
      <c r="S559" s="1"/>
    </row>
    <row r="560" outlineLevel="1">
      <c r="A560" s="1"/>
      <c r="B560" s="1"/>
      <c r="C560" s="1"/>
      <c r="D560" s="1"/>
      <c r="E560" s="127"/>
      <c r="F560" s="13"/>
      <c r="G560" s="185"/>
      <c r="H560" s="186">
        <f t="shared" ref="H560:Q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86">
        <f t="shared" si="22"/>
        <v>0</v>
      </c>
      <c r="N560" s="186">
        <f t="shared" si="22"/>
        <v>1</v>
      </c>
      <c r="O560" s="186">
        <f t="shared" si="22"/>
        <v>0</v>
      </c>
      <c r="P560" s="186">
        <f t="shared" si="22"/>
        <v>1</v>
      </c>
      <c r="Q560" s="186">
        <f t="shared" si="22"/>
        <v>0</v>
      </c>
      <c r="R560" s="1"/>
      <c r="S560" s="1"/>
    </row>
    <row r="561" outlineLevel="1">
      <c r="A561" s="1"/>
      <c r="B561" s="1"/>
      <c r="C561" s="1"/>
      <c r="D561" s="1"/>
      <c r="E561" s="127"/>
      <c r="F561" s="13"/>
      <c r="G561" s="185"/>
      <c r="H561" s="186">
        <f t="shared" ref="H561:Q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86">
        <f t="shared" si="23"/>
        <v>1</v>
      </c>
      <c r="N561" s="186">
        <f t="shared" si="23"/>
        <v>0</v>
      </c>
      <c r="O561" s="186">
        <f t="shared" si="23"/>
        <v>1</v>
      </c>
      <c r="P561" s="186">
        <f t="shared" si="23"/>
        <v>0</v>
      </c>
      <c r="Q561" s="186">
        <f t="shared" si="23"/>
        <v>1</v>
      </c>
      <c r="R561" s="1"/>
      <c r="S561" s="1"/>
    </row>
    <row r="562" outlineLevel="1">
      <c r="A562" s="1"/>
      <c r="B562" s="1"/>
      <c r="C562" s="1"/>
      <c r="D562" s="1"/>
      <c r="E562" s="127"/>
      <c r="F562" s="13"/>
      <c r="G562" s="185"/>
      <c r="H562" s="186">
        <f t="shared" ref="H562:Q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86">
        <f t="shared" si="24"/>
        <v>2</v>
      </c>
      <c r="N562" s="186">
        <f t="shared" si="24"/>
        <v>1</v>
      </c>
      <c r="O562" s="186">
        <f t="shared" si="24"/>
        <v>0</v>
      </c>
      <c r="P562" s="186">
        <f t="shared" si="24"/>
        <v>1</v>
      </c>
      <c r="Q562" s="186">
        <f t="shared" si="24"/>
        <v>0</v>
      </c>
      <c r="R562" s="1"/>
      <c r="S562" s="1"/>
    </row>
    <row r="563" outlineLevel="1">
      <c r="A563" s="1"/>
      <c r="B563" s="1"/>
      <c r="C563" s="1"/>
      <c r="D563" s="1"/>
      <c r="E563" s="127"/>
      <c r="F563" s="13"/>
      <c r="G563" s="185"/>
      <c r="H563" s="186">
        <f t="shared" ref="H563:Q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86">
        <f t="shared" si="25"/>
        <v>0</v>
      </c>
      <c r="N563" s="186">
        <f t="shared" si="25"/>
        <v>2</v>
      </c>
      <c r="O563" s="186">
        <f t="shared" si="25"/>
        <v>1</v>
      </c>
      <c r="P563" s="186">
        <f t="shared" si="25"/>
        <v>0</v>
      </c>
      <c r="Q563" s="186">
        <f t="shared" si="25"/>
        <v>1</v>
      </c>
      <c r="R563" s="1"/>
      <c r="S563" s="1"/>
    </row>
    <row r="564" outlineLevel="1">
      <c r="A564" s="1"/>
      <c r="B564" s="1"/>
      <c r="C564" s="1"/>
      <c r="D564" s="1"/>
      <c r="E564" s="127"/>
      <c r="F564" s="13"/>
      <c r="G564" s="185"/>
      <c r="H564" s="186">
        <f t="shared" ref="H564:Q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86">
        <f t="shared" si="26"/>
        <v>0</v>
      </c>
      <c r="N564" s="186">
        <f t="shared" si="26"/>
        <v>0</v>
      </c>
      <c r="O564" s="186">
        <f t="shared" si="26"/>
        <v>2</v>
      </c>
      <c r="P564" s="186">
        <f t="shared" si="26"/>
        <v>1</v>
      </c>
      <c r="Q564" s="186">
        <f t="shared" si="26"/>
        <v>0</v>
      </c>
      <c r="R564" s="1"/>
      <c r="S564" s="1"/>
    </row>
    <row r="565" outlineLevel="1">
      <c r="A565" s="1"/>
      <c r="B565" s="1"/>
      <c r="C565" s="1"/>
      <c r="D565" s="1"/>
      <c r="E565" s="127"/>
      <c r="F565" s="13"/>
      <c r="G565" s="185"/>
      <c r="H565" s="186">
        <f t="shared" ref="H565:Q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86">
        <f t="shared" si="27"/>
        <v>0</v>
      </c>
      <c r="N565" s="186">
        <f t="shared" si="27"/>
        <v>0</v>
      </c>
      <c r="O565" s="186">
        <f t="shared" si="27"/>
        <v>0</v>
      </c>
      <c r="P565" s="186">
        <f t="shared" si="27"/>
        <v>2</v>
      </c>
      <c r="Q565" s="186">
        <f t="shared" si="27"/>
        <v>1</v>
      </c>
      <c r="R565" s="1"/>
      <c r="S565" s="1"/>
    </row>
    <row r="566" outlineLevel="1">
      <c r="A566" s="1"/>
      <c r="B566" s="1"/>
      <c r="C566" s="1"/>
      <c r="D566" s="1"/>
      <c r="E566" s="127"/>
      <c r="F566" s="13"/>
      <c r="G566" s="185"/>
      <c r="H566" s="186">
        <f t="shared" ref="H566:Q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86">
        <f t="shared" si="28"/>
        <v>0</v>
      </c>
      <c r="N566" s="186">
        <f t="shared" si="28"/>
        <v>0</v>
      </c>
      <c r="O566" s="186">
        <f t="shared" si="28"/>
        <v>0</v>
      </c>
      <c r="P566" s="186">
        <f t="shared" si="28"/>
        <v>0</v>
      </c>
      <c r="Q566" s="186">
        <f t="shared" si="28"/>
        <v>2</v>
      </c>
      <c r="R566" s="1"/>
      <c r="S566" s="1"/>
    </row>
    <row r="567" outlineLevel="1">
      <c r="A567" s="1"/>
      <c r="B567" s="1"/>
      <c r="C567" s="1"/>
      <c r="D567" s="1"/>
      <c r="E567" s="127"/>
      <c r="F567" s="13"/>
      <c r="G567" s="185"/>
      <c r="H567" s="186">
        <f t="shared" ref="H567:Q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86">
        <f t="shared" si="29"/>
        <v>0</v>
      </c>
      <c r="N567" s="186">
        <f t="shared" si="29"/>
        <v>0</v>
      </c>
      <c r="O567" s="186">
        <f t="shared" si="29"/>
        <v>0</v>
      </c>
      <c r="P567" s="186">
        <f t="shared" si="29"/>
        <v>0</v>
      </c>
      <c r="Q567" s="186">
        <f t="shared" si="29"/>
        <v>0</v>
      </c>
      <c r="R567" s="1"/>
      <c r="S567" s="1"/>
    </row>
    <row r="568" outlineLevel="1">
      <c r="A568" s="1"/>
      <c r="B568" s="1"/>
      <c r="C568" s="1"/>
      <c r="D568" s="1"/>
      <c r="E568" s="127"/>
      <c r="F568" s="13"/>
      <c r="G568" s="185"/>
      <c r="H568" s="186">
        <f t="shared" ref="H568:Q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86">
        <f t="shared" si="30"/>
        <v>0</v>
      </c>
      <c r="N568" s="186">
        <f t="shared" si="30"/>
        <v>0</v>
      </c>
      <c r="O568" s="186">
        <f t="shared" si="30"/>
        <v>0</v>
      </c>
      <c r="P568" s="186">
        <f t="shared" si="30"/>
        <v>0</v>
      </c>
      <c r="Q568" s="186">
        <f t="shared" si="30"/>
        <v>0</v>
      </c>
      <c r="R568" s="1"/>
      <c r="S568" s="1"/>
    </row>
    <row r="569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55">
        <v>0.8</v>
      </c>
      <c r="N570" s="155">
        <v>0.8</v>
      </c>
      <c r="O570" s="155">
        <v>0.8</v>
      </c>
      <c r="P570" s="155">
        <v>0.8</v>
      </c>
      <c r="Q570" s="155">
        <v>0.8</v>
      </c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Q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84">
        <f t="shared" si="31"/>
        <v>0</v>
      </c>
      <c r="N571" s="184">
        <f t="shared" si="31"/>
        <v>0</v>
      </c>
      <c r="O571" s="184">
        <f t="shared" si="31"/>
        <v>0</v>
      </c>
      <c r="P571" s="184">
        <f t="shared" si="31"/>
        <v>0</v>
      </c>
      <c r="Q571" s="184">
        <f t="shared" si="31"/>
        <v>0</v>
      </c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Q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84">
        <f t="shared" si="32"/>
        <v>0</v>
      </c>
      <c r="N572" s="184">
        <f t="shared" si="32"/>
        <v>0</v>
      </c>
      <c r="O572" s="184">
        <f t="shared" si="32"/>
        <v>0</v>
      </c>
      <c r="P572" s="184">
        <f t="shared" si="32"/>
        <v>0</v>
      </c>
      <c r="Q572" s="184">
        <f t="shared" si="32"/>
        <v>0</v>
      </c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Q573" si="33">IF(COLUMN() &lt; (COLUMN($H$573) + (ROW()-ROW($H$573))), 0, IF(COLUMN() = (COLUMN($H$573) + (ROW()-ROW($H$573))), INDEX($H$555:$Q$555,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86">
        <f t="shared" si="33"/>
        <v>0</v>
      </c>
      <c r="N573" s="186">
        <f t="shared" si="33"/>
        <v>0</v>
      </c>
      <c r="O573" s="186">
        <f t="shared" si="33"/>
        <v>0</v>
      </c>
      <c r="P573" s="186">
        <f t="shared" si="33"/>
        <v>0</v>
      </c>
      <c r="Q573" s="186">
        <f t="shared" si="33"/>
        <v>0</v>
      </c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Q574" si="34">IF(COLUMN() &lt; (COLUMN($H$573) + (ROW()-ROW($H$573))), 0, IF(COLUMN() = (COLUMN($H$573) + (ROW()-ROW($H$573))), INDEX($H$555:$Q$555,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86">
        <f t="shared" si="34"/>
        <v>0</v>
      </c>
      <c r="N574" s="186">
        <f t="shared" si="34"/>
        <v>0</v>
      </c>
      <c r="O574" s="186">
        <f t="shared" si="34"/>
        <v>0</v>
      </c>
      <c r="P574" s="186">
        <f t="shared" si="34"/>
        <v>0</v>
      </c>
      <c r="Q574" s="186">
        <f t="shared" si="34"/>
        <v>0</v>
      </c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Q575" si="35">IF(COLUMN() &lt; (COLUMN($H$573) + (ROW()-ROW($H$573))), 0, IF(COLUMN() = (COLUMN($H$573) + (ROW()-ROW($H$573))), INDEX($H$555:$Q$555,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86">
        <f t="shared" si="35"/>
        <v>0</v>
      </c>
      <c r="N575" s="186">
        <f t="shared" si="35"/>
        <v>0</v>
      </c>
      <c r="O575" s="186">
        <f t="shared" si="35"/>
        <v>0</v>
      </c>
      <c r="P575" s="186">
        <f t="shared" si="35"/>
        <v>0</v>
      </c>
      <c r="Q575" s="186">
        <f t="shared" si="35"/>
        <v>0</v>
      </c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Q576" si="36">IF(COLUMN() &lt; (COLUMN($H$573) + (ROW()-ROW($H$573))), 0, IF(COLUMN() = (COLUMN($H$573) + (ROW()-ROW($H$573))), INDEX($H$555:$Q$555,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86">
        <f t="shared" si="36"/>
        <v>0</v>
      </c>
      <c r="N576" s="186">
        <f t="shared" si="36"/>
        <v>0</v>
      </c>
      <c r="O576" s="186">
        <f t="shared" si="36"/>
        <v>0</v>
      </c>
      <c r="P576" s="186">
        <f t="shared" si="36"/>
        <v>0</v>
      </c>
      <c r="Q576" s="186">
        <f t="shared" si="36"/>
        <v>0</v>
      </c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Q577" si="37">IF(COLUMN() &lt; (COLUMN($H$573) + (ROW()-ROW($H$573))), 0, IF(COLUMN() = (COLUMN($H$573) + (ROW()-ROW($H$573))), INDEX($H$555:$Q$555,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86">
        <f t="shared" si="37"/>
        <v>0</v>
      </c>
      <c r="N577" s="186">
        <f t="shared" si="37"/>
        <v>0</v>
      </c>
      <c r="O577" s="186">
        <f t="shared" si="37"/>
        <v>0</v>
      </c>
      <c r="P577" s="186">
        <f t="shared" si="37"/>
        <v>0</v>
      </c>
      <c r="Q577" s="186">
        <f t="shared" si="37"/>
        <v>0</v>
      </c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Q578" si="38">IF(COLUMN() &lt; (COLUMN($H$573) + (ROW()-ROW($H$573))), 0, IF(COLUMN() = (COLUMN($H$573) + (ROW()-ROW($H$573))), INDEX($H$555:$Q$555,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86">
        <f t="shared" si="38"/>
        <v>0</v>
      </c>
      <c r="N578" s="186">
        <f t="shared" si="38"/>
        <v>0</v>
      </c>
      <c r="O578" s="186">
        <f t="shared" si="38"/>
        <v>0</v>
      </c>
      <c r="P578" s="186">
        <f t="shared" si="38"/>
        <v>0</v>
      </c>
      <c r="Q578" s="186">
        <f t="shared" si="38"/>
        <v>0</v>
      </c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Q579" si="39">IF(COLUMN() &lt; (COLUMN($H$573) + (ROW()-ROW($H$573))), 0, IF(COLUMN() = (COLUMN($H$573) + (ROW()-ROW($H$573))), INDEX($H$555:$Q$555,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86">
        <f t="shared" si="39"/>
        <v>0</v>
      </c>
      <c r="N579" s="186">
        <f t="shared" si="39"/>
        <v>0</v>
      </c>
      <c r="O579" s="186">
        <f t="shared" si="39"/>
        <v>0</v>
      </c>
      <c r="P579" s="186">
        <f t="shared" si="39"/>
        <v>0</v>
      </c>
      <c r="Q579" s="186">
        <f t="shared" si="39"/>
        <v>0</v>
      </c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Q580" si="40">IF(COLUMN() &lt; (COLUMN($H$573) + (ROW()-ROW($H$573))), 0, IF(COLUMN() = (COLUMN($H$573) + (ROW()-ROW($H$573))), INDEX($H$555:$Q$555,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86">
        <f t="shared" si="40"/>
        <v>0</v>
      </c>
      <c r="N580" s="186">
        <f t="shared" si="40"/>
        <v>0</v>
      </c>
      <c r="O580" s="186">
        <f t="shared" si="40"/>
        <v>0</v>
      </c>
      <c r="P580" s="186">
        <f t="shared" si="40"/>
        <v>0</v>
      </c>
      <c r="Q580" s="186">
        <f t="shared" si="40"/>
        <v>0</v>
      </c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Q581" si="41">IF(COLUMN() &lt; (COLUMN($H$573) + (ROW()-ROW($H$573))), 0, IF(COLUMN() = (COLUMN($H$573) + (ROW()-ROW($H$573))), INDEX($H$555:$Q$555,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86">
        <f t="shared" si="41"/>
        <v>0</v>
      </c>
      <c r="N581" s="186">
        <f t="shared" si="41"/>
        <v>0</v>
      </c>
      <c r="O581" s="186">
        <f t="shared" si="41"/>
        <v>0</v>
      </c>
      <c r="P581" s="186">
        <f t="shared" si="41"/>
        <v>0</v>
      </c>
      <c r="Q581" s="186">
        <f t="shared" si="41"/>
        <v>0</v>
      </c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Q582" si="42">IF(COLUMN() &lt; (COLUMN($H$573) + (ROW()-ROW($H$573))), 0, IF(COLUMN() = (COLUMN($H$573) + (ROW()-ROW($H$573))), INDEX($H$555:$Q$555,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86">
        <f t="shared" si="42"/>
        <v>0</v>
      </c>
      <c r="N582" s="186">
        <f t="shared" si="42"/>
        <v>0</v>
      </c>
      <c r="O582" s="186">
        <f t="shared" si="42"/>
        <v>0</v>
      </c>
      <c r="P582" s="186">
        <f t="shared" si="42"/>
        <v>0</v>
      </c>
      <c r="Q582" s="186">
        <f t="shared" si="42"/>
        <v>0</v>
      </c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Q583" si="43">IF(COLUMN() &lt; (COLUMN($H$573) + (ROW()-ROW($H$573))), 0, IF(COLUMN() = (COLUMN($H$573) + (ROW()-ROW($H$573))), INDEX($H$555:$Q$555,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86">
        <f t="shared" si="43"/>
        <v>0</v>
      </c>
      <c r="N583" s="186">
        <f t="shared" si="43"/>
        <v>0</v>
      </c>
      <c r="O583" s="186">
        <f t="shared" si="43"/>
        <v>0</v>
      </c>
      <c r="P583" s="186">
        <f t="shared" si="43"/>
        <v>0</v>
      </c>
      <c r="Q583" s="186">
        <f t="shared" si="43"/>
        <v>0</v>
      </c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Q584" si="44">IF(COLUMN() &lt; (COLUMN($H$573) + (ROW()-ROW($H$573))), 0, IF(COLUMN() = (COLUMN($H$573) + (ROW()-ROW($H$573))), INDEX($H$555:$Q$555,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86">
        <f t="shared" si="44"/>
        <v>0</v>
      </c>
      <c r="N584" s="186">
        <f t="shared" si="44"/>
        <v>0</v>
      </c>
      <c r="O584" s="186">
        <f t="shared" si="44"/>
        <v>0</v>
      </c>
      <c r="P584" s="186">
        <f t="shared" si="44"/>
        <v>0</v>
      </c>
      <c r="Q584" s="186">
        <f t="shared" si="44"/>
        <v>0</v>
      </c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55"/>
      <c r="N585" s="155"/>
      <c r="O585" s="155"/>
      <c r="P585" s="155"/>
      <c r="Q585" s="155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Q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70">
        <f t="shared" si="45"/>
        <v>0</v>
      </c>
      <c r="N587" s="170">
        <f t="shared" si="45"/>
        <v>0</v>
      </c>
      <c r="O587" s="170">
        <f t="shared" si="45"/>
        <v>0</v>
      </c>
      <c r="P587" s="170">
        <f t="shared" si="45"/>
        <v>0</v>
      </c>
      <c r="Q587" s="170">
        <f t="shared" si="45"/>
        <v>0</v>
      </c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Q588" si="46">H434</f>
        <v>809100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84" t="str">
        <f t="shared" si="46"/>
        <v/>
      </c>
      <c r="N588" s="184" t="str">
        <f t="shared" si="46"/>
        <v/>
      </c>
      <c r="O588" s="184" t="str">
        <f t="shared" si="46"/>
        <v/>
      </c>
      <c r="P588" s="184" t="str">
        <f t="shared" si="46"/>
        <v/>
      </c>
      <c r="Q588" s="184" t="str">
        <f t="shared" si="46"/>
        <v/>
      </c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Q589" si="47">SUM(H587:H588)</f>
        <v>809100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84">
        <f t="shared" si="47"/>
        <v>0</v>
      </c>
      <c r="N589" s="184">
        <f t="shared" si="47"/>
        <v>0</v>
      </c>
      <c r="O589" s="184">
        <f t="shared" si="47"/>
        <v>0</v>
      </c>
      <c r="P589" s="184">
        <f t="shared" si="47"/>
        <v>0</v>
      </c>
      <c r="Q589" s="184">
        <f t="shared" si="47"/>
        <v>0</v>
      </c>
      <c r="R589" s="1"/>
      <c r="S589" s="1"/>
    </row>
    <row r="590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86"/>
      <c r="N590" s="186"/>
      <c r="O590" s="186"/>
      <c r="P590" s="186"/>
      <c r="Q590" s="186"/>
      <c r="R590" s="1"/>
      <c r="S590" s="1"/>
    </row>
    <row r="591" outlineLevel="1">
      <c r="A591" s="1"/>
      <c r="B591" s="1"/>
      <c r="C591" s="1"/>
      <c r="D591" s="1"/>
      <c r="E591" s="127"/>
      <c r="F591" s="13"/>
      <c r="G591" s="185"/>
      <c r="H591" s="186">
        <f t="shared" ref="H591:Q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86">
        <f t="shared" si="48"/>
        <v>5</v>
      </c>
      <c r="N591" s="186">
        <f t="shared" si="48"/>
        <v>4</v>
      </c>
      <c r="O591" s="186">
        <f t="shared" si="48"/>
        <v>3</v>
      </c>
      <c r="P591" s="186">
        <f t="shared" si="48"/>
        <v>2</v>
      </c>
      <c r="Q591" s="186">
        <f t="shared" si="48"/>
        <v>1</v>
      </c>
      <c r="R591" s="1"/>
      <c r="S591" s="1"/>
    </row>
    <row r="592" outlineLevel="1">
      <c r="A592" s="1"/>
      <c r="B592" s="1"/>
      <c r="C592" s="1"/>
      <c r="D592" s="1"/>
      <c r="E592" s="127"/>
      <c r="F592" s="13"/>
      <c r="G592" s="185"/>
      <c r="H592" s="186">
        <f t="shared" ref="H592:Q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86">
        <f t="shared" si="49"/>
        <v>6</v>
      </c>
      <c r="N592" s="186">
        <f t="shared" si="49"/>
        <v>5</v>
      </c>
      <c r="O592" s="186">
        <f t="shared" si="49"/>
        <v>4</v>
      </c>
      <c r="P592" s="186">
        <f t="shared" si="49"/>
        <v>3</v>
      </c>
      <c r="Q592" s="186">
        <f t="shared" si="49"/>
        <v>2</v>
      </c>
      <c r="R592" s="1"/>
      <c r="S592" s="1"/>
    </row>
    <row r="593" outlineLevel="1">
      <c r="A593" s="1"/>
      <c r="B593" s="1"/>
      <c r="C593" s="1"/>
      <c r="D593" s="1"/>
      <c r="E593" s="127"/>
      <c r="F593" s="13"/>
      <c r="G593" s="185"/>
      <c r="H593" s="186">
        <f t="shared" ref="H593:Q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86">
        <f t="shared" si="50"/>
        <v>7</v>
      </c>
      <c r="N593" s="186">
        <f t="shared" si="50"/>
        <v>6</v>
      </c>
      <c r="O593" s="186">
        <f t="shared" si="50"/>
        <v>5</v>
      </c>
      <c r="P593" s="186">
        <f t="shared" si="50"/>
        <v>4</v>
      </c>
      <c r="Q593" s="186">
        <f t="shared" si="50"/>
        <v>3</v>
      </c>
      <c r="R593" s="1"/>
      <c r="S593" s="1"/>
    </row>
    <row r="594" outlineLevel="1">
      <c r="A594" s="1"/>
      <c r="B594" s="1"/>
      <c r="C594" s="1"/>
      <c r="D594" s="1"/>
      <c r="E594" s="127"/>
      <c r="F594" s="13"/>
      <c r="G594" s="185"/>
      <c r="H594" s="186">
        <f t="shared" ref="H594:Q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86">
        <f t="shared" si="51"/>
        <v>8</v>
      </c>
      <c r="N594" s="186">
        <f t="shared" si="51"/>
        <v>7</v>
      </c>
      <c r="O594" s="186">
        <f t="shared" si="51"/>
        <v>6</v>
      </c>
      <c r="P594" s="186">
        <f t="shared" si="51"/>
        <v>5</v>
      </c>
      <c r="Q594" s="186">
        <f t="shared" si="51"/>
        <v>4</v>
      </c>
      <c r="R594" s="1"/>
      <c r="S594" s="1"/>
    </row>
    <row r="595" outlineLevel="1">
      <c r="A595" s="1"/>
      <c r="B595" s="1"/>
      <c r="C595" s="1"/>
      <c r="D595" s="1"/>
      <c r="E595" s="127"/>
      <c r="F595" s="13"/>
      <c r="G595" s="185"/>
      <c r="H595" s="186">
        <f t="shared" ref="H595:Q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86">
        <f t="shared" si="52"/>
        <v>9</v>
      </c>
      <c r="N595" s="186">
        <f t="shared" si="52"/>
        <v>8</v>
      </c>
      <c r="O595" s="186">
        <f t="shared" si="52"/>
        <v>7</v>
      </c>
      <c r="P595" s="186">
        <f t="shared" si="52"/>
        <v>6</v>
      </c>
      <c r="Q595" s="186">
        <f t="shared" si="52"/>
        <v>5</v>
      </c>
      <c r="R595" s="1"/>
      <c r="S595" s="1"/>
    </row>
    <row r="596" outlineLevel="1">
      <c r="A596" s="1"/>
      <c r="B596" s="1"/>
      <c r="C596" s="1"/>
      <c r="D596" s="1"/>
      <c r="E596" s="127"/>
      <c r="F596" s="13"/>
      <c r="G596" s="185"/>
      <c r="H596" s="186">
        <f t="shared" ref="H596:Q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86">
        <f t="shared" si="53"/>
        <v>10</v>
      </c>
      <c r="N596" s="186">
        <f t="shared" si="53"/>
        <v>9</v>
      </c>
      <c r="O596" s="186">
        <f t="shared" si="53"/>
        <v>8</v>
      </c>
      <c r="P596" s="186">
        <f t="shared" si="53"/>
        <v>7</v>
      </c>
      <c r="Q596" s="186">
        <f t="shared" si="53"/>
        <v>6</v>
      </c>
      <c r="R596" s="1"/>
      <c r="S596" s="1"/>
    </row>
    <row r="597" outlineLevel="1">
      <c r="A597" s="1"/>
      <c r="B597" s="1"/>
      <c r="C597" s="1"/>
      <c r="D597" s="1"/>
      <c r="E597" s="127"/>
      <c r="F597" s="13"/>
      <c r="G597" s="185"/>
      <c r="H597" s="186">
        <f t="shared" ref="H597:Q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86">
        <f t="shared" si="54"/>
        <v>0</v>
      </c>
      <c r="N597" s="186">
        <f t="shared" si="54"/>
        <v>10</v>
      </c>
      <c r="O597" s="186">
        <f t="shared" si="54"/>
        <v>9</v>
      </c>
      <c r="P597" s="186">
        <f t="shared" si="54"/>
        <v>8</v>
      </c>
      <c r="Q597" s="186">
        <f t="shared" si="54"/>
        <v>7</v>
      </c>
      <c r="R597" s="1"/>
      <c r="S597" s="1"/>
    </row>
    <row r="598" outlineLevel="1">
      <c r="A598" s="1"/>
      <c r="B598" s="1"/>
      <c r="C598" s="1"/>
      <c r="D598" s="1"/>
      <c r="E598" s="127"/>
      <c r="F598" s="13"/>
      <c r="G598" s="185"/>
      <c r="H598" s="186">
        <f t="shared" ref="H598:Q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86">
        <f t="shared" si="55"/>
        <v>0</v>
      </c>
      <c r="N598" s="186">
        <f t="shared" si="55"/>
        <v>0</v>
      </c>
      <c r="O598" s="186">
        <f t="shared" si="55"/>
        <v>10</v>
      </c>
      <c r="P598" s="186">
        <f t="shared" si="55"/>
        <v>9</v>
      </c>
      <c r="Q598" s="186">
        <f t="shared" si="55"/>
        <v>8</v>
      </c>
      <c r="R598" s="1"/>
      <c r="S598" s="1"/>
    </row>
    <row r="599" outlineLevel="1">
      <c r="A599" s="1"/>
      <c r="B599" s="1"/>
      <c r="C599" s="1"/>
      <c r="D599" s="1"/>
      <c r="E599" s="127"/>
      <c r="F599" s="13"/>
      <c r="G599" s="185"/>
      <c r="H599" s="186">
        <f t="shared" ref="H599:Q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86">
        <f t="shared" si="56"/>
        <v>0</v>
      </c>
      <c r="N599" s="186">
        <f t="shared" si="56"/>
        <v>0</v>
      </c>
      <c r="O599" s="186">
        <f t="shared" si="56"/>
        <v>0</v>
      </c>
      <c r="P599" s="186">
        <f t="shared" si="56"/>
        <v>10</v>
      </c>
      <c r="Q599" s="186">
        <f t="shared" si="56"/>
        <v>9</v>
      </c>
      <c r="R599" s="1"/>
      <c r="S599" s="1"/>
    </row>
    <row r="600" outlineLevel="1">
      <c r="A600" s="1"/>
      <c r="B600" s="1"/>
      <c r="C600" s="1"/>
      <c r="D600" s="1"/>
      <c r="E600" s="127"/>
      <c r="F600" s="13"/>
      <c r="G600" s="185"/>
      <c r="H600" s="186">
        <f t="shared" ref="H600:Q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86">
        <f t="shared" si="57"/>
        <v>0</v>
      </c>
      <c r="N600" s="186">
        <f t="shared" si="57"/>
        <v>0</v>
      </c>
      <c r="O600" s="186">
        <f t="shared" si="57"/>
        <v>0</v>
      </c>
      <c r="P600" s="186">
        <f t="shared" si="57"/>
        <v>0</v>
      </c>
      <c r="Q600" s="186">
        <f t="shared" si="57"/>
        <v>10</v>
      </c>
      <c r="R600" s="1"/>
      <c r="S600" s="1"/>
    </row>
    <row r="601" outlineLevel="1">
      <c r="A601" s="1"/>
      <c r="B601" s="1"/>
      <c r="C601" s="1"/>
      <c r="D601" s="1"/>
      <c r="E601" s="127"/>
      <c r="F601" s="13"/>
      <c r="G601" s="185"/>
      <c r="H601" s="186">
        <f t="shared" ref="H601:Q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86">
        <f t="shared" si="58"/>
        <v>0</v>
      </c>
      <c r="N601" s="186">
        <f t="shared" si="58"/>
        <v>0</v>
      </c>
      <c r="O601" s="186">
        <f t="shared" si="58"/>
        <v>0</v>
      </c>
      <c r="P601" s="186">
        <f t="shared" si="58"/>
        <v>0</v>
      </c>
      <c r="Q601" s="186">
        <f t="shared" si="58"/>
        <v>0</v>
      </c>
      <c r="R601" s="1"/>
      <c r="S601" s="1"/>
    </row>
    <row r="602" outlineLevel="1">
      <c r="A602" s="1"/>
      <c r="B602" s="1"/>
      <c r="C602" s="1"/>
      <c r="D602" s="1"/>
      <c r="E602" s="127"/>
      <c r="F602" s="13"/>
      <c r="G602" s="185"/>
      <c r="H602" s="186">
        <f t="shared" ref="H602:Q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86">
        <f t="shared" si="59"/>
        <v>0</v>
      </c>
      <c r="N602" s="186">
        <f t="shared" si="59"/>
        <v>0</v>
      </c>
      <c r="O602" s="186">
        <f t="shared" si="59"/>
        <v>0</v>
      </c>
      <c r="P602" s="186">
        <f t="shared" si="59"/>
        <v>0</v>
      </c>
      <c r="Q602" s="186">
        <f t="shared" si="59"/>
        <v>0</v>
      </c>
      <c r="R602" s="1"/>
      <c r="S602" s="1"/>
    </row>
    <row r="603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55"/>
      <c r="N604" s="155"/>
      <c r="O604" s="155"/>
      <c r="P604" s="155"/>
      <c r="Q604" s="155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Q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84">
        <f t="shared" si="60"/>
        <v>0</v>
      </c>
      <c r="N605" s="184">
        <f t="shared" si="60"/>
        <v>0</v>
      </c>
      <c r="O605" s="184">
        <f t="shared" si="60"/>
        <v>0</v>
      </c>
      <c r="P605" s="184">
        <f t="shared" si="60"/>
        <v>0</v>
      </c>
      <c r="Q605" s="184">
        <f t="shared" si="60"/>
        <v>0</v>
      </c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Q606" si="61">SUM(H607:H618)</f>
        <v>809100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84">
        <f t="shared" si="61"/>
        <v>0</v>
      </c>
      <c r="N606" s="184">
        <f t="shared" si="61"/>
        <v>0</v>
      </c>
      <c r="O606" s="184">
        <f t="shared" si="61"/>
        <v>0</v>
      </c>
      <c r="P606" s="184">
        <f t="shared" si="61"/>
        <v>0</v>
      </c>
      <c r="Q606" s="184">
        <f t="shared" si="61"/>
        <v>0</v>
      </c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Q607" si="62">IF(COLUMN() &lt; (COLUMN($H$607) + (ROW()-ROW($H$607))), 0, IF(COLUMN() = (COLUMN($H$607) + (ROW()-ROW($H$607))), INDEX($H$589:$Q$589, 1, COLUMN()-COLUMN($H$589)+1), IF(H591=0, OFFSET(H607, 0, -$H$590) * $H$604, 0)))</f>
        <v>809100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86">
        <f t="shared" si="62"/>
        <v>0</v>
      </c>
      <c r="N607" s="186">
        <f t="shared" si="62"/>
        <v>0</v>
      </c>
      <c r="O607" s="186">
        <f t="shared" si="62"/>
        <v>0</v>
      </c>
      <c r="P607" s="186">
        <f t="shared" si="62"/>
        <v>0</v>
      </c>
      <c r="Q607" s="186">
        <f t="shared" si="62"/>
        <v>0</v>
      </c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Q608" si="63">IF(COLUMN() &lt; (COLUMN($H$607) + (ROW()-ROW($H$607))), 0, IF(COLUMN() = (COLUMN($H$607) + (ROW()-ROW($H$607))), INDEX($H$589:$Q$589,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86">
        <f t="shared" si="63"/>
        <v>0</v>
      </c>
      <c r="N608" s="186">
        <f t="shared" si="63"/>
        <v>0</v>
      </c>
      <c r="O608" s="186">
        <f t="shared" si="63"/>
        <v>0</v>
      </c>
      <c r="P608" s="186">
        <f t="shared" si="63"/>
        <v>0</v>
      </c>
      <c r="Q608" s="186">
        <f t="shared" si="63"/>
        <v>0</v>
      </c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Q609" si="64">IF(COLUMN() &lt; (COLUMN($H$607) + (ROW()-ROW($H$607))), 0, IF(COLUMN() = (COLUMN($H$607) + (ROW()-ROW($H$607))), INDEX($H$589:$Q$589,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86">
        <f t="shared" si="64"/>
        <v>0</v>
      </c>
      <c r="N609" s="186">
        <f t="shared" si="64"/>
        <v>0</v>
      </c>
      <c r="O609" s="186">
        <f t="shared" si="64"/>
        <v>0</v>
      </c>
      <c r="P609" s="186">
        <f t="shared" si="64"/>
        <v>0</v>
      </c>
      <c r="Q609" s="186">
        <f t="shared" si="64"/>
        <v>0</v>
      </c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Q610" si="65">IF(COLUMN() &lt; (COLUMN($H$607) + (ROW()-ROW($H$607))), 0, IF(COLUMN() = (COLUMN($H$607) + (ROW()-ROW($H$607))), INDEX($H$589:$Q$589,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86">
        <f t="shared" si="65"/>
        <v>0</v>
      </c>
      <c r="N610" s="186">
        <f t="shared" si="65"/>
        <v>0</v>
      </c>
      <c r="O610" s="186">
        <f t="shared" si="65"/>
        <v>0</v>
      </c>
      <c r="P610" s="186">
        <f t="shared" si="65"/>
        <v>0</v>
      </c>
      <c r="Q610" s="186">
        <f t="shared" si="65"/>
        <v>0</v>
      </c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Q611" si="66">IF(COLUMN() &lt; (COLUMN($H$607) + (ROW()-ROW($H$607))), 0, IF(COLUMN() = (COLUMN($H$607) + (ROW()-ROW($H$607))), INDEX($H$589:$Q$589,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86">
        <f t="shared" si="66"/>
        <v>0</v>
      </c>
      <c r="N611" s="186">
        <f t="shared" si="66"/>
        <v>0</v>
      </c>
      <c r="O611" s="186">
        <f t="shared" si="66"/>
        <v>0</v>
      </c>
      <c r="P611" s="186">
        <f t="shared" si="66"/>
        <v>0</v>
      </c>
      <c r="Q611" s="186">
        <f t="shared" si="66"/>
        <v>0</v>
      </c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Q612" si="67">IF(COLUMN() &lt; (COLUMN($H$607) + (ROW()-ROW($H$607))), 0, IF(COLUMN() = (COLUMN($H$607) + (ROW()-ROW($H$607))), INDEX($H$589:$Q$589,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86">
        <f t="shared" si="67"/>
        <v>0</v>
      </c>
      <c r="N612" s="186">
        <f t="shared" si="67"/>
        <v>0</v>
      </c>
      <c r="O612" s="186">
        <f t="shared" si="67"/>
        <v>0</v>
      </c>
      <c r="P612" s="186">
        <f t="shared" si="67"/>
        <v>0</v>
      </c>
      <c r="Q612" s="186">
        <f t="shared" si="67"/>
        <v>0</v>
      </c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Q613" si="68">IF(COLUMN() &lt; (COLUMN($H$607) + (ROW()-ROW($H$607))), 0, IF(COLUMN() = (COLUMN($H$607) + (ROW()-ROW($H$607))), INDEX($H$589:$Q$589,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86">
        <f t="shared" si="68"/>
        <v>0</v>
      </c>
      <c r="N613" s="186">
        <f t="shared" si="68"/>
        <v>0</v>
      </c>
      <c r="O613" s="186">
        <f t="shared" si="68"/>
        <v>0</v>
      </c>
      <c r="P613" s="186">
        <f t="shared" si="68"/>
        <v>0</v>
      </c>
      <c r="Q613" s="186">
        <f t="shared" si="68"/>
        <v>0</v>
      </c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Q614" si="69">IF(COLUMN() &lt; (COLUMN($H$607) + (ROW()-ROW($H$607))), 0, IF(COLUMN() = (COLUMN($H$607) + (ROW()-ROW($H$607))), INDEX($H$589:$Q$589,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86">
        <f t="shared" si="69"/>
        <v>0</v>
      </c>
      <c r="N614" s="186">
        <f t="shared" si="69"/>
        <v>0</v>
      </c>
      <c r="O614" s="186">
        <f t="shared" si="69"/>
        <v>0</v>
      </c>
      <c r="P614" s="186">
        <f t="shared" si="69"/>
        <v>0</v>
      </c>
      <c r="Q614" s="186">
        <f t="shared" si="69"/>
        <v>0</v>
      </c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Q615" si="70">IF(COLUMN() &lt; (COLUMN($H$607) + (ROW()-ROW($H$607))), 0, IF(COLUMN() = (COLUMN($H$607) + (ROW()-ROW($H$607))), INDEX($H$589:$Q$589,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86">
        <f t="shared" si="70"/>
        <v>0</v>
      </c>
      <c r="N615" s="186">
        <f t="shared" si="70"/>
        <v>0</v>
      </c>
      <c r="O615" s="186">
        <f t="shared" si="70"/>
        <v>0</v>
      </c>
      <c r="P615" s="186">
        <f t="shared" si="70"/>
        <v>0</v>
      </c>
      <c r="Q615" s="186">
        <f t="shared" si="70"/>
        <v>0</v>
      </c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Q616" si="71">IF(COLUMN() &lt; (COLUMN($H$607) + (ROW()-ROW($H$607))), 0, IF(COLUMN() = (COLUMN($H$607) + (ROW()-ROW($H$607))), INDEX($H$589:$Q$589,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86">
        <f t="shared" si="71"/>
        <v>0</v>
      </c>
      <c r="N616" s="186">
        <f t="shared" si="71"/>
        <v>0</v>
      </c>
      <c r="O616" s="186">
        <f t="shared" si="71"/>
        <v>0</v>
      </c>
      <c r="P616" s="186">
        <f t="shared" si="71"/>
        <v>0</v>
      </c>
      <c r="Q616" s="186">
        <f t="shared" si="71"/>
        <v>0</v>
      </c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Q617" si="72">IF(COLUMN() &lt; (COLUMN($H$607) + (ROW()-ROW($H$607))), 0, IF(COLUMN() = (COLUMN($H$607) + (ROW()-ROW($H$607))), INDEX($H$589:$Q$589,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86">
        <f t="shared" si="72"/>
        <v>0</v>
      </c>
      <c r="N617" s="186">
        <f t="shared" si="72"/>
        <v>0</v>
      </c>
      <c r="O617" s="186">
        <f t="shared" si="72"/>
        <v>0</v>
      </c>
      <c r="P617" s="186">
        <f t="shared" si="72"/>
        <v>0</v>
      </c>
      <c r="Q617" s="186">
        <f t="shared" si="72"/>
        <v>0</v>
      </c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Q618" si="73">IF(COLUMN() &lt; (COLUMN($H$607) + (ROW()-ROW($H$607))), 0, IF(COLUMN() = (COLUMN($H$607) + (ROW()-ROW($H$607))), INDEX($H$589:$Q$589,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86">
        <f t="shared" si="73"/>
        <v>0</v>
      </c>
      <c r="N618" s="186">
        <f t="shared" si="73"/>
        <v>0</v>
      </c>
      <c r="O618" s="186">
        <f t="shared" si="73"/>
        <v>0</v>
      </c>
      <c r="P618" s="186">
        <f t="shared" si="73"/>
        <v>0</v>
      </c>
      <c r="Q618" s="186">
        <f t="shared" si="73"/>
        <v>0</v>
      </c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Q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86">
        <f t="shared" si="74"/>
        <v>3</v>
      </c>
      <c r="N621" s="186">
        <f t="shared" si="74"/>
        <v>3</v>
      </c>
      <c r="O621" s="186">
        <f t="shared" si="74"/>
        <v>3</v>
      </c>
      <c r="P621" s="186">
        <f t="shared" si="74"/>
        <v>3</v>
      </c>
      <c r="Q621" s="186">
        <f t="shared" si="74"/>
        <v>3</v>
      </c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Q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84">
        <f t="shared" si="75"/>
        <v>7247.295</v>
      </c>
      <c r="N622" s="184">
        <f t="shared" si="75"/>
        <v>7972.0245</v>
      </c>
      <c r="O622" s="184">
        <f t="shared" si="75"/>
        <v>8769.22695</v>
      </c>
      <c r="P622" s="184">
        <f t="shared" si="75"/>
        <v>9646.149645</v>
      </c>
      <c r="Q622" s="184">
        <f t="shared" si="75"/>
        <v>10610.76461</v>
      </c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55">
        <v>1.1</v>
      </c>
      <c r="N623" s="155">
        <v>1.1</v>
      </c>
      <c r="O623" s="155">
        <v>1.1</v>
      </c>
      <c r="P623" s="155">
        <v>1.1</v>
      </c>
      <c r="Q623" s="155">
        <v>1.1</v>
      </c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Q624" si="76">H621*H622</f>
        <v>13500</v>
      </c>
      <c r="I624" s="184">
        <f t="shared" si="76"/>
        <v>14850</v>
      </c>
      <c r="J624" s="184">
        <f t="shared" si="76"/>
        <v>16335</v>
      </c>
      <c r="K624" s="184">
        <f t="shared" si="76"/>
        <v>17968.5</v>
      </c>
      <c r="L624" s="184">
        <f t="shared" si="76"/>
        <v>19765.35</v>
      </c>
      <c r="M624" s="184">
        <f t="shared" si="76"/>
        <v>21741.885</v>
      </c>
      <c r="N624" s="184">
        <f t="shared" si="76"/>
        <v>23916.0735</v>
      </c>
      <c r="O624" s="184">
        <f t="shared" si="76"/>
        <v>26307.68085</v>
      </c>
      <c r="P624" s="184">
        <f t="shared" si="76"/>
        <v>28938.44894</v>
      </c>
      <c r="Q624" s="184">
        <f t="shared" si="76"/>
        <v>31832.29383</v>
      </c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63"/>
      <c r="N625" s="163"/>
      <c r="O625" s="163"/>
      <c r="P625" s="163"/>
      <c r="Q625" s="163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Q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16000</v>
      </c>
      <c r="K628" s="178">
        <f t="shared" si="77"/>
        <v>0</v>
      </c>
      <c r="L628" s="178">
        <f t="shared" si="77"/>
        <v>0</v>
      </c>
      <c r="M628" s="178">
        <f t="shared" si="77"/>
        <v>48000</v>
      </c>
      <c r="N628" s="178">
        <f t="shared" si="77"/>
        <v>0</v>
      </c>
      <c r="O628" s="178">
        <f t="shared" si="77"/>
        <v>0</v>
      </c>
      <c r="P628" s="178">
        <f t="shared" si="77"/>
        <v>40000</v>
      </c>
      <c r="Q628" s="178">
        <f t="shared" si="77"/>
        <v>0</v>
      </c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Q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84" t="str">
        <f t="shared" si="78"/>
        <v/>
      </c>
      <c r="N629" s="184" t="str">
        <f t="shared" si="78"/>
        <v/>
      </c>
      <c r="O629" s="184" t="str">
        <f t="shared" si="78"/>
        <v/>
      </c>
      <c r="P629" s="184" t="str">
        <f t="shared" si="78"/>
        <v/>
      </c>
      <c r="Q629" s="184" t="str">
        <f t="shared" si="78"/>
        <v/>
      </c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Q630" si="79">SUM(H628:H629)</f>
        <v>0</v>
      </c>
      <c r="I630" s="184">
        <f t="shared" si="79"/>
        <v>0</v>
      </c>
      <c r="J630" s="184">
        <f t="shared" si="79"/>
        <v>16000</v>
      </c>
      <c r="K630" s="184">
        <f t="shared" si="79"/>
        <v>0</v>
      </c>
      <c r="L630" s="184">
        <f t="shared" si="79"/>
        <v>0</v>
      </c>
      <c r="M630" s="184">
        <f t="shared" si="79"/>
        <v>48000</v>
      </c>
      <c r="N630" s="184">
        <f t="shared" si="79"/>
        <v>0</v>
      </c>
      <c r="O630" s="184">
        <f t="shared" si="79"/>
        <v>0</v>
      </c>
      <c r="P630" s="184">
        <f t="shared" si="79"/>
        <v>40000</v>
      </c>
      <c r="Q630" s="184">
        <f t="shared" si="79"/>
        <v>0</v>
      </c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86"/>
      <c r="N631" s="186"/>
      <c r="O631" s="186"/>
      <c r="P631" s="186"/>
      <c r="Q631" s="186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Q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86">
        <f t="shared" si="80"/>
        <v>1</v>
      </c>
      <c r="N632" s="186">
        <f t="shared" si="80"/>
        <v>0</v>
      </c>
      <c r="O632" s="186">
        <f t="shared" si="80"/>
        <v>1</v>
      </c>
      <c r="P632" s="186">
        <f t="shared" si="80"/>
        <v>0</v>
      </c>
      <c r="Q632" s="186">
        <f t="shared" si="80"/>
        <v>1</v>
      </c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Q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86">
        <f t="shared" si="81"/>
        <v>0</v>
      </c>
      <c r="N633" s="186">
        <f t="shared" si="81"/>
        <v>1</v>
      </c>
      <c r="O633" s="186">
        <f t="shared" si="81"/>
        <v>0</v>
      </c>
      <c r="P633" s="186">
        <f t="shared" si="81"/>
        <v>1</v>
      </c>
      <c r="Q633" s="186">
        <f t="shared" si="81"/>
        <v>0</v>
      </c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Q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86">
        <f t="shared" si="82"/>
        <v>1</v>
      </c>
      <c r="N634" s="186">
        <f t="shared" si="82"/>
        <v>0</v>
      </c>
      <c r="O634" s="186">
        <f t="shared" si="82"/>
        <v>1</v>
      </c>
      <c r="P634" s="186">
        <f t="shared" si="82"/>
        <v>0</v>
      </c>
      <c r="Q634" s="186">
        <f t="shared" si="82"/>
        <v>1</v>
      </c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Q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86">
        <f t="shared" si="83"/>
        <v>0</v>
      </c>
      <c r="N635" s="186">
        <f t="shared" si="83"/>
        <v>1</v>
      </c>
      <c r="O635" s="186">
        <f t="shared" si="83"/>
        <v>0</v>
      </c>
      <c r="P635" s="186">
        <f t="shared" si="83"/>
        <v>1</v>
      </c>
      <c r="Q635" s="186">
        <f t="shared" si="83"/>
        <v>0</v>
      </c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Q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86">
        <f t="shared" si="84"/>
        <v>1</v>
      </c>
      <c r="N636" s="186">
        <f t="shared" si="84"/>
        <v>0</v>
      </c>
      <c r="O636" s="186">
        <f t="shared" si="84"/>
        <v>1</v>
      </c>
      <c r="P636" s="186">
        <f t="shared" si="84"/>
        <v>0</v>
      </c>
      <c r="Q636" s="186">
        <f t="shared" si="84"/>
        <v>1</v>
      </c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Q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86">
        <f t="shared" si="85"/>
        <v>2</v>
      </c>
      <c r="N637" s="186">
        <f t="shared" si="85"/>
        <v>1</v>
      </c>
      <c r="O637" s="186">
        <f t="shared" si="85"/>
        <v>0</v>
      </c>
      <c r="P637" s="186">
        <f t="shared" si="85"/>
        <v>1</v>
      </c>
      <c r="Q637" s="186">
        <f t="shared" si="85"/>
        <v>0</v>
      </c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Q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86">
        <f t="shared" si="86"/>
        <v>0</v>
      </c>
      <c r="N638" s="186">
        <f t="shared" si="86"/>
        <v>2</v>
      </c>
      <c r="O638" s="186">
        <f t="shared" si="86"/>
        <v>1</v>
      </c>
      <c r="P638" s="186">
        <f t="shared" si="86"/>
        <v>0</v>
      </c>
      <c r="Q638" s="186">
        <f t="shared" si="86"/>
        <v>1</v>
      </c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Q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86">
        <f t="shared" si="87"/>
        <v>0</v>
      </c>
      <c r="N639" s="186">
        <f t="shared" si="87"/>
        <v>0</v>
      </c>
      <c r="O639" s="186">
        <f t="shared" si="87"/>
        <v>2</v>
      </c>
      <c r="P639" s="186">
        <f t="shared" si="87"/>
        <v>1</v>
      </c>
      <c r="Q639" s="186">
        <f t="shared" si="87"/>
        <v>0</v>
      </c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Q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86">
        <f t="shared" si="88"/>
        <v>0</v>
      </c>
      <c r="N640" s="186">
        <f t="shared" si="88"/>
        <v>0</v>
      </c>
      <c r="O640" s="186">
        <f t="shared" si="88"/>
        <v>0</v>
      </c>
      <c r="P640" s="186">
        <f t="shared" si="88"/>
        <v>2</v>
      </c>
      <c r="Q640" s="186">
        <f t="shared" si="88"/>
        <v>1</v>
      </c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Q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86">
        <f t="shared" si="89"/>
        <v>0</v>
      </c>
      <c r="N641" s="186">
        <f t="shared" si="89"/>
        <v>0</v>
      </c>
      <c r="O641" s="186">
        <f t="shared" si="89"/>
        <v>0</v>
      </c>
      <c r="P641" s="186">
        <f t="shared" si="89"/>
        <v>0</v>
      </c>
      <c r="Q641" s="186">
        <f t="shared" si="89"/>
        <v>2</v>
      </c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Q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86">
        <f t="shared" si="90"/>
        <v>0</v>
      </c>
      <c r="N642" s="186">
        <f t="shared" si="90"/>
        <v>0</v>
      </c>
      <c r="O642" s="186">
        <f t="shared" si="90"/>
        <v>0</v>
      </c>
      <c r="P642" s="186">
        <f t="shared" si="90"/>
        <v>0</v>
      </c>
      <c r="Q642" s="186">
        <f t="shared" si="90"/>
        <v>0</v>
      </c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Q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86">
        <f t="shared" si="91"/>
        <v>0</v>
      </c>
      <c r="N643" s="186">
        <f t="shared" si="91"/>
        <v>0</v>
      </c>
      <c r="O643" s="186">
        <f t="shared" si="91"/>
        <v>0</v>
      </c>
      <c r="P643" s="186">
        <f t="shared" si="91"/>
        <v>0</v>
      </c>
      <c r="Q643" s="186">
        <f t="shared" si="91"/>
        <v>0</v>
      </c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55">
        <v>0.8</v>
      </c>
      <c r="N645" s="155">
        <v>0.8</v>
      </c>
      <c r="O645" s="155">
        <v>0.8</v>
      </c>
      <c r="P645" s="155">
        <v>0.8</v>
      </c>
      <c r="Q645" s="155">
        <v>0.8</v>
      </c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Q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12800</v>
      </c>
      <c r="M646" s="184">
        <f t="shared" si="92"/>
        <v>0</v>
      </c>
      <c r="N646" s="184">
        <f t="shared" si="92"/>
        <v>10240</v>
      </c>
      <c r="O646" s="184">
        <f t="shared" si="92"/>
        <v>38400</v>
      </c>
      <c r="P646" s="184">
        <f t="shared" si="92"/>
        <v>8192</v>
      </c>
      <c r="Q646" s="184">
        <f t="shared" si="92"/>
        <v>30720</v>
      </c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Q647" si="93">SUM(H648:H659)</f>
        <v>0</v>
      </c>
      <c r="I647" s="184">
        <f t="shared" si="93"/>
        <v>0</v>
      </c>
      <c r="J647" s="184">
        <f t="shared" si="93"/>
        <v>16000</v>
      </c>
      <c r="K647" s="184">
        <f t="shared" si="93"/>
        <v>0</v>
      </c>
      <c r="L647" s="184">
        <f t="shared" si="93"/>
        <v>12800</v>
      </c>
      <c r="M647" s="184">
        <f t="shared" si="93"/>
        <v>48000</v>
      </c>
      <c r="N647" s="184">
        <f t="shared" si="93"/>
        <v>10240</v>
      </c>
      <c r="O647" s="184">
        <f t="shared" si="93"/>
        <v>38400</v>
      </c>
      <c r="P647" s="184">
        <f t="shared" si="93"/>
        <v>48192</v>
      </c>
      <c r="Q647" s="184">
        <f t="shared" si="93"/>
        <v>30720</v>
      </c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Q648" si="94">IF(COLUMN() &lt; (COLUMN($H$648) + (ROW()-ROW($H$648))), 0, IF(COLUMN() = (COLUMN($H$648) + (ROW()-ROW($H$648))), INDEX($H$630:$Q$630,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86">
        <f t="shared" si="94"/>
        <v>0</v>
      </c>
      <c r="N648" s="186">
        <f t="shared" si="94"/>
        <v>0</v>
      </c>
      <c r="O648" s="186">
        <f t="shared" si="94"/>
        <v>0</v>
      </c>
      <c r="P648" s="186">
        <f t="shared" si="94"/>
        <v>0</v>
      </c>
      <c r="Q648" s="186">
        <f t="shared" si="94"/>
        <v>0</v>
      </c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Q649" si="95">IF(COLUMN() &lt; (COLUMN($H$648) + (ROW()-ROW($H$648))), 0, IF(COLUMN() = (COLUMN($H$648) + (ROW()-ROW($H$648))), INDEX($H$630:$Q$630,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86">
        <f t="shared" si="95"/>
        <v>0</v>
      </c>
      <c r="N649" s="186">
        <f t="shared" si="95"/>
        <v>0</v>
      </c>
      <c r="O649" s="186">
        <f t="shared" si="95"/>
        <v>0</v>
      </c>
      <c r="P649" s="186">
        <f t="shared" si="95"/>
        <v>0</v>
      </c>
      <c r="Q649" s="186">
        <f t="shared" si="95"/>
        <v>0</v>
      </c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Q650" si="96">IF(COLUMN() &lt; (COLUMN($H$648) + (ROW()-ROW($H$648))), 0, IF(COLUMN() = (COLUMN($H$648) + (ROW()-ROW($H$648))), INDEX($H$630:$Q$630, 1, COLUMN()-COLUMN($H$630)+1), IF(H634=0, OFFSET(H650, 0, -$H$631) * $H$645, 0)))</f>
        <v>0</v>
      </c>
      <c r="I650" s="186">
        <f t="shared" si="96"/>
        <v>0</v>
      </c>
      <c r="J650" s="186">
        <f t="shared" si="96"/>
        <v>16000</v>
      </c>
      <c r="K650" s="186">
        <f t="shared" si="96"/>
        <v>0</v>
      </c>
      <c r="L650" s="186">
        <f t="shared" si="96"/>
        <v>12800</v>
      </c>
      <c r="M650" s="186">
        <f t="shared" si="96"/>
        <v>0</v>
      </c>
      <c r="N650" s="186">
        <f t="shared" si="96"/>
        <v>10240</v>
      </c>
      <c r="O650" s="186">
        <f t="shared" si="96"/>
        <v>0</v>
      </c>
      <c r="P650" s="186">
        <f t="shared" si="96"/>
        <v>8192</v>
      </c>
      <c r="Q650" s="186">
        <f t="shared" si="96"/>
        <v>0</v>
      </c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Q651" si="97">IF(COLUMN() &lt; (COLUMN($H$648) + (ROW()-ROW($H$648))), 0, IF(COLUMN() = (COLUMN($H$648) + (ROW()-ROW($H$648))), INDEX($H$630:$Q$630,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86">
        <f t="shared" si="97"/>
        <v>0</v>
      </c>
      <c r="N651" s="186">
        <f t="shared" si="97"/>
        <v>0</v>
      </c>
      <c r="O651" s="186">
        <f t="shared" si="97"/>
        <v>0</v>
      </c>
      <c r="P651" s="186">
        <f t="shared" si="97"/>
        <v>0</v>
      </c>
      <c r="Q651" s="186">
        <f t="shared" si="97"/>
        <v>0</v>
      </c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Q652" si="98">IF(COLUMN() &lt; (COLUMN($H$648) + (ROW()-ROW($H$648))), 0, IF(COLUMN() = (COLUMN($H$648) + (ROW()-ROW($H$648))), INDEX($H$630:$Q$630,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86">
        <f t="shared" si="98"/>
        <v>0</v>
      </c>
      <c r="N652" s="186">
        <f t="shared" si="98"/>
        <v>0</v>
      </c>
      <c r="O652" s="186">
        <f t="shared" si="98"/>
        <v>0</v>
      </c>
      <c r="P652" s="186">
        <f t="shared" si="98"/>
        <v>0</v>
      </c>
      <c r="Q652" s="186">
        <f t="shared" si="98"/>
        <v>0</v>
      </c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Q653" si="99">IF(COLUMN() &lt; (COLUMN($H$648) + (ROW()-ROW($H$648))), 0, IF(COLUMN() = (COLUMN($H$648) + (ROW()-ROW($H$648))), INDEX($H$630:$Q$630,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86">
        <f t="shared" si="99"/>
        <v>48000</v>
      </c>
      <c r="N653" s="186">
        <f t="shared" si="99"/>
        <v>0</v>
      </c>
      <c r="O653" s="186">
        <f t="shared" si="99"/>
        <v>38400</v>
      </c>
      <c r="P653" s="186">
        <f t="shared" si="99"/>
        <v>0</v>
      </c>
      <c r="Q653" s="186">
        <f t="shared" si="99"/>
        <v>30720</v>
      </c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Q654" si="100">IF(COLUMN() &lt; (COLUMN($H$648) + (ROW()-ROW($H$648))), 0, IF(COLUMN() = (COLUMN($H$648) + (ROW()-ROW($H$648))), INDEX($H$630:$Q$630,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86">
        <f t="shared" si="100"/>
        <v>0</v>
      </c>
      <c r="N654" s="186">
        <f t="shared" si="100"/>
        <v>0</v>
      </c>
      <c r="O654" s="186">
        <f t="shared" si="100"/>
        <v>0</v>
      </c>
      <c r="P654" s="186">
        <f t="shared" si="100"/>
        <v>0</v>
      </c>
      <c r="Q654" s="186">
        <f t="shared" si="100"/>
        <v>0</v>
      </c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Q655" si="101">IF(COLUMN() &lt; (COLUMN($H$648) + (ROW()-ROW($H$648))), 0, IF(COLUMN() = (COLUMN($H$648) + (ROW()-ROW($H$648))), INDEX($H$630:$Q$630,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86">
        <f t="shared" si="101"/>
        <v>0</v>
      </c>
      <c r="N655" s="186">
        <f t="shared" si="101"/>
        <v>0</v>
      </c>
      <c r="O655" s="186">
        <f t="shared" si="101"/>
        <v>0</v>
      </c>
      <c r="P655" s="186">
        <f t="shared" si="101"/>
        <v>0</v>
      </c>
      <c r="Q655" s="186">
        <f t="shared" si="101"/>
        <v>0</v>
      </c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Q656" si="102">IF(COLUMN() &lt; (COLUMN($H$648) + (ROW()-ROW($H$648))), 0, IF(COLUMN() = (COLUMN($H$648) + (ROW()-ROW($H$648))), INDEX($H$630:$Q$630,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86">
        <f t="shared" si="102"/>
        <v>0</v>
      </c>
      <c r="N656" s="186">
        <f t="shared" si="102"/>
        <v>0</v>
      </c>
      <c r="O656" s="186">
        <f t="shared" si="102"/>
        <v>0</v>
      </c>
      <c r="P656" s="186">
        <f t="shared" si="102"/>
        <v>40000</v>
      </c>
      <c r="Q656" s="186">
        <f t="shared" si="102"/>
        <v>0</v>
      </c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Q657" si="103">IF(COLUMN() &lt; (COLUMN($H$648) + (ROW()-ROW($H$648))), 0, IF(COLUMN() = (COLUMN($H$648) + (ROW()-ROW($H$648))), INDEX($H$630:$Q$630,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86">
        <f t="shared" si="103"/>
        <v>0</v>
      </c>
      <c r="N657" s="186">
        <f t="shared" si="103"/>
        <v>0</v>
      </c>
      <c r="O657" s="186">
        <f t="shared" si="103"/>
        <v>0</v>
      </c>
      <c r="P657" s="186">
        <f t="shared" si="103"/>
        <v>0</v>
      </c>
      <c r="Q657" s="186">
        <f t="shared" si="103"/>
        <v>0</v>
      </c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Q658" si="104">IF(COLUMN() &lt; (COLUMN($H$648) + (ROW()-ROW($H$648))), 0, IF(COLUMN() = (COLUMN($H$648) + (ROW()-ROW($H$648))), INDEX($H$630:$Q$630,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86">
        <f t="shared" si="104"/>
        <v>0</v>
      </c>
      <c r="N658" s="186">
        <f t="shared" si="104"/>
        <v>0</v>
      </c>
      <c r="O658" s="186">
        <f t="shared" si="104"/>
        <v>0</v>
      </c>
      <c r="P658" s="186">
        <f t="shared" si="104"/>
        <v>0</v>
      </c>
      <c r="Q658" s="186">
        <f t="shared" si="104"/>
        <v>0</v>
      </c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Q659" si="105">IF(COLUMN() &lt; (COLUMN($H$648) + (ROW()-ROW($H$648))), 0, IF(COLUMN() = (COLUMN($H$648) + (ROW()-ROW($H$648))), INDEX($H$630:$Q$630,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86">
        <f t="shared" si="105"/>
        <v>0</v>
      </c>
      <c r="N659" s="186">
        <f t="shared" si="105"/>
        <v>0</v>
      </c>
      <c r="O659" s="186">
        <f t="shared" si="105"/>
        <v>0</v>
      </c>
      <c r="P659" s="186">
        <f t="shared" si="105"/>
        <v>0</v>
      </c>
      <c r="Q659" s="186">
        <f t="shared" si="105"/>
        <v>0</v>
      </c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Q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72000</v>
      </c>
      <c r="K662" s="178">
        <f t="shared" si="106"/>
        <v>0</v>
      </c>
      <c r="L662" s="178">
        <f t="shared" si="106"/>
        <v>0</v>
      </c>
      <c r="M662" s="178">
        <f t="shared" si="106"/>
        <v>288000</v>
      </c>
      <c r="N662" s="178">
        <f t="shared" si="106"/>
        <v>0</v>
      </c>
      <c r="O662" s="178">
        <f t="shared" si="106"/>
        <v>0</v>
      </c>
      <c r="P662" s="178">
        <f t="shared" si="106"/>
        <v>288000</v>
      </c>
      <c r="Q662" s="178">
        <f t="shared" si="106"/>
        <v>0</v>
      </c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Q663" si="107">H460</f>
        <v>828630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84" t="str">
        <f t="shared" si="107"/>
        <v/>
      </c>
      <c r="N663" s="184" t="str">
        <f t="shared" si="107"/>
        <v/>
      </c>
      <c r="O663" s="184" t="str">
        <f t="shared" si="107"/>
        <v/>
      </c>
      <c r="P663" s="184" t="str">
        <f t="shared" si="107"/>
        <v/>
      </c>
      <c r="Q663" s="184" t="str">
        <f t="shared" si="107"/>
        <v/>
      </c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Q664" si="108">SUM(H662:H663)</f>
        <v>828630</v>
      </c>
      <c r="I664" s="184">
        <f t="shared" si="108"/>
        <v>0</v>
      </c>
      <c r="J664" s="184">
        <f t="shared" si="108"/>
        <v>72000</v>
      </c>
      <c r="K664" s="184">
        <f t="shared" si="108"/>
        <v>0</v>
      </c>
      <c r="L664" s="184">
        <f t="shared" si="108"/>
        <v>0</v>
      </c>
      <c r="M664" s="184">
        <f t="shared" si="108"/>
        <v>288000</v>
      </c>
      <c r="N664" s="184">
        <f t="shared" si="108"/>
        <v>0</v>
      </c>
      <c r="O664" s="184">
        <f t="shared" si="108"/>
        <v>0</v>
      </c>
      <c r="P664" s="184">
        <f t="shared" si="108"/>
        <v>288000</v>
      </c>
      <c r="Q664" s="184">
        <f t="shared" si="108"/>
        <v>0</v>
      </c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86"/>
      <c r="N665" s="186"/>
      <c r="O665" s="186"/>
      <c r="P665" s="186"/>
      <c r="Q665" s="186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Q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86">
        <f t="shared" si="109"/>
        <v>4</v>
      </c>
      <c r="N666" s="186">
        <f t="shared" si="109"/>
        <v>3</v>
      </c>
      <c r="O666" s="186">
        <f t="shared" si="109"/>
        <v>2</v>
      </c>
      <c r="P666" s="186">
        <f t="shared" si="109"/>
        <v>1</v>
      </c>
      <c r="Q666" s="186">
        <f t="shared" si="109"/>
        <v>0</v>
      </c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Q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86">
        <f t="shared" si="110"/>
        <v>5</v>
      </c>
      <c r="N667" s="186">
        <f t="shared" si="110"/>
        <v>4</v>
      </c>
      <c r="O667" s="186">
        <f t="shared" si="110"/>
        <v>3</v>
      </c>
      <c r="P667" s="186">
        <f t="shared" si="110"/>
        <v>2</v>
      </c>
      <c r="Q667" s="186">
        <f t="shared" si="110"/>
        <v>1</v>
      </c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Q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86">
        <f t="shared" si="111"/>
        <v>6</v>
      </c>
      <c r="N668" s="186">
        <f t="shared" si="111"/>
        <v>5</v>
      </c>
      <c r="O668" s="186">
        <f t="shared" si="111"/>
        <v>4</v>
      </c>
      <c r="P668" s="186">
        <f t="shared" si="111"/>
        <v>3</v>
      </c>
      <c r="Q668" s="186">
        <f t="shared" si="111"/>
        <v>2</v>
      </c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Q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86">
        <f t="shared" si="112"/>
        <v>7</v>
      </c>
      <c r="N669" s="186">
        <f t="shared" si="112"/>
        <v>6</v>
      </c>
      <c r="O669" s="186">
        <f t="shared" si="112"/>
        <v>5</v>
      </c>
      <c r="P669" s="186">
        <f t="shared" si="112"/>
        <v>4</v>
      </c>
      <c r="Q669" s="186">
        <f t="shared" si="112"/>
        <v>3</v>
      </c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Q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86">
        <f t="shared" si="113"/>
        <v>8</v>
      </c>
      <c r="N670" s="186">
        <f t="shared" si="113"/>
        <v>7</v>
      </c>
      <c r="O670" s="186">
        <f t="shared" si="113"/>
        <v>6</v>
      </c>
      <c r="P670" s="186">
        <f t="shared" si="113"/>
        <v>5</v>
      </c>
      <c r="Q670" s="186">
        <f t="shared" si="113"/>
        <v>4</v>
      </c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Q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86">
        <f t="shared" si="114"/>
        <v>9</v>
      </c>
      <c r="N671" s="186">
        <f t="shared" si="114"/>
        <v>8</v>
      </c>
      <c r="O671" s="186">
        <f t="shared" si="114"/>
        <v>7</v>
      </c>
      <c r="P671" s="186">
        <f t="shared" si="114"/>
        <v>6</v>
      </c>
      <c r="Q671" s="186">
        <f t="shared" si="114"/>
        <v>5</v>
      </c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Q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86">
        <f t="shared" si="115"/>
        <v>0</v>
      </c>
      <c r="N672" s="186">
        <f t="shared" si="115"/>
        <v>9</v>
      </c>
      <c r="O672" s="186">
        <f t="shared" si="115"/>
        <v>8</v>
      </c>
      <c r="P672" s="186">
        <f t="shared" si="115"/>
        <v>7</v>
      </c>
      <c r="Q672" s="186">
        <f t="shared" si="115"/>
        <v>6</v>
      </c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Q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86">
        <f t="shared" si="116"/>
        <v>0</v>
      </c>
      <c r="N673" s="186">
        <f t="shared" si="116"/>
        <v>0</v>
      </c>
      <c r="O673" s="186">
        <f t="shared" si="116"/>
        <v>9</v>
      </c>
      <c r="P673" s="186">
        <f t="shared" si="116"/>
        <v>8</v>
      </c>
      <c r="Q673" s="186">
        <f t="shared" si="116"/>
        <v>7</v>
      </c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Q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86">
        <f t="shared" si="117"/>
        <v>0</v>
      </c>
      <c r="N674" s="186">
        <f t="shared" si="117"/>
        <v>0</v>
      </c>
      <c r="O674" s="186">
        <f t="shared" si="117"/>
        <v>0</v>
      </c>
      <c r="P674" s="186">
        <f t="shared" si="117"/>
        <v>9</v>
      </c>
      <c r="Q674" s="186">
        <f t="shared" si="117"/>
        <v>8</v>
      </c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Q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86">
        <f t="shared" si="118"/>
        <v>0</v>
      </c>
      <c r="N675" s="186">
        <f t="shared" si="118"/>
        <v>0</v>
      </c>
      <c r="O675" s="186">
        <f t="shared" si="118"/>
        <v>0</v>
      </c>
      <c r="P675" s="186">
        <f t="shared" si="118"/>
        <v>0</v>
      </c>
      <c r="Q675" s="186">
        <f t="shared" si="118"/>
        <v>9</v>
      </c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Q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86">
        <f t="shared" si="119"/>
        <v>0</v>
      </c>
      <c r="N676" s="186">
        <f t="shared" si="119"/>
        <v>0</v>
      </c>
      <c r="O676" s="186">
        <f t="shared" si="119"/>
        <v>0</v>
      </c>
      <c r="P676" s="186">
        <f t="shared" si="119"/>
        <v>0</v>
      </c>
      <c r="Q676" s="186">
        <f t="shared" si="119"/>
        <v>0</v>
      </c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Q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86">
        <f t="shared" si="120"/>
        <v>0</v>
      </c>
      <c r="N677" s="186">
        <f t="shared" si="120"/>
        <v>0</v>
      </c>
      <c r="O677" s="186">
        <f t="shared" si="120"/>
        <v>0</v>
      </c>
      <c r="P677" s="186">
        <f t="shared" si="120"/>
        <v>0</v>
      </c>
      <c r="Q677" s="186">
        <f t="shared" si="120"/>
        <v>0</v>
      </c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55"/>
      <c r="N678" s="155"/>
      <c r="O678" s="155"/>
      <c r="P678" s="155"/>
      <c r="Q678" s="155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Q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84">
        <f t="shared" si="121"/>
        <v>0</v>
      </c>
      <c r="N679" s="184">
        <f t="shared" si="121"/>
        <v>0</v>
      </c>
      <c r="O679" s="184">
        <f t="shared" si="121"/>
        <v>0</v>
      </c>
      <c r="P679" s="184">
        <f t="shared" si="121"/>
        <v>0</v>
      </c>
      <c r="Q679" s="184">
        <f t="shared" si="121"/>
        <v>165726</v>
      </c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Q680" si="122">SUM(H681:H692)</f>
        <v>828630</v>
      </c>
      <c r="I680" s="184">
        <f t="shared" si="122"/>
        <v>0</v>
      </c>
      <c r="J680" s="184">
        <f t="shared" si="122"/>
        <v>72000</v>
      </c>
      <c r="K680" s="184">
        <f t="shared" si="122"/>
        <v>0</v>
      </c>
      <c r="L680" s="184">
        <f t="shared" si="122"/>
        <v>0</v>
      </c>
      <c r="M680" s="184">
        <f t="shared" si="122"/>
        <v>288000</v>
      </c>
      <c r="N680" s="184">
        <f t="shared" si="122"/>
        <v>0</v>
      </c>
      <c r="O680" s="184">
        <f t="shared" si="122"/>
        <v>0</v>
      </c>
      <c r="P680" s="184">
        <f t="shared" si="122"/>
        <v>288000</v>
      </c>
      <c r="Q680" s="184">
        <f t="shared" si="122"/>
        <v>165726</v>
      </c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Q681" si="123">IF(COLUMN() &lt; (COLUMN($H681) + (ROW()-ROW($H$681))), 0, IF(COLUMN() = (COLUMN($H$681) + (ROW()-ROW($H$681))), INDEX($H$664:$Q$664, 1, COLUMN()-COLUMN($H$664)+1), IF(H666=0, OFFSET(H681, 0, -$H$665) * $H$678, 0)))</f>
        <v>828630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86">
        <f t="shared" si="123"/>
        <v>0</v>
      </c>
      <c r="N681" s="186">
        <f t="shared" si="123"/>
        <v>0</v>
      </c>
      <c r="O681" s="186">
        <f t="shared" si="123"/>
        <v>0</v>
      </c>
      <c r="P681" s="186">
        <f t="shared" si="123"/>
        <v>0</v>
      </c>
      <c r="Q681" s="186">
        <f t="shared" si="123"/>
        <v>165726</v>
      </c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Q682" si="124">IF(COLUMN() &lt; (COLUMN($H682) + (ROW()-ROW($H$681))), 0, IF(COLUMN() = (COLUMN($H$681) + (ROW()-ROW($H$681))), INDEX($H$664:$Q$664,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86">
        <f t="shared" si="124"/>
        <v>0</v>
      </c>
      <c r="N682" s="186">
        <f t="shared" si="124"/>
        <v>0</v>
      </c>
      <c r="O682" s="186">
        <f t="shared" si="124"/>
        <v>0</v>
      </c>
      <c r="P682" s="186">
        <f t="shared" si="124"/>
        <v>0</v>
      </c>
      <c r="Q682" s="186">
        <f t="shared" si="124"/>
        <v>0</v>
      </c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Q683" si="125">IF(COLUMN() &lt; (COLUMN($H683) + (ROW()-ROW($H$681))), 0, IF(COLUMN() = (COLUMN($H$681) + (ROW()-ROW($H$681))), INDEX($H$664:$Q$664, 1, COLUMN()-COLUMN($H$664)+1), IF(H668=0, OFFSET(H683, 0, -$H$665) * $H$678, 0)))</f>
        <v>0</v>
      </c>
      <c r="I683" s="186">
        <f t="shared" si="125"/>
        <v>0</v>
      </c>
      <c r="J683" s="186">
        <f t="shared" si="125"/>
        <v>72000</v>
      </c>
      <c r="K683" s="186">
        <f t="shared" si="125"/>
        <v>0</v>
      </c>
      <c r="L683" s="186">
        <f t="shared" si="125"/>
        <v>0</v>
      </c>
      <c r="M683" s="186">
        <f t="shared" si="125"/>
        <v>0</v>
      </c>
      <c r="N683" s="186">
        <f t="shared" si="125"/>
        <v>0</v>
      </c>
      <c r="O683" s="186">
        <f t="shared" si="125"/>
        <v>0</v>
      </c>
      <c r="P683" s="186">
        <f t="shared" si="125"/>
        <v>0</v>
      </c>
      <c r="Q683" s="186">
        <f t="shared" si="125"/>
        <v>0</v>
      </c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Q684" si="126">IF(COLUMN() &lt; (COLUMN($H684) + (ROW()-ROW($H$681))), 0, IF(COLUMN() = (COLUMN($H$681) + (ROW()-ROW($H$681))), INDEX($H$664:$Q$664,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86">
        <f t="shared" si="126"/>
        <v>0</v>
      </c>
      <c r="N684" s="186">
        <f t="shared" si="126"/>
        <v>0</v>
      </c>
      <c r="O684" s="186">
        <f t="shared" si="126"/>
        <v>0</v>
      </c>
      <c r="P684" s="186">
        <f t="shared" si="126"/>
        <v>0</v>
      </c>
      <c r="Q684" s="186">
        <f t="shared" si="126"/>
        <v>0</v>
      </c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Q685" si="127">IF(COLUMN() &lt; (COLUMN($H685) + (ROW()-ROW($H$681))), 0, IF(COLUMN() = (COLUMN($H$681) + (ROW()-ROW($H$681))), INDEX($H$664:$Q$664,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86">
        <f t="shared" si="127"/>
        <v>0</v>
      </c>
      <c r="N685" s="186">
        <f t="shared" si="127"/>
        <v>0</v>
      </c>
      <c r="O685" s="186">
        <f t="shared" si="127"/>
        <v>0</v>
      </c>
      <c r="P685" s="186">
        <f t="shared" si="127"/>
        <v>0</v>
      </c>
      <c r="Q685" s="186">
        <f t="shared" si="127"/>
        <v>0</v>
      </c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Q686" si="128">IF(COLUMN() &lt; (COLUMN($H686) + (ROW()-ROW($H$681))), 0, IF(COLUMN() = (COLUMN($H$681) + (ROW()-ROW($H$681))), INDEX($H$664:$Q$664,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86">
        <f t="shared" si="128"/>
        <v>288000</v>
      </c>
      <c r="N686" s="186">
        <f t="shared" si="128"/>
        <v>0</v>
      </c>
      <c r="O686" s="186">
        <f t="shared" si="128"/>
        <v>0</v>
      </c>
      <c r="P686" s="186">
        <f t="shared" si="128"/>
        <v>0</v>
      </c>
      <c r="Q686" s="186">
        <f t="shared" si="128"/>
        <v>0</v>
      </c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Q687" si="129">IF(COLUMN() &lt; (COLUMN($H687) + (ROW()-ROW($H$681))), 0, IF(COLUMN() = (COLUMN($H$681) + (ROW()-ROW($H$681))), INDEX($H$664:$Q$664,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86">
        <f t="shared" si="129"/>
        <v>0</v>
      </c>
      <c r="N687" s="186">
        <f t="shared" si="129"/>
        <v>0</v>
      </c>
      <c r="O687" s="186">
        <f t="shared" si="129"/>
        <v>0</v>
      </c>
      <c r="P687" s="186">
        <f t="shared" si="129"/>
        <v>0</v>
      </c>
      <c r="Q687" s="186">
        <f t="shared" si="129"/>
        <v>0</v>
      </c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Q688" si="130">IF(COLUMN() &lt; (COLUMN($H688) + (ROW()-ROW($H$681))), 0, IF(COLUMN() = (COLUMN($H$681) + (ROW()-ROW($H$681))), INDEX($H$664:$Q$664,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86">
        <f t="shared" si="130"/>
        <v>0</v>
      </c>
      <c r="N688" s="186">
        <f t="shared" si="130"/>
        <v>0</v>
      </c>
      <c r="O688" s="186">
        <f t="shared" si="130"/>
        <v>0</v>
      </c>
      <c r="P688" s="186">
        <f t="shared" si="130"/>
        <v>0</v>
      </c>
      <c r="Q688" s="186">
        <f t="shared" si="130"/>
        <v>0</v>
      </c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Q689" si="131">IF(COLUMN() &lt; (COLUMN($H689) + (ROW()-ROW($H$681))), 0, IF(COLUMN() = (COLUMN($H$681) + (ROW()-ROW($H$681))), INDEX($H$664:$Q$664,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86">
        <f t="shared" si="131"/>
        <v>0</v>
      </c>
      <c r="N689" s="186">
        <f t="shared" si="131"/>
        <v>0</v>
      </c>
      <c r="O689" s="186">
        <f t="shared" si="131"/>
        <v>0</v>
      </c>
      <c r="P689" s="186">
        <f t="shared" si="131"/>
        <v>288000</v>
      </c>
      <c r="Q689" s="186">
        <f t="shared" si="131"/>
        <v>0</v>
      </c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Q690" si="132">IF(COLUMN() &lt; (COLUMN($H690) + (ROW()-ROW($H$681))), 0, IF(COLUMN() = (COLUMN($H$681) + (ROW()-ROW($H$681))), INDEX($H$664:$Q$664,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86">
        <f t="shared" si="132"/>
        <v>0</v>
      </c>
      <c r="N690" s="186">
        <f t="shared" si="132"/>
        <v>0</v>
      </c>
      <c r="O690" s="186">
        <f t="shared" si="132"/>
        <v>0</v>
      </c>
      <c r="P690" s="186">
        <f t="shared" si="132"/>
        <v>0</v>
      </c>
      <c r="Q690" s="186">
        <f t="shared" si="132"/>
        <v>0</v>
      </c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Q691" si="133">IF(COLUMN() &lt; (COLUMN($H691) + (ROW()-ROW($H$681))), 0, IF(COLUMN() = (COLUMN($H$681) + (ROW()-ROW($H$681))), INDEX($H$664:$Q$664,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86">
        <f t="shared" si="133"/>
        <v>0</v>
      </c>
      <c r="N691" s="186">
        <f t="shared" si="133"/>
        <v>0</v>
      </c>
      <c r="O691" s="186">
        <f t="shared" si="133"/>
        <v>0</v>
      </c>
      <c r="P691" s="186">
        <f t="shared" si="133"/>
        <v>0</v>
      </c>
      <c r="Q691" s="186">
        <f t="shared" si="133"/>
        <v>0</v>
      </c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Q692" si="134">IF(COLUMN() &lt; (COLUMN($H692) + (ROW()-ROW($H$681))), 0, IF(COLUMN() = (COLUMN($H$681) + (ROW()-ROW($H$681))), INDEX($H$664:$Q$664,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86">
        <f t="shared" si="134"/>
        <v>0</v>
      </c>
      <c r="N692" s="186">
        <f t="shared" si="134"/>
        <v>0</v>
      </c>
      <c r="O692" s="186">
        <f t="shared" si="134"/>
        <v>0</v>
      </c>
      <c r="P692" s="186">
        <f t="shared" si="134"/>
        <v>0</v>
      </c>
      <c r="Q692" s="186">
        <f t="shared" si="134"/>
        <v>0</v>
      </c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Q694" si="135">H698</f>
        <v>18000</v>
      </c>
      <c r="I694" s="188">
        <f t="shared" si="135"/>
        <v>19800</v>
      </c>
      <c r="J694" s="188">
        <f t="shared" si="135"/>
        <v>21780</v>
      </c>
      <c r="K694" s="188">
        <f t="shared" si="135"/>
        <v>23958</v>
      </c>
      <c r="L694" s="188">
        <f t="shared" si="135"/>
        <v>26353.8</v>
      </c>
      <c r="M694" s="188">
        <f t="shared" si="135"/>
        <v>28989.18</v>
      </c>
      <c r="N694" s="188">
        <f t="shared" si="135"/>
        <v>31888.098</v>
      </c>
      <c r="O694" s="188">
        <f t="shared" si="135"/>
        <v>35076.9078</v>
      </c>
      <c r="P694" s="188">
        <f t="shared" si="135"/>
        <v>38584.59858</v>
      </c>
      <c r="Q694" s="188">
        <f t="shared" si="135"/>
        <v>42443.05844</v>
      </c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4</v>
      </c>
      <c r="I695" s="190">
        <f t="shared" ref="I695:Q695" si="136">H695</f>
        <v>4</v>
      </c>
      <c r="J695" s="190">
        <f t="shared" si="136"/>
        <v>4</v>
      </c>
      <c r="K695" s="190">
        <f t="shared" si="136"/>
        <v>4</v>
      </c>
      <c r="L695" s="190">
        <f t="shared" si="136"/>
        <v>4</v>
      </c>
      <c r="M695" s="190">
        <f t="shared" si="136"/>
        <v>4</v>
      </c>
      <c r="N695" s="190">
        <f t="shared" si="136"/>
        <v>4</v>
      </c>
      <c r="O695" s="190">
        <f t="shared" si="136"/>
        <v>4</v>
      </c>
      <c r="P695" s="190">
        <f t="shared" si="136"/>
        <v>4</v>
      </c>
      <c r="Q695" s="190">
        <f t="shared" si="136"/>
        <v>4</v>
      </c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Q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88">
        <f t="shared" si="137"/>
        <v>7247.295</v>
      </c>
      <c r="N696" s="188">
        <f t="shared" si="137"/>
        <v>7972.0245</v>
      </c>
      <c r="O696" s="188">
        <f t="shared" si="137"/>
        <v>8769.22695</v>
      </c>
      <c r="P696" s="188">
        <f t="shared" si="137"/>
        <v>9646.149645</v>
      </c>
      <c r="Q696" s="188">
        <f t="shared" si="137"/>
        <v>10610.76461</v>
      </c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54">
        <v>1.1</v>
      </c>
      <c r="N697" s="154">
        <v>1.1</v>
      </c>
      <c r="O697" s="154">
        <v>1.1</v>
      </c>
      <c r="P697" s="154">
        <v>1.1</v>
      </c>
      <c r="Q697" s="152">
        <v>1.1</v>
      </c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Q698" si="138">H695*H696</f>
        <v>18000</v>
      </c>
      <c r="I698" s="188">
        <f t="shared" si="138"/>
        <v>19800</v>
      </c>
      <c r="J698" s="188">
        <f t="shared" si="138"/>
        <v>21780</v>
      </c>
      <c r="K698" s="188">
        <f t="shared" si="138"/>
        <v>23958</v>
      </c>
      <c r="L698" s="188">
        <f t="shared" si="138"/>
        <v>26353.8</v>
      </c>
      <c r="M698" s="188">
        <f t="shared" si="138"/>
        <v>28989.18</v>
      </c>
      <c r="N698" s="188">
        <f t="shared" si="138"/>
        <v>31888.098</v>
      </c>
      <c r="O698" s="188">
        <f t="shared" si="138"/>
        <v>35076.9078</v>
      </c>
      <c r="P698" s="188">
        <f t="shared" si="138"/>
        <v>38584.59858</v>
      </c>
      <c r="Q698" s="188">
        <f t="shared" si="138"/>
        <v>42443.05844</v>
      </c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Q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120000</v>
      </c>
      <c r="J702" s="180">
        <f t="shared" si="139"/>
        <v>72000</v>
      </c>
      <c r="K702" s="180">
        <f t="shared" si="139"/>
        <v>66000</v>
      </c>
      <c r="L702" s="180">
        <f t="shared" si="139"/>
        <v>42000</v>
      </c>
      <c r="M702" s="180">
        <f t="shared" si="139"/>
        <v>48000</v>
      </c>
      <c r="N702" s="180">
        <f t="shared" si="139"/>
        <v>36000</v>
      </c>
      <c r="O702" s="180">
        <f t="shared" si="139"/>
        <v>24000</v>
      </c>
      <c r="P702" s="180">
        <f t="shared" si="139"/>
        <v>24000</v>
      </c>
      <c r="Q702" s="180">
        <f t="shared" si="139"/>
        <v>0</v>
      </c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Q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84" t="str">
        <f t="shared" si="140"/>
        <v/>
      </c>
      <c r="N703" s="184" t="str">
        <f t="shared" si="140"/>
        <v/>
      </c>
      <c r="O703" s="184" t="str">
        <f t="shared" si="140"/>
        <v/>
      </c>
      <c r="P703" s="184" t="str">
        <f t="shared" si="140"/>
        <v/>
      </c>
      <c r="Q703" s="184" t="str">
        <f t="shared" si="140"/>
        <v/>
      </c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Q704" si="141">SUM(H702:H703)</f>
        <v>0</v>
      </c>
      <c r="I704" s="184">
        <f t="shared" si="141"/>
        <v>120000</v>
      </c>
      <c r="J704" s="184">
        <f t="shared" si="141"/>
        <v>72000</v>
      </c>
      <c r="K704" s="184">
        <f t="shared" si="141"/>
        <v>66000</v>
      </c>
      <c r="L704" s="184">
        <f t="shared" si="141"/>
        <v>42000</v>
      </c>
      <c r="M704" s="184">
        <f t="shared" si="141"/>
        <v>48000</v>
      </c>
      <c r="N704" s="184">
        <f t="shared" si="141"/>
        <v>36000</v>
      </c>
      <c r="O704" s="184">
        <f t="shared" si="141"/>
        <v>24000</v>
      </c>
      <c r="P704" s="184">
        <f t="shared" si="141"/>
        <v>24000</v>
      </c>
      <c r="Q704" s="184">
        <f t="shared" si="141"/>
        <v>0</v>
      </c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86"/>
      <c r="N705" s="186"/>
      <c r="O705" s="186"/>
      <c r="P705" s="186"/>
      <c r="Q705" s="186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Q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86">
        <f t="shared" si="142"/>
        <v>1</v>
      </c>
      <c r="N706" s="186">
        <f t="shared" si="142"/>
        <v>0</v>
      </c>
      <c r="O706" s="186">
        <f t="shared" si="142"/>
        <v>1</v>
      </c>
      <c r="P706" s="186">
        <f t="shared" si="142"/>
        <v>0</v>
      </c>
      <c r="Q706" s="186">
        <f t="shared" si="142"/>
        <v>1</v>
      </c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Q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86">
        <f t="shared" si="143"/>
        <v>0</v>
      </c>
      <c r="N707" s="186">
        <f t="shared" si="143"/>
        <v>1</v>
      </c>
      <c r="O707" s="186">
        <f t="shared" si="143"/>
        <v>0</v>
      </c>
      <c r="P707" s="186">
        <f t="shared" si="143"/>
        <v>1</v>
      </c>
      <c r="Q707" s="186">
        <f t="shared" si="143"/>
        <v>0</v>
      </c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Q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86">
        <f t="shared" si="144"/>
        <v>1</v>
      </c>
      <c r="N708" s="186">
        <f t="shared" si="144"/>
        <v>0</v>
      </c>
      <c r="O708" s="186">
        <f t="shared" si="144"/>
        <v>1</v>
      </c>
      <c r="P708" s="186">
        <f t="shared" si="144"/>
        <v>0</v>
      </c>
      <c r="Q708" s="186">
        <f t="shared" si="144"/>
        <v>1</v>
      </c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Q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86">
        <f t="shared" si="145"/>
        <v>0</v>
      </c>
      <c r="N709" s="186">
        <f t="shared" si="145"/>
        <v>1</v>
      </c>
      <c r="O709" s="186">
        <f t="shared" si="145"/>
        <v>0</v>
      </c>
      <c r="P709" s="186">
        <f t="shared" si="145"/>
        <v>1</v>
      </c>
      <c r="Q709" s="186">
        <f t="shared" si="145"/>
        <v>0</v>
      </c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Q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86">
        <f t="shared" si="146"/>
        <v>1</v>
      </c>
      <c r="N710" s="186">
        <f t="shared" si="146"/>
        <v>0</v>
      </c>
      <c r="O710" s="186">
        <f t="shared" si="146"/>
        <v>1</v>
      </c>
      <c r="P710" s="186">
        <f t="shared" si="146"/>
        <v>0</v>
      </c>
      <c r="Q710" s="186">
        <f t="shared" si="146"/>
        <v>1</v>
      </c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Q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86">
        <f t="shared" si="147"/>
        <v>2</v>
      </c>
      <c r="N711" s="186">
        <f t="shared" si="147"/>
        <v>1</v>
      </c>
      <c r="O711" s="186">
        <f t="shared" si="147"/>
        <v>0</v>
      </c>
      <c r="P711" s="186">
        <f t="shared" si="147"/>
        <v>1</v>
      </c>
      <c r="Q711" s="186">
        <f t="shared" si="147"/>
        <v>0</v>
      </c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Q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86">
        <f t="shared" si="148"/>
        <v>0</v>
      </c>
      <c r="N712" s="186">
        <f t="shared" si="148"/>
        <v>2</v>
      </c>
      <c r="O712" s="186">
        <f t="shared" si="148"/>
        <v>1</v>
      </c>
      <c r="P712" s="186">
        <f t="shared" si="148"/>
        <v>0</v>
      </c>
      <c r="Q712" s="186">
        <f t="shared" si="148"/>
        <v>1</v>
      </c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Q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86">
        <f t="shared" si="149"/>
        <v>0</v>
      </c>
      <c r="N713" s="186">
        <f t="shared" si="149"/>
        <v>0</v>
      </c>
      <c r="O713" s="186">
        <f t="shared" si="149"/>
        <v>2</v>
      </c>
      <c r="P713" s="186">
        <f t="shared" si="149"/>
        <v>1</v>
      </c>
      <c r="Q713" s="186">
        <f t="shared" si="149"/>
        <v>0</v>
      </c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Q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86">
        <f t="shared" si="150"/>
        <v>0</v>
      </c>
      <c r="N714" s="186">
        <f t="shared" si="150"/>
        <v>0</v>
      </c>
      <c r="O714" s="186">
        <f t="shared" si="150"/>
        <v>0</v>
      </c>
      <c r="P714" s="186">
        <f t="shared" si="150"/>
        <v>2</v>
      </c>
      <c r="Q714" s="186">
        <f t="shared" si="150"/>
        <v>1</v>
      </c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Q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86">
        <f t="shared" si="151"/>
        <v>0</v>
      </c>
      <c r="N715" s="186">
        <f t="shared" si="151"/>
        <v>0</v>
      </c>
      <c r="O715" s="186">
        <f t="shared" si="151"/>
        <v>0</v>
      </c>
      <c r="P715" s="186">
        <f t="shared" si="151"/>
        <v>0</v>
      </c>
      <c r="Q715" s="186">
        <f t="shared" si="151"/>
        <v>2</v>
      </c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Q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86">
        <f t="shared" si="152"/>
        <v>0</v>
      </c>
      <c r="N716" s="186">
        <f t="shared" si="152"/>
        <v>0</v>
      </c>
      <c r="O716" s="186">
        <f t="shared" si="152"/>
        <v>0</v>
      </c>
      <c r="P716" s="186">
        <f t="shared" si="152"/>
        <v>0</v>
      </c>
      <c r="Q716" s="186">
        <f t="shared" si="152"/>
        <v>0</v>
      </c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Q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86">
        <f t="shared" si="153"/>
        <v>0</v>
      </c>
      <c r="N717" s="186">
        <f t="shared" si="153"/>
        <v>0</v>
      </c>
      <c r="O717" s="186">
        <f t="shared" si="153"/>
        <v>0</v>
      </c>
      <c r="P717" s="186">
        <f t="shared" si="153"/>
        <v>0</v>
      </c>
      <c r="Q717" s="186">
        <f t="shared" si="153"/>
        <v>0</v>
      </c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55"/>
      <c r="N719" s="155"/>
      <c r="O719" s="155"/>
      <c r="P719" s="155"/>
      <c r="Q719" s="155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Q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96000</v>
      </c>
      <c r="L720" s="184">
        <f t="shared" si="154"/>
        <v>57600</v>
      </c>
      <c r="M720" s="184">
        <f t="shared" si="154"/>
        <v>129600</v>
      </c>
      <c r="N720" s="184">
        <f t="shared" si="154"/>
        <v>79680</v>
      </c>
      <c r="O720" s="184">
        <f t="shared" si="154"/>
        <v>142080</v>
      </c>
      <c r="P720" s="184">
        <f t="shared" si="154"/>
        <v>92544</v>
      </c>
      <c r="Q720" s="184">
        <f t="shared" si="154"/>
        <v>132864</v>
      </c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Q721" si="155">SUM(H722:H733)</f>
        <v>0</v>
      </c>
      <c r="I721" s="184">
        <f t="shared" si="155"/>
        <v>120000</v>
      </c>
      <c r="J721" s="184">
        <f t="shared" si="155"/>
        <v>72000</v>
      </c>
      <c r="K721" s="184">
        <f t="shared" si="155"/>
        <v>162000</v>
      </c>
      <c r="L721" s="184">
        <f t="shared" si="155"/>
        <v>99600</v>
      </c>
      <c r="M721" s="184">
        <f t="shared" si="155"/>
        <v>177600</v>
      </c>
      <c r="N721" s="184">
        <f t="shared" si="155"/>
        <v>115680</v>
      </c>
      <c r="O721" s="184">
        <f t="shared" si="155"/>
        <v>166080</v>
      </c>
      <c r="P721" s="184">
        <f t="shared" si="155"/>
        <v>116544</v>
      </c>
      <c r="Q721" s="184">
        <f t="shared" si="155"/>
        <v>132864</v>
      </c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Q722" si="156">IF(COLUMN() &lt; (COLUMN($H$722) + (ROW()-ROW($H$722))), 0, IF(COLUMN() = (COLUMN($H$722) + (ROW()-ROW($H$722))), INDEX($H$704:$Q$704,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86">
        <f t="shared" si="156"/>
        <v>0</v>
      </c>
      <c r="N722" s="186">
        <f t="shared" si="156"/>
        <v>0</v>
      </c>
      <c r="O722" s="186">
        <f t="shared" si="156"/>
        <v>0</v>
      </c>
      <c r="P722" s="186">
        <f t="shared" si="156"/>
        <v>0</v>
      </c>
      <c r="Q722" s="186">
        <f t="shared" si="156"/>
        <v>0</v>
      </c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Q723" si="157">IF(COLUMN() &lt; (COLUMN($H$722) + (ROW()-ROW($H$722))), 0, IF(COLUMN() = (COLUMN($H$722) + (ROW()-ROW($H$722))), INDEX($H$704:$Q$704, 1, COLUMN()-COLUMN($H$704)+1), IF(H707=0, OFFSET(H723, 0, -$H$705) * $H$719, 0)))</f>
        <v>0</v>
      </c>
      <c r="I723" s="186">
        <f t="shared" si="157"/>
        <v>120000</v>
      </c>
      <c r="J723" s="186">
        <f t="shared" si="157"/>
        <v>0</v>
      </c>
      <c r="K723" s="186">
        <f t="shared" si="157"/>
        <v>96000</v>
      </c>
      <c r="L723" s="186">
        <f t="shared" si="157"/>
        <v>0</v>
      </c>
      <c r="M723" s="186">
        <f t="shared" si="157"/>
        <v>76800</v>
      </c>
      <c r="N723" s="186">
        <f t="shared" si="157"/>
        <v>0</v>
      </c>
      <c r="O723" s="186">
        <f t="shared" si="157"/>
        <v>61440</v>
      </c>
      <c r="P723" s="186">
        <f t="shared" si="157"/>
        <v>0</v>
      </c>
      <c r="Q723" s="186">
        <f t="shared" si="157"/>
        <v>49152</v>
      </c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Q724" si="158">IF(COLUMN() &lt; (COLUMN($H$722) + (ROW()-ROW($H$722))), 0, IF(COLUMN() = (COLUMN($H$722) + (ROW()-ROW($H$722))), INDEX($H$704:$Q$704, 1, COLUMN()-COLUMN($H$704)+1), IF(H708=0, OFFSET(H724, 0, -$H$705) * $H$719, 0)))</f>
        <v>0</v>
      </c>
      <c r="I724" s="186">
        <f t="shared" si="158"/>
        <v>0</v>
      </c>
      <c r="J724" s="186">
        <f t="shared" si="158"/>
        <v>72000</v>
      </c>
      <c r="K724" s="186">
        <f t="shared" si="158"/>
        <v>0</v>
      </c>
      <c r="L724" s="186">
        <f t="shared" si="158"/>
        <v>57600</v>
      </c>
      <c r="M724" s="186">
        <f t="shared" si="158"/>
        <v>0</v>
      </c>
      <c r="N724" s="186">
        <f t="shared" si="158"/>
        <v>46080</v>
      </c>
      <c r="O724" s="186">
        <f t="shared" si="158"/>
        <v>0</v>
      </c>
      <c r="P724" s="186">
        <f t="shared" si="158"/>
        <v>36864</v>
      </c>
      <c r="Q724" s="186">
        <f t="shared" si="158"/>
        <v>0</v>
      </c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Q725" si="159">IF(COLUMN() &lt; (COLUMN($H$722) + (ROW()-ROW($H$722))), 0, IF(COLUMN() = (COLUMN($H$722) + (ROW()-ROW($H$722))), INDEX($H$704:$Q$704,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66000</v>
      </c>
      <c r="L725" s="186">
        <f t="shared" si="159"/>
        <v>0</v>
      </c>
      <c r="M725" s="186">
        <f t="shared" si="159"/>
        <v>52800</v>
      </c>
      <c r="N725" s="186">
        <f t="shared" si="159"/>
        <v>0</v>
      </c>
      <c r="O725" s="186">
        <f t="shared" si="159"/>
        <v>42240</v>
      </c>
      <c r="P725" s="186">
        <f t="shared" si="159"/>
        <v>0</v>
      </c>
      <c r="Q725" s="186">
        <f t="shared" si="159"/>
        <v>33792</v>
      </c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Q726" si="160">IF(COLUMN() &lt; (COLUMN($H$722) + (ROW()-ROW($H$722))), 0, IF(COLUMN() = (COLUMN($H$722) + (ROW()-ROW($H$722))), INDEX($H$704:$Q$704,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42000</v>
      </c>
      <c r="M726" s="186">
        <f t="shared" si="160"/>
        <v>0</v>
      </c>
      <c r="N726" s="186">
        <f t="shared" si="160"/>
        <v>33600</v>
      </c>
      <c r="O726" s="186">
        <f t="shared" si="160"/>
        <v>0</v>
      </c>
      <c r="P726" s="186">
        <f t="shared" si="160"/>
        <v>26880</v>
      </c>
      <c r="Q726" s="186">
        <f t="shared" si="160"/>
        <v>0</v>
      </c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Q727" si="161">IF(COLUMN() &lt; (COLUMN($H$722) + (ROW()-ROW($H$722))), 0, IF(COLUMN() = (COLUMN($H$722) + (ROW()-ROW($H$722))), INDEX($H$704:$Q$704,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86">
        <f t="shared" si="161"/>
        <v>48000</v>
      </c>
      <c r="N727" s="186">
        <f t="shared" si="161"/>
        <v>0</v>
      </c>
      <c r="O727" s="186">
        <f t="shared" si="161"/>
        <v>38400</v>
      </c>
      <c r="P727" s="186">
        <f t="shared" si="161"/>
        <v>0</v>
      </c>
      <c r="Q727" s="186">
        <f t="shared" si="161"/>
        <v>30720</v>
      </c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Q728" si="162">IF(COLUMN() &lt; (COLUMN($H$722) + (ROW()-ROW($H$722))), 0, IF(COLUMN() = (COLUMN($H$722) + (ROW()-ROW($H$722))), INDEX($H$704:$Q$704,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86">
        <f t="shared" si="162"/>
        <v>0</v>
      </c>
      <c r="N728" s="186">
        <f t="shared" si="162"/>
        <v>36000</v>
      </c>
      <c r="O728" s="186">
        <f t="shared" si="162"/>
        <v>0</v>
      </c>
      <c r="P728" s="186">
        <f t="shared" si="162"/>
        <v>28800</v>
      </c>
      <c r="Q728" s="186">
        <f t="shared" si="162"/>
        <v>0</v>
      </c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Q729" si="163">IF(COLUMN() &lt; (COLUMN($H$722) + (ROW()-ROW($H$722))), 0, IF(COLUMN() = (COLUMN($H$722) + (ROW()-ROW($H$722))), INDEX($H$704:$Q$704,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86">
        <f t="shared" si="163"/>
        <v>0</v>
      </c>
      <c r="N729" s="186">
        <f t="shared" si="163"/>
        <v>0</v>
      </c>
      <c r="O729" s="186">
        <f t="shared" si="163"/>
        <v>24000</v>
      </c>
      <c r="P729" s="186">
        <f t="shared" si="163"/>
        <v>0</v>
      </c>
      <c r="Q729" s="186">
        <f t="shared" si="163"/>
        <v>19200</v>
      </c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Q730" si="164">IF(COLUMN() &lt; (COLUMN($H$722) + (ROW()-ROW($H$722))), 0, IF(COLUMN() = (COLUMN($H$722) + (ROW()-ROW($H$722))), INDEX($H$704:$Q$704,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86">
        <f t="shared" si="164"/>
        <v>0</v>
      </c>
      <c r="N730" s="186">
        <f t="shared" si="164"/>
        <v>0</v>
      </c>
      <c r="O730" s="186">
        <f t="shared" si="164"/>
        <v>0</v>
      </c>
      <c r="P730" s="186">
        <f t="shared" si="164"/>
        <v>24000</v>
      </c>
      <c r="Q730" s="186">
        <f t="shared" si="164"/>
        <v>0</v>
      </c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Q731" si="165">IF(COLUMN() &lt; (COLUMN($H$722) + (ROW()-ROW($H$722))), 0, IF(COLUMN() = (COLUMN($H$722) + (ROW()-ROW($H$722))), INDEX($H$704:$Q$704,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86">
        <f t="shared" si="165"/>
        <v>0</v>
      </c>
      <c r="N731" s="186">
        <f t="shared" si="165"/>
        <v>0</v>
      </c>
      <c r="O731" s="186">
        <f t="shared" si="165"/>
        <v>0</v>
      </c>
      <c r="P731" s="186">
        <f t="shared" si="165"/>
        <v>0</v>
      </c>
      <c r="Q731" s="186">
        <f t="shared" si="165"/>
        <v>0</v>
      </c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Q732" si="166">IF(COLUMN() &lt; (COLUMN($H$722) + (ROW()-ROW($H$722))), 0, IF(COLUMN() = (COLUMN($H$722) + (ROW()-ROW($H$722))), INDEX($H$704:$Q$704,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86">
        <f t="shared" si="166"/>
        <v>0</v>
      </c>
      <c r="N732" s="186">
        <f t="shared" si="166"/>
        <v>0</v>
      </c>
      <c r="O732" s="186">
        <f t="shared" si="166"/>
        <v>0</v>
      </c>
      <c r="P732" s="186">
        <f t="shared" si="166"/>
        <v>0</v>
      </c>
      <c r="Q732" s="186">
        <f t="shared" si="166"/>
        <v>0</v>
      </c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Q733" si="167">IF(COLUMN() &lt; (COLUMN($H$722) + (ROW()-ROW($H$722))), 0, IF(COLUMN() = (COLUMN($H$722) + (ROW()-ROW($H$722))), INDEX($H$704:$Q$704,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86">
        <f t="shared" si="167"/>
        <v>0</v>
      </c>
      <c r="N733" s="186">
        <f t="shared" si="167"/>
        <v>0</v>
      </c>
      <c r="O733" s="186">
        <f t="shared" si="167"/>
        <v>0</v>
      </c>
      <c r="P733" s="186">
        <f t="shared" si="167"/>
        <v>0</v>
      </c>
      <c r="Q733" s="186">
        <f t="shared" si="167"/>
        <v>0</v>
      </c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Q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84">
        <f t="shared" si="168"/>
        <v>0</v>
      </c>
      <c r="M735" s="184">
        <f t="shared" si="168"/>
        <v>0</v>
      </c>
      <c r="N735" s="184">
        <f t="shared" si="168"/>
        <v>0</v>
      </c>
      <c r="O735" s="184">
        <f t="shared" si="168"/>
        <v>583296</v>
      </c>
      <c r="P735" s="184">
        <f t="shared" si="168"/>
        <v>168000</v>
      </c>
      <c r="Q735" s="184">
        <f t="shared" si="168"/>
        <v>84000</v>
      </c>
      <c r="R735" s="1"/>
      <c r="S735" s="1"/>
    </row>
    <row r="736">
      <c r="A736" s="1"/>
      <c r="B736" s="1"/>
      <c r="C736" s="1"/>
      <c r="D736" s="1"/>
      <c r="E736" s="1"/>
      <c r="F736" s="13" t="str">
        <f t="shared" ref="F736:Q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840000</v>
      </c>
      <c r="J736" s="180">
        <f t="shared" si="169"/>
        <v>420000</v>
      </c>
      <c r="K736" s="180">
        <f t="shared" si="169"/>
        <v>378000</v>
      </c>
      <c r="L736" s="180">
        <f t="shared" si="169"/>
        <v>252000</v>
      </c>
      <c r="M736" s="180">
        <f t="shared" si="169"/>
        <v>252000</v>
      </c>
      <c r="N736" s="180">
        <f t="shared" si="169"/>
        <v>168000</v>
      </c>
      <c r="O736" s="180">
        <f t="shared" si="169"/>
        <v>126000</v>
      </c>
      <c r="P736" s="180">
        <f t="shared" si="169"/>
        <v>84000</v>
      </c>
      <c r="Q736" s="180">
        <f t="shared" si="169"/>
        <v>0</v>
      </c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Q737" si="170">H486</f>
        <v>2916480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84" t="str">
        <f t="shared" si="170"/>
        <v/>
      </c>
      <c r="M737" s="184" t="str">
        <f t="shared" si="170"/>
        <v/>
      </c>
      <c r="N737" s="184" t="str">
        <f t="shared" si="170"/>
        <v/>
      </c>
      <c r="O737" s="184" t="str">
        <f t="shared" si="170"/>
        <v/>
      </c>
      <c r="P737" s="184" t="str">
        <f t="shared" si="170"/>
        <v/>
      </c>
      <c r="Q737" s="184" t="str">
        <f t="shared" si="170"/>
        <v/>
      </c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Q738" si="171">SUM(H736:H737)</f>
        <v>2916480</v>
      </c>
      <c r="I738" s="184">
        <f t="shared" si="171"/>
        <v>840000</v>
      </c>
      <c r="J738" s="184">
        <f t="shared" si="171"/>
        <v>420000</v>
      </c>
      <c r="K738" s="184">
        <f t="shared" si="171"/>
        <v>378000</v>
      </c>
      <c r="L738" s="184">
        <f t="shared" si="171"/>
        <v>252000</v>
      </c>
      <c r="M738" s="184">
        <f t="shared" si="171"/>
        <v>252000</v>
      </c>
      <c r="N738" s="184">
        <f t="shared" si="171"/>
        <v>168000</v>
      </c>
      <c r="O738" s="184">
        <f t="shared" si="171"/>
        <v>126000</v>
      </c>
      <c r="P738" s="184">
        <f t="shared" si="171"/>
        <v>84000</v>
      </c>
      <c r="Q738" s="184">
        <f t="shared" si="171"/>
        <v>0</v>
      </c>
      <c r="R738" s="1"/>
      <c r="S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86"/>
      <c r="N739" s="186"/>
      <c r="O739" s="186"/>
      <c r="P739" s="186"/>
      <c r="Q739" s="186"/>
      <c r="R739" s="1"/>
      <c r="S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Q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86">
        <f t="shared" si="172"/>
        <v>3</v>
      </c>
      <c r="M740" s="186">
        <f t="shared" si="172"/>
        <v>2</v>
      </c>
      <c r="N740" s="186">
        <f t="shared" si="172"/>
        <v>1</v>
      </c>
      <c r="O740" s="186">
        <f t="shared" si="172"/>
        <v>0</v>
      </c>
      <c r="P740" s="186">
        <f t="shared" si="172"/>
        <v>6</v>
      </c>
      <c r="Q740" s="186">
        <f t="shared" si="172"/>
        <v>5</v>
      </c>
      <c r="R740" s="1"/>
      <c r="S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Q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86">
        <f t="shared" si="173"/>
        <v>4</v>
      </c>
      <c r="M741" s="186">
        <f t="shared" si="173"/>
        <v>3</v>
      </c>
      <c r="N741" s="186">
        <f t="shared" si="173"/>
        <v>2</v>
      </c>
      <c r="O741" s="186">
        <f t="shared" si="173"/>
        <v>1</v>
      </c>
      <c r="P741" s="186">
        <f t="shared" si="173"/>
        <v>0</v>
      </c>
      <c r="Q741" s="186">
        <f t="shared" si="173"/>
        <v>6</v>
      </c>
      <c r="R741" s="1"/>
      <c r="S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Q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86">
        <f t="shared" si="174"/>
        <v>5</v>
      </c>
      <c r="M742" s="186">
        <f t="shared" si="174"/>
        <v>4</v>
      </c>
      <c r="N742" s="186">
        <f t="shared" si="174"/>
        <v>3</v>
      </c>
      <c r="O742" s="186">
        <f t="shared" si="174"/>
        <v>2</v>
      </c>
      <c r="P742" s="186">
        <f t="shared" si="174"/>
        <v>1</v>
      </c>
      <c r="Q742" s="186">
        <f t="shared" si="174"/>
        <v>0</v>
      </c>
      <c r="R742" s="1"/>
      <c r="S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Q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86">
        <f t="shared" si="175"/>
        <v>6</v>
      </c>
      <c r="M743" s="186">
        <f t="shared" si="175"/>
        <v>5</v>
      </c>
      <c r="N743" s="186">
        <f t="shared" si="175"/>
        <v>4</v>
      </c>
      <c r="O743" s="186">
        <f t="shared" si="175"/>
        <v>3</v>
      </c>
      <c r="P743" s="186">
        <f t="shared" si="175"/>
        <v>2</v>
      </c>
      <c r="Q743" s="186">
        <f t="shared" si="175"/>
        <v>1</v>
      </c>
      <c r="R743" s="1"/>
      <c r="S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Q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86">
        <f t="shared" si="176"/>
        <v>7</v>
      </c>
      <c r="M744" s="186">
        <f t="shared" si="176"/>
        <v>6</v>
      </c>
      <c r="N744" s="186">
        <f t="shared" si="176"/>
        <v>5</v>
      </c>
      <c r="O744" s="186">
        <f t="shared" si="176"/>
        <v>4</v>
      </c>
      <c r="P744" s="186">
        <f t="shared" si="176"/>
        <v>3</v>
      </c>
      <c r="Q744" s="186">
        <f t="shared" si="176"/>
        <v>2</v>
      </c>
      <c r="R744" s="1"/>
      <c r="S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Q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86">
        <f t="shared" si="177"/>
        <v>0</v>
      </c>
      <c r="M745" s="186">
        <f t="shared" si="177"/>
        <v>7</v>
      </c>
      <c r="N745" s="186">
        <f t="shared" si="177"/>
        <v>6</v>
      </c>
      <c r="O745" s="186">
        <f t="shared" si="177"/>
        <v>5</v>
      </c>
      <c r="P745" s="186">
        <f t="shared" si="177"/>
        <v>4</v>
      </c>
      <c r="Q745" s="186">
        <f t="shared" si="177"/>
        <v>3</v>
      </c>
      <c r="R745" s="1"/>
      <c r="S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Q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86">
        <f t="shared" si="178"/>
        <v>0</v>
      </c>
      <c r="M746" s="186">
        <f t="shared" si="178"/>
        <v>0</v>
      </c>
      <c r="N746" s="186">
        <f t="shared" si="178"/>
        <v>7</v>
      </c>
      <c r="O746" s="186">
        <f t="shared" si="178"/>
        <v>6</v>
      </c>
      <c r="P746" s="186">
        <f t="shared" si="178"/>
        <v>5</v>
      </c>
      <c r="Q746" s="186">
        <f t="shared" si="178"/>
        <v>4</v>
      </c>
      <c r="R746" s="1"/>
      <c r="S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Q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86">
        <f t="shared" si="179"/>
        <v>0</v>
      </c>
      <c r="M747" s="186">
        <f t="shared" si="179"/>
        <v>0</v>
      </c>
      <c r="N747" s="186">
        <f t="shared" si="179"/>
        <v>0</v>
      </c>
      <c r="O747" s="186">
        <f t="shared" si="179"/>
        <v>7</v>
      </c>
      <c r="P747" s="186">
        <f t="shared" si="179"/>
        <v>6</v>
      </c>
      <c r="Q747" s="186">
        <f t="shared" si="179"/>
        <v>5</v>
      </c>
      <c r="R747" s="1"/>
      <c r="S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Q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86">
        <f t="shared" si="180"/>
        <v>0</v>
      </c>
      <c r="M748" s="186">
        <f t="shared" si="180"/>
        <v>0</v>
      </c>
      <c r="N748" s="186">
        <f t="shared" si="180"/>
        <v>0</v>
      </c>
      <c r="O748" s="186">
        <f t="shared" si="180"/>
        <v>0</v>
      </c>
      <c r="P748" s="186">
        <f t="shared" si="180"/>
        <v>7</v>
      </c>
      <c r="Q748" s="186">
        <f t="shared" si="180"/>
        <v>6</v>
      </c>
      <c r="R748" s="1"/>
      <c r="S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Q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86">
        <f t="shared" si="181"/>
        <v>0</v>
      </c>
      <c r="M749" s="186">
        <f t="shared" si="181"/>
        <v>0</v>
      </c>
      <c r="N749" s="186">
        <f t="shared" si="181"/>
        <v>0</v>
      </c>
      <c r="O749" s="186">
        <f t="shared" si="181"/>
        <v>0</v>
      </c>
      <c r="P749" s="186">
        <f t="shared" si="181"/>
        <v>0</v>
      </c>
      <c r="Q749" s="186">
        <f t="shared" si="181"/>
        <v>7</v>
      </c>
      <c r="R749" s="1"/>
      <c r="S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Q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86">
        <f t="shared" si="182"/>
        <v>0</v>
      </c>
      <c r="M750" s="186">
        <f t="shared" si="182"/>
        <v>0</v>
      </c>
      <c r="N750" s="186">
        <f t="shared" si="182"/>
        <v>0</v>
      </c>
      <c r="O750" s="186">
        <f t="shared" si="182"/>
        <v>0</v>
      </c>
      <c r="P750" s="186">
        <f t="shared" si="182"/>
        <v>0</v>
      </c>
      <c r="Q750" s="186">
        <f t="shared" si="182"/>
        <v>0</v>
      </c>
      <c r="R750" s="1"/>
      <c r="S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Q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86">
        <f t="shared" si="183"/>
        <v>0</v>
      </c>
      <c r="M751" s="186">
        <f t="shared" si="183"/>
        <v>0</v>
      </c>
      <c r="N751" s="186">
        <f t="shared" si="183"/>
        <v>0</v>
      </c>
      <c r="O751" s="186">
        <f t="shared" si="183"/>
        <v>0</v>
      </c>
      <c r="P751" s="186">
        <f t="shared" si="183"/>
        <v>0</v>
      </c>
      <c r="Q751" s="186">
        <f t="shared" si="183"/>
        <v>0</v>
      </c>
      <c r="R751" s="1"/>
      <c r="S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55"/>
      <c r="N753" s="155"/>
      <c r="O753" s="155"/>
      <c r="P753" s="155"/>
      <c r="Q753" s="155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Q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84">
        <f t="shared" si="184"/>
        <v>0</v>
      </c>
      <c r="M754" s="184">
        <f t="shared" si="184"/>
        <v>0</v>
      </c>
      <c r="N754" s="184">
        <f t="shared" si="184"/>
        <v>0</v>
      </c>
      <c r="O754" s="184">
        <f t="shared" si="184"/>
        <v>583296</v>
      </c>
      <c r="P754" s="184">
        <f t="shared" si="184"/>
        <v>168000</v>
      </c>
      <c r="Q754" s="184">
        <f t="shared" si="184"/>
        <v>84000</v>
      </c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Q755" si="185">SUM(H756:H767)</f>
        <v>2916480</v>
      </c>
      <c r="I755" s="184">
        <f t="shared" si="185"/>
        <v>840000</v>
      </c>
      <c r="J755" s="184">
        <f t="shared" si="185"/>
        <v>420000</v>
      </c>
      <c r="K755" s="184">
        <f t="shared" si="185"/>
        <v>378000</v>
      </c>
      <c r="L755" s="184">
        <f t="shared" si="185"/>
        <v>252000</v>
      </c>
      <c r="M755" s="184">
        <f t="shared" si="185"/>
        <v>252000</v>
      </c>
      <c r="N755" s="184">
        <f t="shared" si="185"/>
        <v>168000</v>
      </c>
      <c r="O755" s="184">
        <f t="shared" si="185"/>
        <v>709296</v>
      </c>
      <c r="P755" s="184">
        <f t="shared" si="185"/>
        <v>252000</v>
      </c>
      <c r="Q755" s="184">
        <f t="shared" si="185"/>
        <v>84000</v>
      </c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Q756" si="186">IF(COLUMN() &lt; (COLUMN($H$756) + (ROW()-ROW($H$756))), 0, IF(COLUMN() = (COLUMN($H$756) + (ROW()-ROW($H$756))), INDEX($H$738:$Q$738, 1, COLUMN()-COLUMN($H$738)+1), IF(H740=0, OFFSET(H756, 0, -$H$739) * $H$753, 0)))</f>
        <v>2916480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86">
        <f t="shared" si="186"/>
        <v>0</v>
      </c>
      <c r="M756" s="186">
        <f t="shared" si="186"/>
        <v>0</v>
      </c>
      <c r="N756" s="186">
        <f t="shared" si="186"/>
        <v>0</v>
      </c>
      <c r="O756" s="186">
        <f t="shared" si="186"/>
        <v>583296</v>
      </c>
      <c r="P756" s="186">
        <f t="shared" si="186"/>
        <v>0</v>
      </c>
      <c r="Q756" s="186">
        <f t="shared" si="186"/>
        <v>0</v>
      </c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Q757" si="187">IF(COLUMN() &lt; (COLUMN($H$756) + (ROW()-ROW($H$756))), 0, IF(COLUMN() = (COLUMN($H$756) + (ROW()-ROW($H$756))), INDEX($H$738:$Q$738, 1, COLUMN()-COLUMN($H$738)+1), IF(H741=0, OFFSET(H757, 0, -$H$739) * $H$753, 0)))</f>
        <v>0</v>
      </c>
      <c r="I757" s="186">
        <f t="shared" si="187"/>
        <v>840000</v>
      </c>
      <c r="J757" s="186">
        <f t="shared" si="187"/>
        <v>0</v>
      </c>
      <c r="K757" s="186">
        <f t="shared" si="187"/>
        <v>0</v>
      </c>
      <c r="L757" s="186">
        <f t="shared" si="187"/>
        <v>0</v>
      </c>
      <c r="M757" s="186">
        <f t="shared" si="187"/>
        <v>0</v>
      </c>
      <c r="N757" s="186">
        <f t="shared" si="187"/>
        <v>0</v>
      </c>
      <c r="O757" s="186">
        <f t="shared" si="187"/>
        <v>0</v>
      </c>
      <c r="P757" s="186">
        <f t="shared" si="187"/>
        <v>168000</v>
      </c>
      <c r="Q757" s="186">
        <f t="shared" si="187"/>
        <v>0</v>
      </c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Q758" si="188">IF(COLUMN() &lt; (COLUMN($H$756) + (ROW()-ROW($H$756))), 0, IF(COLUMN() = (COLUMN($H$756) + (ROW()-ROW($H$756))), INDEX($H$738:$Q$738, 1, COLUMN()-COLUMN($H$738)+1), IF(H742=0, OFFSET(H758, 0, -$H$739) * $H$753, 0)))</f>
        <v>0</v>
      </c>
      <c r="I758" s="186">
        <f t="shared" si="188"/>
        <v>0</v>
      </c>
      <c r="J758" s="186">
        <f t="shared" si="188"/>
        <v>420000</v>
      </c>
      <c r="K758" s="186">
        <f t="shared" si="188"/>
        <v>0</v>
      </c>
      <c r="L758" s="186">
        <f t="shared" si="188"/>
        <v>0</v>
      </c>
      <c r="M758" s="186">
        <f t="shared" si="188"/>
        <v>0</v>
      </c>
      <c r="N758" s="186">
        <f t="shared" si="188"/>
        <v>0</v>
      </c>
      <c r="O758" s="186">
        <f t="shared" si="188"/>
        <v>0</v>
      </c>
      <c r="P758" s="186">
        <f t="shared" si="188"/>
        <v>0</v>
      </c>
      <c r="Q758" s="186">
        <f t="shared" si="188"/>
        <v>84000</v>
      </c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Q759" si="189">IF(COLUMN() &lt; (COLUMN($H$756) + (ROW()-ROW($H$756))), 0, IF(COLUMN() = (COLUMN($H$756) + (ROW()-ROW($H$756))), INDEX($H$738:$Q$738,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378000</v>
      </c>
      <c r="L759" s="186">
        <f t="shared" si="189"/>
        <v>0</v>
      </c>
      <c r="M759" s="186">
        <f t="shared" si="189"/>
        <v>0</v>
      </c>
      <c r="N759" s="186">
        <f t="shared" si="189"/>
        <v>0</v>
      </c>
      <c r="O759" s="186">
        <f t="shared" si="189"/>
        <v>0</v>
      </c>
      <c r="P759" s="186">
        <f t="shared" si="189"/>
        <v>0</v>
      </c>
      <c r="Q759" s="186">
        <f t="shared" si="189"/>
        <v>0</v>
      </c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Q760" si="190">IF(COLUMN() &lt; (COLUMN($H$756) + (ROW()-ROW($H$756))), 0, IF(COLUMN() = (COLUMN($H$756) + (ROW()-ROW($H$756))), INDEX($H$738:$Q$738,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86">
        <f t="shared" si="190"/>
        <v>252000</v>
      </c>
      <c r="M760" s="186">
        <f t="shared" si="190"/>
        <v>0</v>
      </c>
      <c r="N760" s="186">
        <f t="shared" si="190"/>
        <v>0</v>
      </c>
      <c r="O760" s="186">
        <f t="shared" si="190"/>
        <v>0</v>
      </c>
      <c r="P760" s="186">
        <f t="shared" si="190"/>
        <v>0</v>
      </c>
      <c r="Q760" s="186">
        <f t="shared" si="190"/>
        <v>0</v>
      </c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Q761" si="191">IF(COLUMN() &lt; (COLUMN($H$756) + (ROW()-ROW($H$756))), 0, IF(COLUMN() = (COLUMN($H$756) + (ROW()-ROW($H$756))), INDEX($H$738:$Q$738,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86">
        <f t="shared" si="191"/>
        <v>0</v>
      </c>
      <c r="M761" s="186">
        <f t="shared" si="191"/>
        <v>252000</v>
      </c>
      <c r="N761" s="186">
        <f t="shared" si="191"/>
        <v>0</v>
      </c>
      <c r="O761" s="186">
        <f t="shared" si="191"/>
        <v>0</v>
      </c>
      <c r="P761" s="186">
        <f t="shared" si="191"/>
        <v>0</v>
      </c>
      <c r="Q761" s="186">
        <f t="shared" si="191"/>
        <v>0</v>
      </c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Q762" si="192">IF(COLUMN() &lt; (COLUMN($H$756) + (ROW()-ROW($H$756))), 0, IF(COLUMN() = (COLUMN($H$756) + (ROW()-ROW($H$756))), INDEX($H$738:$Q$738,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86">
        <f t="shared" si="192"/>
        <v>0</v>
      </c>
      <c r="M762" s="186">
        <f t="shared" si="192"/>
        <v>0</v>
      </c>
      <c r="N762" s="186">
        <f t="shared" si="192"/>
        <v>168000</v>
      </c>
      <c r="O762" s="186">
        <f t="shared" si="192"/>
        <v>0</v>
      </c>
      <c r="P762" s="186">
        <f t="shared" si="192"/>
        <v>0</v>
      </c>
      <c r="Q762" s="186">
        <f t="shared" si="192"/>
        <v>0</v>
      </c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Q763" si="193">IF(COLUMN() &lt; (COLUMN($H$756) + (ROW()-ROW($H$756))), 0, IF(COLUMN() = (COLUMN($H$756) + (ROW()-ROW($H$756))), INDEX($H$738:$Q$738,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86">
        <f t="shared" si="193"/>
        <v>0</v>
      </c>
      <c r="M763" s="186">
        <f t="shared" si="193"/>
        <v>0</v>
      </c>
      <c r="N763" s="186">
        <f t="shared" si="193"/>
        <v>0</v>
      </c>
      <c r="O763" s="186">
        <f t="shared" si="193"/>
        <v>126000</v>
      </c>
      <c r="P763" s="186">
        <f t="shared" si="193"/>
        <v>0</v>
      </c>
      <c r="Q763" s="186">
        <f t="shared" si="193"/>
        <v>0</v>
      </c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Q764" si="194">IF(COLUMN() &lt; (COLUMN($H$756) + (ROW()-ROW($H$756))), 0, IF(COLUMN() = (COLUMN($H$756) + (ROW()-ROW($H$756))), INDEX($H$738:$Q$738,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86">
        <f t="shared" si="194"/>
        <v>0</v>
      </c>
      <c r="M764" s="186">
        <f t="shared" si="194"/>
        <v>0</v>
      </c>
      <c r="N764" s="186">
        <f t="shared" si="194"/>
        <v>0</v>
      </c>
      <c r="O764" s="186">
        <f t="shared" si="194"/>
        <v>0</v>
      </c>
      <c r="P764" s="186">
        <f t="shared" si="194"/>
        <v>84000</v>
      </c>
      <c r="Q764" s="186">
        <f t="shared" si="194"/>
        <v>0</v>
      </c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Q765" si="195">IF(COLUMN() &lt; (COLUMN($H$756) + (ROW()-ROW($H$756))), 0, IF(COLUMN() = (COLUMN($H$756) + (ROW()-ROW($H$756))), INDEX($H$738:$Q$738,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86">
        <f t="shared" si="195"/>
        <v>0</v>
      </c>
      <c r="M765" s="186">
        <f t="shared" si="195"/>
        <v>0</v>
      </c>
      <c r="N765" s="186">
        <f t="shared" si="195"/>
        <v>0</v>
      </c>
      <c r="O765" s="186">
        <f t="shared" si="195"/>
        <v>0</v>
      </c>
      <c r="P765" s="186">
        <f t="shared" si="195"/>
        <v>0</v>
      </c>
      <c r="Q765" s="186">
        <f t="shared" si="195"/>
        <v>0</v>
      </c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Q766" si="196">IF(COLUMN() &lt; (COLUMN($H$756) + (ROW()-ROW($H$756))), 0, IF(COLUMN() = (COLUMN($H$756) + (ROW()-ROW($H$756))), INDEX($H$738:$Q$738,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86">
        <f t="shared" si="196"/>
        <v>0</v>
      </c>
      <c r="M766" s="186">
        <f t="shared" si="196"/>
        <v>0</v>
      </c>
      <c r="N766" s="186">
        <f t="shared" si="196"/>
        <v>0</v>
      </c>
      <c r="O766" s="186">
        <f t="shared" si="196"/>
        <v>0</v>
      </c>
      <c r="P766" s="186">
        <f t="shared" si="196"/>
        <v>0</v>
      </c>
      <c r="Q766" s="186">
        <f t="shared" si="196"/>
        <v>0</v>
      </c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Q767" si="197">IF(COLUMN() &lt; (COLUMN($H$756) + (ROW()-ROW($H$756))), 0, IF(COLUMN() = (COLUMN($H$756) + (ROW()-ROW($H$756))), INDEX($H$738:$Q$738,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86">
        <f t="shared" si="197"/>
        <v>0</v>
      </c>
      <c r="M767" s="186">
        <f t="shared" si="197"/>
        <v>0</v>
      </c>
      <c r="N767" s="186">
        <f t="shared" si="197"/>
        <v>0</v>
      </c>
      <c r="O767" s="186">
        <f t="shared" si="197"/>
        <v>0</v>
      </c>
      <c r="P767" s="186">
        <f t="shared" si="197"/>
        <v>0</v>
      </c>
      <c r="Q767" s="186">
        <f t="shared" si="197"/>
        <v>0</v>
      </c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Q768" si="198">IF(COLUMN() &lt; (COLUMN($H$756) + (ROW()-ROW($H$756))), 0, IF(COLUMN() = (COLUMN($H$756) + (ROW()-ROW($H$756))), INDEX($H$738:$Q$738,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86">
        <f t="shared" si="198"/>
        <v>0</v>
      </c>
      <c r="M768" s="186">
        <f t="shared" si="198"/>
        <v>0</v>
      </c>
      <c r="N768" s="186">
        <f t="shared" si="198"/>
        <v>0</v>
      </c>
      <c r="O768" s="186">
        <f t="shared" si="198"/>
        <v>0</v>
      </c>
      <c r="P768" s="186">
        <f t="shared" si="198"/>
        <v>0</v>
      </c>
      <c r="Q768" s="186">
        <f t="shared" si="198"/>
        <v>0</v>
      </c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Q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88">
        <f t="shared" si="199"/>
        <v>0</v>
      </c>
      <c r="M770" s="188">
        <f t="shared" si="199"/>
        <v>0</v>
      </c>
      <c r="N770" s="188">
        <f t="shared" si="199"/>
        <v>0</v>
      </c>
      <c r="O770" s="188">
        <f t="shared" si="199"/>
        <v>0</v>
      </c>
      <c r="P770" s="188">
        <f t="shared" si="199"/>
        <v>0</v>
      </c>
      <c r="Q770" s="188">
        <f t="shared" si="199"/>
        <v>0</v>
      </c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Q771" si="200">H771</f>
        <v>0</v>
      </c>
      <c r="J771" s="190">
        <f t="shared" si="200"/>
        <v>0</v>
      </c>
      <c r="K771" s="190">
        <f t="shared" si="200"/>
        <v>0</v>
      </c>
      <c r="L771" s="190">
        <f t="shared" si="200"/>
        <v>0</v>
      </c>
      <c r="M771" s="190">
        <f t="shared" si="200"/>
        <v>0</v>
      </c>
      <c r="N771" s="190">
        <f t="shared" si="200"/>
        <v>0</v>
      </c>
      <c r="O771" s="190">
        <f t="shared" si="200"/>
        <v>0</v>
      </c>
      <c r="P771" s="190">
        <f t="shared" si="200"/>
        <v>0</v>
      </c>
      <c r="Q771" s="190">
        <f t="shared" si="200"/>
        <v>0</v>
      </c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Q772" si="201">H772*H773</f>
        <v>0</v>
      </c>
      <c r="J772" s="188">
        <f t="shared" si="201"/>
        <v>0</v>
      </c>
      <c r="K772" s="188">
        <f t="shared" si="201"/>
        <v>0</v>
      </c>
      <c r="L772" s="188">
        <f t="shared" si="201"/>
        <v>0</v>
      </c>
      <c r="M772" s="188">
        <f t="shared" si="201"/>
        <v>0</v>
      </c>
      <c r="N772" s="188">
        <f t="shared" si="201"/>
        <v>0</v>
      </c>
      <c r="O772" s="188">
        <f t="shared" si="201"/>
        <v>0</v>
      </c>
      <c r="P772" s="188">
        <f t="shared" si="201"/>
        <v>0</v>
      </c>
      <c r="Q772" s="188">
        <f t="shared" si="201"/>
        <v>0</v>
      </c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54">
        <v>0.0</v>
      </c>
      <c r="N773" s="154">
        <v>0.0</v>
      </c>
      <c r="O773" s="154">
        <v>0.0</v>
      </c>
      <c r="P773" s="154">
        <v>0.0</v>
      </c>
      <c r="Q773" s="154">
        <v>0.0</v>
      </c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Q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88">
        <f t="shared" si="202"/>
        <v>0</v>
      </c>
      <c r="M774" s="188">
        <f t="shared" si="202"/>
        <v>0</v>
      </c>
      <c r="N774" s="188">
        <f t="shared" si="202"/>
        <v>0</v>
      </c>
      <c r="O774" s="188">
        <f t="shared" si="202"/>
        <v>0</v>
      </c>
      <c r="P774" s="188">
        <f t="shared" si="202"/>
        <v>0</v>
      </c>
      <c r="Q774" s="188">
        <f t="shared" si="202"/>
        <v>0</v>
      </c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Q779" si="203">SUM(H782,H785,H788,H791,H794)</f>
        <v>0</v>
      </c>
      <c r="I779" s="173">
        <f t="shared" si="203"/>
        <v>3682000</v>
      </c>
      <c r="J779" s="173">
        <f t="shared" si="203"/>
        <v>2386000</v>
      </c>
      <c r="K779" s="173">
        <f t="shared" si="203"/>
        <v>1704000</v>
      </c>
      <c r="L779" s="173">
        <f t="shared" si="203"/>
        <v>1154000</v>
      </c>
      <c r="M779" s="173">
        <f t="shared" si="203"/>
        <v>2416000</v>
      </c>
      <c r="N779" s="173">
        <f t="shared" si="203"/>
        <v>790000</v>
      </c>
      <c r="O779" s="173">
        <f t="shared" si="203"/>
        <v>578000</v>
      </c>
      <c r="P779" s="173">
        <f t="shared" si="203"/>
        <v>1771000</v>
      </c>
      <c r="Q779" s="173">
        <f t="shared" si="203"/>
        <v>0</v>
      </c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336</v>
      </c>
      <c r="E781" s="1"/>
      <c r="F781" s="1"/>
      <c r="G781" s="128"/>
      <c r="H781" s="128">
        <f t="shared" ref="H781:Q781" si="204">IFERROR(H782/H$779,0)</f>
        <v>0</v>
      </c>
      <c r="I781" s="128">
        <f t="shared" si="204"/>
        <v>0.4291146116</v>
      </c>
      <c r="J781" s="128">
        <f t="shared" si="204"/>
        <v>0.4719195306</v>
      </c>
      <c r="K781" s="128">
        <f t="shared" si="204"/>
        <v>0.4295774648</v>
      </c>
      <c r="L781" s="128">
        <f t="shared" si="204"/>
        <v>0.4298093588</v>
      </c>
      <c r="M781" s="128">
        <f t="shared" si="204"/>
        <v>0.5074503311</v>
      </c>
      <c r="N781" s="128">
        <f t="shared" si="204"/>
        <v>0.4303797468</v>
      </c>
      <c r="O781" s="128">
        <f t="shared" si="204"/>
        <v>0.4290657439</v>
      </c>
      <c r="P781" s="128">
        <f t="shared" si="204"/>
        <v>0.5482778091</v>
      </c>
      <c r="Q781" s="128">
        <f t="shared" si="204"/>
        <v>0</v>
      </c>
      <c r="R781" s="1"/>
      <c r="S781" s="1"/>
    </row>
    <row r="782">
      <c r="A782" s="1"/>
      <c r="B782" s="1"/>
      <c r="C782" s="176" t="s">
        <v>285</v>
      </c>
      <c r="D782" s="176" t="s">
        <v>337</v>
      </c>
      <c r="E782" s="1"/>
      <c r="F782" s="1"/>
      <c r="G782" s="173"/>
      <c r="H782" s="173">
        <f t="shared" ref="H782:Q782" si="205">SUM(H827,H872,H917,H963,H1008)</f>
        <v>0</v>
      </c>
      <c r="I782" s="173">
        <f t="shared" si="205"/>
        <v>1580000</v>
      </c>
      <c r="J782" s="173">
        <f t="shared" si="205"/>
        <v>1126000</v>
      </c>
      <c r="K782" s="173">
        <f t="shared" si="205"/>
        <v>732000</v>
      </c>
      <c r="L782" s="173">
        <f t="shared" si="205"/>
        <v>496000</v>
      </c>
      <c r="M782" s="173">
        <f t="shared" si="205"/>
        <v>1226000</v>
      </c>
      <c r="N782" s="173">
        <f t="shared" si="205"/>
        <v>340000</v>
      </c>
      <c r="O782" s="173">
        <f t="shared" si="205"/>
        <v>248000</v>
      </c>
      <c r="P782" s="173">
        <f t="shared" si="205"/>
        <v>971000</v>
      </c>
      <c r="Q782" s="173">
        <f t="shared" si="205"/>
        <v>0</v>
      </c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"/>
      <c r="S783" s="1"/>
    </row>
    <row r="784">
      <c r="A784" s="1"/>
      <c r="B784" s="1"/>
      <c r="C784" s="176" t="s">
        <v>287</v>
      </c>
      <c r="D784" s="176" t="s">
        <v>338</v>
      </c>
      <c r="E784" s="1"/>
      <c r="F784" s="1"/>
      <c r="G784" s="128"/>
      <c r="H784" s="128">
        <f t="shared" ref="H784:Q784" si="206">IFERROR(H785/H$779,0)</f>
        <v>0</v>
      </c>
      <c r="I784" s="128">
        <f t="shared" si="206"/>
        <v>0.3101575231</v>
      </c>
      <c r="J784" s="128">
        <f t="shared" si="206"/>
        <v>0.2849958089</v>
      </c>
      <c r="K784" s="128">
        <f t="shared" si="206"/>
        <v>0.3098591549</v>
      </c>
      <c r="L784" s="128">
        <f t="shared" si="206"/>
        <v>0.3154246101</v>
      </c>
      <c r="M784" s="128">
        <f t="shared" si="206"/>
        <v>0.2293046358</v>
      </c>
      <c r="N784" s="128">
        <f t="shared" si="206"/>
        <v>0.3113924051</v>
      </c>
      <c r="O784" s="128">
        <f t="shared" si="206"/>
        <v>0.3114186851</v>
      </c>
      <c r="P784" s="128">
        <f t="shared" si="206"/>
        <v>0.2055335968</v>
      </c>
      <c r="Q784" s="128">
        <f t="shared" si="206"/>
        <v>0</v>
      </c>
      <c r="R784" s="1"/>
      <c r="S784" s="1"/>
    </row>
    <row r="785">
      <c r="A785" s="1"/>
      <c r="B785" s="1"/>
      <c r="C785" s="176" t="s">
        <v>285</v>
      </c>
      <c r="D785" s="176" t="s">
        <v>339</v>
      </c>
      <c r="E785" s="1"/>
      <c r="F785" s="1"/>
      <c r="G785" s="173"/>
      <c r="H785" s="173">
        <f t="shared" ref="H785:Q785" si="207">SUM(H830,H875,H920,H966,H1011)</f>
        <v>0</v>
      </c>
      <c r="I785" s="173">
        <f t="shared" si="207"/>
        <v>1142000</v>
      </c>
      <c r="J785" s="173">
        <f t="shared" si="207"/>
        <v>680000</v>
      </c>
      <c r="K785" s="173">
        <f t="shared" si="207"/>
        <v>528000</v>
      </c>
      <c r="L785" s="173">
        <f t="shared" si="207"/>
        <v>364000</v>
      </c>
      <c r="M785" s="173">
        <f t="shared" si="207"/>
        <v>554000</v>
      </c>
      <c r="N785" s="173">
        <f t="shared" si="207"/>
        <v>246000</v>
      </c>
      <c r="O785" s="173">
        <f t="shared" si="207"/>
        <v>180000</v>
      </c>
      <c r="P785" s="173">
        <f t="shared" si="207"/>
        <v>364000</v>
      </c>
      <c r="Q785" s="173">
        <f t="shared" si="207"/>
        <v>0</v>
      </c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"/>
      <c r="S786" s="1"/>
    </row>
    <row r="787">
      <c r="A787" s="1"/>
      <c r="B787" s="1"/>
      <c r="C787" s="176" t="s">
        <v>287</v>
      </c>
      <c r="D787" s="13" t="s">
        <v>340</v>
      </c>
      <c r="E787" s="1"/>
      <c r="F787" s="1"/>
      <c r="G787" s="128"/>
      <c r="H787" s="128">
        <f t="shared" ref="H787:Q787" si="208">IFERROR(H788/H$779,0)</f>
        <v>0</v>
      </c>
      <c r="I787" s="128">
        <f t="shared" si="208"/>
        <v>0.03259098316</v>
      </c>
      <c r="J787" s="128">
        <f t="shared" si="208"/>
        <v>0.03688181056</v>
      </c>
      <c r="K787" s="128">
        <f t="shared" si="208"/>
        <v>0.03873239437</v>
      </c>
      <c r="L787" s="128">
        <f t="shared" si="208"/>
        <v>0.03639514731</v>
      </c>
      <c r="M787" s="128">
        <f t="shared" si="208"/>
        <v>0.03973509934</v>
      </c>
      <c r="N787" s="128">
        <f t="shared" si="208"/>
        <v>0.04556962025</v>
      </c>
      <c r="O787" s="128">
        <f t="shared" si="208"/>
        <v>0.04152249135</v>
      </c>
      <c r="P787" s="128">
        <f t="shared" si="208"/>
        <v>0.03613777527</v>
      </c>
      <c r="Q787" s="128">
        <f t="shared" si="208"/>
        <v>0</v>
      </c>
      <c r="R787" s="1"/>
      <c r="S787" s="1"/>
    </row>
    <row r="788" ht="18.0" customHeight="1">
      <c r="A788" s="1"/>
      <c r="B788" s="1"/>
      <c r="C788" s="176" t="s">
        <v>285</v>
      </c>
      <c r="D788" s="13" t="s">
        <v>341</v>
      </c>
      <c r="E788" s="1"/>
      <c r="F788" s="1"/>
      <c r="G788" s="173"/>
      <c r="H788" s="173">
        <f t="shared" ref="H788:Q788" si="209">SUM(H833,H878,H923)</f>
        <v>0</v>
      </c>
      <c r="I788" s="173">
        <f t="shared" si="209"/>
        <v>120000</v>
      </c>
      <c r="J788" s="173">
        <f t="shared" si="209"/>
        <v>88000</v>
      </c>
      <c r="K788" s="173">
        <f t="shared" si="209"/>
        <v>66000</v>
      </c>
      <c r="L788" s="173">
        <f t="shared" si="209"/>
        <v>42000</v>
      </c>
      <c r="M788" s="173">
        <f t="shared" si="209"/>
        <v>96000</v>
      </c>
      <c r="N788" s="173">
        <f t="shared" si="209"/>
        <v>36000</v>
      </c>
      <c r="O788" s="173">
        <f t="shared" si="209"/>
        <v>24000</v>
      </c>
      <c r="P788" s="173">
        <f t="shared" si="209"/>
        <v>64000</v>
      </c>
      <c r="Q788" s="173">
        <f t="shared" si="209"/>
        <v>0</v>
      </c>
      <c r="R788" s="1"/>
      <c r="S788" s="1"/>
    </row>
    <row r="789">
      <c r="A789" s="1"/>
      <c r="B789" s="1"/>
      <c r="C789" s="1"/>
      <c r="D789" s="1"/>
      <c r="E789" s="1"/>
      <c r="F789" s="1"/>
      <c r="G789" s="167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"/>
      <c r="S789" s="1"/>
    </row>
    <row r="790">
      <c r="A790" s="1"/>
      <c r="B790" s="1"/>
      <c r="C790" s="176" t="s">
        <v>287</v>
      </c>
      <c r="D790" s="13" t="s">
        <v>342</v>
      </c>
      <c r="E790" s="1"/>
      <c r="F790" s="1"/>
      <c r="G790" s="167"/>
      <c r="H790" s="128">
        <f t="shared" ref="H790:Q790" si="210">IFERROR(H791/H$779,0)</f>
        <v>0</v>
      </c>
      <c r="I790" s="128">
        <f t="shared" si="210"/>
        <v>0.2281368821</v>
      </c>
      <c r="J790" s="128">
        <f t="shared" si="210"/>
        <v>0.20620285</v>
      </c>
      <c r="K790" s="128">
        <f t="shared" si="210"/>
        <v>0.2218309859</v>
      </c>
      <c r="L790" s="128">
        <f t="shared" si="210"/>
        <v>0.2183708839</v>
      </c>
      <c r="M790" s="128">
        <f t="shared" si="210"/>
        <v>0.2235099338</v>
      </c>
      <c r="N790" s="128">
        <f t="shared" si="210"/>
        <v>0.2126582278</v>
      </c>
      <c r="O790" s="128">
        <f t="shared" si="210"/>
        <v>0.2179930796</v>
      </c>
      <c r="P790" s="128">
        <f t="shared" si="210"/>
        <v>0.2100508187</v>
      </c>
      <c r="Q790" s="128">
        <f t="shared" si="210"/>
        <v>0</v>
      </c>
      <c r="R790" s="1"/>
      <c r="S790" s="1"/>
    </row>
    <row r="791" ht="18.0" customHeight="1">
      <c r="A791" s="1"/>
      <c r="B791" s="1"/>
      <c r="C791" s="176" t="s">
        <v>285</v>
      </c>
      <c r="D791" s="13" t="s">
        <v>343</v>
      </c>
      <c r="E791" s="1"/>
      <c r="F791" s="1"/>
      <c r="G791" s="167"/>
      <c r="H791" s="173">
        <f t="shared" ref="H791:Q791" si="211">SUM(H836,H881,H926)</f>
        <v>0</v>
      </c>
      <c r="I791" s="173">
        <f t="shared" si="211"/>
        <v>840000</v>
      </c>
      <c r="J791" s="173">
        <f t="shared" si="211"/>
        <v>492000</v>
      </c>
      <c r="K791" s="173">
        <f t="shared" si="211"/>
        <v>378000</v>
      </c>
      <c r="L791" s="173">
        <f t="shared" si="211"/>
        <v>252000</v>
      </c>
      <c r="M791" s="173">
        <f t="shared" si="211"/>
        <v>540000</v>
      </c>
      <c r="N791" s="173">
        <f t="shared" si="211"/>
        <v>168000</v>
      </c>
      <c r="O791" s="173">
        <f t="shared" si="211"/>
        <v>126000</v>
      </c>
      <c r="P791" s="173">
        <f t="shared" si="211"/>
        <v>372000</v>
      </c>
      <c r="Q791" s="173">
        <f t="shared" si="211"/>
        <v>0</v>
      </c>
      <c r="R791" s="1"/>
      <c r="S791" s="1"/>
    </row>
    <row r="792">
      <c r="A792" s="1"/>
      <c r="B792" s="1"/>
      <c r="C792" s="1"/>
      <c r="D792" s="1"/>
      <c r="E792" s="1"/>
      <c r="F792" s="1"/>
      <c r="G792" s="167"/>
      <c r="H792" s="178"/>
      <c r="I792" s="143"/>
      <c r="J792" s="143"/>
      <c r="K792" s="143"/>
      <c r="L792" s="143"/>
      <c r="M792" s="143"/>
      <c r="N792" s="143"/>
      <c r="O792" s="143"/>
      <c r="P792" s="143"/>
      <c r="Q792" s="143"/>
      <c r="R792" s="1"/>
      <c r="S792" s="1"/>
    </row>
    <row r="793">
      <c r="A793" s="1"/>
      <c r="B793" s="1"/>
      <c r="C793" s="176" t="s">
        <v>287</v>
      </c>
      <c r="D793" s="176" t="s">
        <v>344</v>
      </c>
      <c r="E793" s="1"/>
      <c r="F793" s="1"/>
      <c r="G793" s="167"/>
      <c r="H793" s="128">
        <f t="shared" ref="H793:Q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28">
        <f t="shared" si="212"/>
        <v>0</v>
      </c>
      <c r="M793" s="128">
        <f t="shared" si="212"/>
        <v>0</v>
      </c>
      <c r="N793" s="128">
        <f t="shared" si="212"/>
        <v>0</v>
      </c>
      <c r="O793" s="128">
        <f t="shared" si="212"/>
        <v>0</v>
      </c>
      <c r="P793" s="128">
        <f t="shared" si="212"/>
        <v>0</v>
      </c>
      <c r="Q793" s="128">
        <f t="shared" si="212"/>
        <v>0</v>
      </c>
      <c r="R793" s="1"/>
      <c r="S793" s="1"/>
    </row>
    <row r="794">
      <c r="A794" s="1"/>
      <c r="B794" s="1"/>
      <c r="C794" s="176" t="s">
        <v>285</v>
      </c>
      <c r="D794" s="176" t="s">
        <v>345</v>
      </c>
      <c r="E794" s="1"/>
      <c r="F794" s="1"/>
      <c r="G794" s="173"/>
      <c r="H794" s="173">
        <f t="shared" ref="H794:Q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73">
        <f t="shared" si="213"/>
        <v>0</v>
      </c>
      <c r="M794" s="173">
        <f t="shared" si="213"/>
        <v>0</v>
      </c>
      <c r="N794" s="173">
        <f t="shared" si="213"/>
        <v>0</v>
      </c>
      <c r="O794" s="173">
        <f t="shared" si="213"/>
        <v>0</v>
      </c>
      <c r="P794" s="173">
        <f t="shared" si="213"/>
        <v>0</v>
      </c>
      <c r="Q794" s="173">
        <f t="shared" si="213"/>
        <v>0</v>
      </c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28</v>
      </c>
      <c r="I797" s="197"/>
      <c r="J797" s="197"/>
      <c r="K797" s="197"/>
      <c r="L797" s="197"/>
      <c r="M797" s="197"/>
      <c r="N797" s="197"/>
      <c r="O797" s="197"/>
      <c r="P797" s="197"/>
      <c r="Q797" s="197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0.01039474286</v>
      </c>
      <c r="H798" s="149">
        <f>SUM($H$416)</f>
        <v>1455264</v>
      </c>
      <c r="I798" s="197"/>
      <c r="J798" s="197"/>
      <c r="K798" s="197"/>
      <c r="L798" s="197"/>
      <c r="M798" s="197"/>
      <c r="N798" s="197"/>
      <c r="O798" s="197"/>
      <c r="P798" s="197"/>
      <c r="Q798" s="197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56"/>
      <c r="N799" s="156"/>
      <c r="O799" s="156"/>
      <c r="P799" s="156"/>
      <c r="Q799" s="156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140000000</v>
      </c>
      <c r="I800" s="149"/>
      <c r="J800" s="149"/>
      <c r="K800" s="149"/>
      <c r="L800" s="149"/>
      <c r="M800" s="149"/>
      <c r="N800" s="149"/>
      <c r="O800" s="149"/>
      <c r="P800" s="149"/>
      <c r="Q800" s="149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0.02078948571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>
        <v>0.3</v>
      </c>
      <c r="N802" s="145">
        <v>0.0</v>
      </c>
      <c r="O802" s="145">
        <v>0.0</v>
      </c>
      <c r="P802" s="145">
        <v>0.3</v>
      </c>
      <c r="Q802" s="145">
        <v>0.0</v>
      </c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2910528</v>
      </c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1455264</v>
      </c>
      <c r="I804" s="149">
        <f t="shared" ref="I804:Q804" si="214">H804+I813</f>
        <v>1455264</v>
      </c>
      <c r="J804" s="149">
        <f t="shared" si="214"/>
        <v>1615264</v>
      </c>
      <c r="K804" s="149">
        <f t="shared" si="214"/>
        <v>1615264</v>
      </c>
      <c r="L804" s="149">
        <f t="shared" si="214"/>
        <v>1615264</v>
      </c>
      <c r="M804" s="149">
        <f t="shared" si="214"/>
        <v>2015264</v>
      </c>
      <c r="N804" s="149">
        <f t="shared" si="214"/>
        <v>2015264</v>
      </c>
      <c r="O804" s="149">
        <f t="shared" si="214"/>
        <v>2015264</v>
      </c>
      <c r="P804" s="149">
        <f t="shared" si="214"/>
        <v>2415264</v>
      </c>
      <c r="Q804" s="149">
        <f t="shared" si="214"/>
        <v>2415264</v>
      </c>
      <c r="R804" s="199" t="str">
        <f>#REF!</f>
        <v>#REF!</v>
      </c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1455264</v>
      </c>
      <c r="H805" s="149">
        <f>$G$895*H802</f>
        <v>0</v>
      </c>
      <c r="I805" s="149">
        <f t="shared" ref="I805:Q805" si="215">$G$805*I802</f>
        <v>0</v>
      </c>
      <c r="J805" s="149">
        <f t="shared" si="215"/>
        <v>145526.4</v>
      </c>
      <c r="K805" s="149">
        <f t="shared" si="215"/>
        <v>0</v>
      </c>
      <c r="L805" s="149">
        <f t="shared" si="215"/>
        <v>0</v>
      </c>
      <c r="M805" s="149">
        <f t="shared" si="215"/>
        <v>436579.2</v>
      </c>
      <c r="N805" s="149">
        <f t="shared" si="215"/>
        <v>0</v>
      </c>
      <c r="O805" s="149">
        <f t="shared" si="215"/>
        <v>0</v>
      </c>
      <c r="P805" s="149">
        <f t="shared" si="215"/>
        <v>436579.2</v>
      </c>
      <c r="Q805" s="149">
        <f t="shared" si="215"/>
        <v>0</v>
      </c>
      <c r="R805" s="199">
        <f>SUM(H805:Q805)</f>
        <v>1018684.8</v>
      </c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Q807" si="216">$H$800-H804</f>
        <v>138544736</v>
      </c>
      <c r="I807" s="149">
        <f t="shared" si="216"/>
        <v>138544736</v>
      </c>
      <c r="J807" s="149">
        <f t="shared" si="216"/>
        <v>138384736</v>
      </c>
      <c r="K807" s="149">
        <f t="shared" si="216"/>
        <v>138384736</v>
      </c>
      <c r="L807" s="149">
        <f t="shared" si="216"/>
        <v>138384736</v>
      </c>
      <c r="M807" s="149">
        <f t="shared" si="216"/>
        <v>137984736</v>
      </c>
      <c r="N807" s="149">
        <f t="shared" si="216"/>
        <v>137984736</v>
      </c>
      <c r="O807" s="149">
        <f t="shared" si="216"/>
        <v>137984736</v>
      </c>
      <c r="P807" s="149">
        <f t="shared" si="216"/>
        <v>137584736</v>
      </c>
      <c r="Q807" s="149">
        <f t="shared" si="216"/>
        <v>137584736</v>
      </c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R808" si="217">IFERROR(H804/$H$890,0)</f>
        <v>0.007240119403</v>
      </c>
      <c r="I808" s="142">
        <f t="shared" si="217"/>
        <v>0.007240119403</v>
      </c>
      <c r="J808" s="142">
        <f t="shared" si="217"/>
        <v>0.008036139303</v>
      </c>
      <c r="K808" s="142">
        <f t="shared" si="217"/>
        <v>0.008036139303</v>
      </c>
      <c r="L808" s="142">
        <f t="shared" si="217"/>
        <v>0.008036139303</v>
      </c>
      <c r="M808" s="142">
        <f t="shared" si="217"/>
        <v>0.01002618905</v>
      </c>
      <c r="N808" s="142">
        <f t="shared" si="217"/>
        <v>0.01002618905</v>
      </c>
      <c r="O808" s="142">
        <f t="shared" si="217"/>
        <v>0.01002618905</v>
      </c>
      <c r="P808" s="142">
        <f t="shared" si="217"/>
        <v>0.01201623881</v>
      </c>
      <c r="Q808" s="142">
        <f t="shared" si="217"/>
        <v>0.01201623881</v>
      </c>
      <c r="R808" s="200">
        <f t="shared" si="217"/>
        <v>0</v>
      </c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R809" si="218">IFERROR(1-(H804/$H$800),0)</f>
        <v>0.9896052571</v>
      </c>
      <c r="I809" s="142">
        <f t="shared" si="218"/>
        <v>0.9896052571</v>
      </c>
      <c r="J809" s="142">
        <f t="shared" si="218"/>
        <v>0.9884624</v>
      </c>
      <c r="K809" s="142">
        <f t="shared" si="218"/>
        <v>0.9884624</v>
      </c>
      <c r="L809" s="142">
        <f t="shared" si="218"/>
        <v>0.9884624</v>
      </c>
      <c r="M809" s="142">
        <f t="shared" si="218"/>
        <v>0.9856052571</v>
      </c>
      <c r="N809" s="142">
        <f t="shared" si="218"/>
        <v>0.9856052571</v>
      </c>
      <c r="O809" s="142">
        <f t="shared" si="218"/>
        <v>0.9856052571</v>
      </c>
      <c r="P809" s="142">
        <f t="shared" si="218"/>
        <v>0.9827481143</v>
      </c>
      <c r="Q809" s="142">
        <f t="shared" si="218"/>
        <v>0.9827481143</v>
      </c>
      <c r="R809" s="200">
        <f t="shared" si="218"/>
        <v>0</v>
      </c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9">ROUNDUP(H805/H812,0)</f>
        <v>0</v>
      </c>
      <c r="I811" s="190">
        <f t="shared" si="219"/>
        <v>0</v>
      </c>
      <c r="J811" s="190">
        <f t="shared" si="219"/>
        <v>4</v>
      </c>
      <c r="K811" s="190">
        <f t="shared" si="219"/>
        <v>0</v>
      </c>
      <c r="L811" s="190">
        <f t="shared" si="219"/>
        <v>0</v>
      </c>
      <c r="M811" s="190">
        <f>ROUND(M805/M812,0)</f>
        <v>10</v>
      </c>
      <c r="N811" s="190">
        <f t="shared" ref="N811:Q811" si="220">ROUNDUP(N805/N812,0)</f>
        <v>0</v>
      </c>
      <c r="O811" s="190">
        <f t="shared" si="220"/>
        <v>0</v>
      </c>
      <c r="P811" s="190">
        <f t="shared" si="220"/>
        <v>10</v>
      </c>
      <c r="Q811" s="190">
        <f t="shared" si="220"/>
        <v>0</v>
      </c>
      <c r="R811" s="201">
        <f>SUM(H811:Q811)</f>
        <v>24</v>
      </c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56">
        <v>44500.0</v>
      </c>
      <c r="N812" s="156">
        <v>44500.0</v>
      </c>
      <c r="O812" s="156">
        <v>44500.0</v>
      </c>
      <c r="P812" s="156">
        <v>44500.0</v>
      </c>
      <c r="Q812" s="156">
        <v>44500.0</v>
      </c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Q813" si="221">SUM(H827,H830,H833,H836,H839)</f>
        <v>0</v>
      </c>
      <c r="I813" s="188">
        <f t="shared" si="221"/>
        <v>0</v>
      </c>
      <c r="J813" s="188">
        <f t="shared" si="221"/>
        <v>160000</v>
      </c>
      <c r="K813" s="188">
        <f t="shared" si="221"/>
        <v>0</v>
      </c>
      <c r="L813" s="188">
        <f t="shared" si="221"/>
        <v>0</v>
      </c>
      <c r="M813" s="188">
        <f t="shared" si="221"/>
        <v>400000</v>
      </c>
      <c r="N813" s="188">
        <f t="shared" si="221"/>
        <v>0</v>
      </c>
      <c r="O813" s="188">
        <f t="shared" si="221"/>
        <v>0</v>
      </c>
      <c r="P813" s="188">
        <f t="shared" si="221"/>
        <v>400000</v>
      </c>
      <c r="Q813" s="188">
        <f t="shared" si="221"/>
        <v>0</v>
      </c>
      <c r="R813" s="196">
        <f>SUM(H813:Q813)</f>
        <v>960000</v>
      </c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203">
        <v>0.5</v>
      </c>
      <c r="N814" s="203">
        <v>0.5</v>
      </c>
      <c r="O814" s="203">
        <v>0.5</v>
      </c>
      <c r="P814" s="203">
        <v>0.5</v>
      </c>
      <c r="Q814" s="203">
        <v>0.5</v>
      </c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203">
        <v>0.4</v>
      </c>
      <c r="N815" s="203">
        <v>0.4</v>
      </c>
      <c r="O815" s="203">
        <v>0.4</v>
      </c>
      <c r="P815" s="203">
        <v>0.4</v>
      </c>
      <c r="Q815" s="203">
        <v>0.4</v>
      </c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203">
        <v>0.05</v>
      </c>
      <c r="N816" s="203">
        <v>0.05</v>
      </c>
      <c r="O816" s="203">
        <v>0.05</v>
      </c>
      <c r="P816" s="203">
        <v>0.05</v>
      </c>
      <c r="Q816" s="203">
        <v>0.05</v>
      </c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203">
        <v>0.05</v>
      </c>
      <c r="N817" s="203">
        <v>0.05</v>
      </c>
      <c r="O817" s="203">
        <v>0.05</v>
      </c>
      <c r="P817" s="203">
        <v>0.05</v>
      </c>
      <c r="Q817" s="203">
        <v>0.05</v>
      </c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203">
        <v>0.0</v>
      </c>
      <c r="N818" s="203">
        <v>0.0</v>
      </c>
      <c r="O818" s="203">
        <v>0.0</v>
      </c>
      <c r="P818" s="203">
        <v>0.0</v>
      </c>
      <c r="Q818" s="203">
        <v>0.0</v>
      </c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204">
        <v>70000.0</v>
      </c>
      <c r="N819" s="204">
        <v>70000.0</v>
      </c>
      <c r="O819" s="204">
        <v>70000.0</v>
      </c>
      <c r="P819" s="204">
        <v>70000.0</v>
      </c>
      <c r="Q819" s="204">
        <v>70000.0</v>
      </c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204">
        <v>10000.0</v>
      </c>
      <c r="N820" s="204">
        <v>10000.0</v>
      </c>
      <c r="O820" s="204">
        <v>10000.0</v>
      </c>
      <c r="P820" s="204">
        <v>10000.0</v>
      </c>
      <c r="Q820" s="204">
        <v>10000.0</v>
      </c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204">
        <v>10000.0</v>
      </c>
      <c r="N821" s="204">
        <v>10000.0</v>
      </c>
      <c r="O821" s="204">
        <v>10000.0</v>
      </c>
      <c r="P821" s="204">
        <v>10000.0</v>
      </c>
      <c r="Q821" s="204">
        <v>10000.0</v>
      </c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204">
        <v>100000.0</v>
      </c>
      <c r="N822" s="204">
        <v>100000.0</v>
      </c>
      <c r="O822" s="204">
        <v>100000.0</v>
      </c>
      <c r="P822" s="204">
        <v>100000.0</v>
      </c>
      <c r="Q822" s="204">
        <v>100000.0</v>
      </c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204">
        <v>0.0</v>
      </c>
      <c r="N823" s="204">
        <v>0.0</v>
      </c>
      <c r="O823" s="204">
        <v>0.0</v>
      </c>
      <c r="P823" s="204">
        <v>0.0</v>
      </c>
      <c r="Q823" s="204">
        <v>0.0</v>
      </c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62">
        <f>IFERROR(__xludf.DUMMYFUNCTION("MATCH(
  MIN(FILTER(M819:M823,M819:M823&gt;0)),
  M819:M823,
  0
)
"),2.0)</f>
        <v>2</v>
      </c>
      <c r="N824" s="162">
        <f>IFERROR(__xludf.DUMMYFUNCTION("MATCH(
  MIN(FILTER(N819:N823,N819:N823&gt;0)),
  N819:N823,
  0
)
"),2.0)</f>
        <v>2</v>
      </c>
      <c r="O824" s="162">
        <f>IFERROR(__xludf.DUMMYFUNCTION("MATCH(
  MIN(FILTER(O819:O823,O819:O823&gt;0)),
  O819:O823,
  0
)
"),2.0)</f>
        <v>2</v>
      </c>
      <c r="P824" s="162">
        <f>IFERROR(__xludf.DUMMYFUNCTION("MATCH(
  MIN(FILTER(P819:P823,P819:P823&gt;0)),
  P819:P823,
  0
)
"),2.0)</f>
        <v>2</v>
      </c>
      <c r="Q824" s="162">
        <f>IFERROR(__xludf.DUMMYFUNCTION("MATCH(
  MIN(FILTER(Q819:Q823,Q819:Q823&gt;0)),
  Q819:Q823,
  0
)
"),2.0)</f>
        <v>2</v>
      </c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Q826" si="222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2"/>
        <v>0</v>
      </c>
      <c r="J826" s="148">
        <f t="shared" si="222"/>
        <v>2</v>
      </c>
      <c r="K826" s="148">
        <f t="shared" si="222"/>
        <v>0</v>
      </c>
      <c r="L826" s="148">
        <f t="shared" si="222"/>
        <v>0</v>
      </c>
      <c r="M826" s="148">
        <f t="shared" si="222"/>
        <v>5</v>
      </c>
      <c r="N826" s="148">
        <f t="shared" si="222"/>
        <v>0</v>
      </c>
      <c r="O826" s="148">
        <f t="shared" si="222"/>
        <v>0</v>
      </c>
      <c r="P826" s="148">
        <f t="shared" si="222"/>
        <v>5</v>
      </c>
      <c r="Q826" s="148">
        <f t="shared" si="222"/>
        <v>0</v>
      </c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Q827" si="223">(H826*H819)</f>
        <v>0</v>
      </c>
      <c r="I827" s="150">
        <f t="shared" si="223"/>
        <v>0</v>
      </c>
      <c r="J827" s="150">
        <f t="shared" si="223"/>
        <v>140000</v>
      </c>
      <c r="K827" s="150">
        <f t="shared" si="223"/>
        <v>0</v>
      </c>
      <c r="L827" s="150">
        <f t="shared" si="223"/>
        <v>0</v>
      </c>
      <c r="M827" s="150">
        <f t="shared" si="223"/>
        <v>350000</v>
      </c>
      <c r="N827" s="150">
        <f t="shared" si="223"/>
        <v>0</v>
      </c>
      <c r="O827" s="150">
        <f t="shared" si="223"/>
        <v>0</v>
      </c>
      <c r="P827" s="150">
        <f t="shared" si="223"/>
        <v>350000</v>
      </c>
      <c r="Q827" s="150">
        <f t="shared" si="223"/>
        <v>0</v>
      </c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Q829" si="224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4"/>
        <v>0</v>
      </c>
      <c r="J829" s="148">
        <f t="shared" si="224"/>
        <v>2</v>
      </c>
      <c r="K829" s="148">
        <f t="shared" si="224"/>
        <v>0</v>
      </c>
      <c r="L829" s="148">
        <f t="shared" si="224"/>
        <v>0</v>
      </c>
      <c r="M829" s="148">
        <f t="shared" si="224"/>
        <v>5</v>
      </c>
      <c r="N829" s="148">
        <f t="shared" si="224"/>
        <v>0</v>
      </c>
      <c r="O829" s="148">
        <f t="shared" si="224"/>
        <v>0</v>
      </c>
      <c r="P829" s="148">
        <f t="shared" si="224"/>
        <v>5</v>
      </c>
      <c r="Q829" s="148">
        <f t="shared" si="224"/>
        <v>0</v>
      </c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Q830" si="225">(H820*H829)</f>
        <v>0</v>
      </c>
      <c r="I830" s="150">
        <f t="shared" si="225"/>
        <v>0</v>
      </c>
      <c r="J830" s="150">
        <f t="shared" si="225"/>
        <v>20000</v>
      </c>
      <c r="K830" s="150">
        <f t="shared" si="225"/>
        <v>0</v>
      </c>
      <c r="L830" s="150">
        <f t="shared" si="225"/>
        <v>0</v>
      </c>
      <c r="M830" s="150">
        <f t="shared" si="225"/>
        <v>50000</v>
      </c>
      <c r="N830" s="150">
        <f t="shared" si="225"/>
        <v>0</v>
      </c>
      <c r="O830" s="150">
        <f t="shared" si="225"/>
        <v>0</v>
      </c>
      <c r="P830" s="150">
        <f t="shared" si="225"/>
        <v>50000</v>
      </c>
      <c r="Q830" s="150">
        <f t="shared" si="225"/>
        <v>0</v>
      </c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Q832" si="226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6"/>
        <v>0</v>
      </c>
      <c r="J832" s="148">
        <f t="shared" si="226"/>
        <v>0</v>
      </c>
      <c r="K832" s="148">
        <f t="shared" si="226"/>
        <v>0</v>
      </c>
      <c r="L832" s="148">
        <f t="shared" si="226"/>
        <v>0</v>
      </c>
      <c r="M832" s="148">
        <f t="shared" si="226"/>
        <v>0</v>
      </c>
      <c r="N832" s="148">
        <f t="shared" si="226"/>
        <v>0</v>
      </c>
      <c r="O832" s="148">
        <f t="shared" si="226"/>
        <v>0</v>
      </c>
      <c r="P832" s="148">
        <f t="shared" si="226"/>
        <v>0</v>
      </c>
      <c r="Q832" s="148">
        <f t="shared" si="226"/>
        <v>0</v>
      </c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Q833" si="227">(H821*H832)</f>
        <v>0</v>
      </c>
      <c r="I833" s="150">
        <f t="shared" si="227"/>
        <v>0</v>
      </c>
      <c r="J833" s="150">
        <f t="shared" si="227"/>
        <v>0</v>
      </c>
      <c r="K833" s="150">
        <f t="shared" si="227"/>
        <v>0</v>
      </c>
      <c r="L833" s="150">
        <f t="shared" si="227"/>
        <v>0</v>
      </c>
      <c r="M833" s="150">
        <f t="shared" si="227"/>
        <v>0</v>
      </c>
      <c r="N833" s="150">
        <f t="shared" si="227"/>
        <v>0</v>
      </c>
      <c r="O833" s="150">
        <f t="shared" si="227"/>
        <v>0</v>
      </c>
      <c r="P833" s="150">
        <f t="shared" si="227"/>
        <v>0</v>
      </c>
      <c r="Q833" s="150">
        <f t="shared" si="227"/>
        <v>0</v>
      </c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Q835" si="228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8"/>
        <v>0</v>
      </c>
      <c r="J835" s="148">
        <f t="shared" si="228"/>
        <v>0</v>
      </c>
      <c r="K835" s="148">
        <f t="shared" si="228"/>
        <v>0</v>
      </c>
      <c r="L835" s="148">
        <f t="shared" si="228"/>
        <v>0</v>
      </c>
      <c r="M835" s="148">
        <f t="shared" si="228"/>
        <v>0</v>
      </c>
      <c r="N835" s="148">
        <f t="shared" si="228"/>
        <v>0</v>
      </c>
      <c r="O835" s="148">
        <f t="shared" si="228"/>
        <v>0</v>
      </c>
      <c r="P835" s="148">
        <f t="shared" si="228"/>
        <v>0</v>
      </c>
      <c r="Q835" s="148">
        <f t="shared" si="228"/>
        <v>0</v>
      </c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Q836" si="229">(H822*H835)</f>
        <v>0</v>
      </c>
      <c r="I836" s="150">
        <f t="shared" si="229"/>
        <v>0</v>
      </c>
      <c r="J836" s="150">
        <f t="shared" si="229"/>
        <v>0</v>
      </c>
      <c r="K836" s="150">
        <f t="shared" si="229"/>
        <v>0</v>
      </c>
      <c r="L836" s="150">
        <f t="shared" si="229"/>
        <v>0</v>
      </c>
      <c r="M836" s="150">
        <f t="shared" si="229"/>
        <v>0</v>
      </c>
      <c r="N836" s="150">
        <f t="shared" si="229"/>
        <v>0</v>
      </c>
      <c r="O836" s="150">
        <f t="shared" si="229"/>
        <v>0</v>
      </c>
      <c r="P836" s="150">
        <f t="shared" si="229"/>
        <v>0</v>
      </c>
      <c r="Q836" s="150">
        <f t="shared" si="229"/>
        <v>0</v>
      </c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Q838" si="230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30"/>
        <v>0</v>
      </c>
      <c r="J838" s="148">
        <f t="shared" si="230"/>
        <v>0</v>
      </c>
      <c r="K838" s="148">
        <f t="shared" si="230"/>
        <v>0</v>
      </c>
      <c r="L838" s="148">
        <f t="shared" si="230"/>
        <v>0</v>
      </c>
      <c r="M838" s="148">
        <f t="shared" si="230"/>
        <v>0</v>
      </c>
      <c r="N838" s="148">
        <f t="shared" si="230"/>
        <v>0</v>
      </c>
      <c r="O838" s="148">
        <f t="shared" si="230"/>
        <v>0</v>
      </c>
      <c r="P838" s="148">
        <f t="shared" si="230"/>
        <v>0</v>
      </c>
      <c r="Q838" s="148">
        <f t="shared" si="230"/>
        <v>0</v>
      </c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Q839" si="231">(H823*H838)</f>
        <v>0</v>
      </c>
      <c r="I839" s="150">
        <f t="shared" si="231"/>
        <v>0</v>
      </c>
      <c r="J839" s="150">
        <f t="shared" si="231"/>
        <v>0</v>
      </c>
      <c r="K839" s="150">
        <f t="shared" si="231"/>
        <v>0</v>
      </c>
      <c r="L839" s="150">
        <f t="shared" si="231"/>
        <v>0</v>
      </c>
      <c r="M839" s="150">
        <f t="shared" si="231"/>
        <v>0</v>
      </c>
      <c r="N839" s="150">
        <f t="shared" si="231"/>
        <v>0</v>
      </c>
      <c r="O839" s="150">
        <f t="shared" si="231"/>
        <v>0</v>
      </c>
      <c r="P839" s="150">
        <f t="shared" si="231"/>
        <v>0</v>
      </c>
      <c r="Q839" s="150">
        <f t="shared" si="231"/>
        <v>0</v>
      </c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38</v>
      </c>
      <c r="I842" s="206"/>
      <c r="J842" s="206"/>
      <c r="K842" s="206"/>
      <c r="L842" s="206"/>
      <c r="M842" s="206"/>
      <c r="N842" s="206"/>
      <c r="O842" s="206"/>
      <c r="P842" s="206"/>
      <c r="Q842" s="206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0.01350947368</v>
      </c>
      <c r="H843" s="149">
        <f>H442</f>
        <v>1540080</v>
      </c>
      <c r="I843" s="149"/>
      <c r="J843" s="149"/>
      <c r="K843" s="149"/>
      <c r="L843" s="149"/>
      <c r="M843" s="149"/>
      <c r="N843" s="149"/>
      <c r="O843" s="149"/>
      <c r="P843" s="149"/>
      <c r="Q843" s="149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56"/>
      <c r="N844" s="156"/>
      <c r="O844" s="156"/>
      <c r="P844" s="156"/>
      <c r="Q844" s="156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114000000</v>
      </c>
      <c r="I845" s="149"/>
      <c r="J845" s="149"/>
      <c r="K845" s="149"/>
      <c r="L845" s="149"/>
      <c r="M845" s="149"/>
      <c r="N845" s="149"/>
      <c r="O845" s="149"/>
      <c r="P845" s="149"/>
      <c r="Q845" s="149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0.04052842105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>
        <v>0.3</v>
      </c>
      <c r="N847" s="145">
        <v>0.0</v>
      </c>
      <c r="O847" s="145">
        <v>0.0</v>
      </c>
      <c r="P847" s="145">
        <v>0.3</v>
      </c>
      <c r="Q847" s="145">
        <v>0.0</v>
      </c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4620240</v>
      </c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1540080</v>
      </c>
      <c r="I849" s="149">
        <f t="shared" ref="I849:Q849" si="232">H849+I858</f>
        <v>1540080</v>
      </c>
      <c r="J849" s="149">
        <f t="shared" si="232"/>
        <v>1838080</v>
      </c>
      <c r="K849" s="149">
        <f t="shared" si="232"/>
        <v>1838080</v>
      </c>
      <c r="L849" s="149">
        <f t="shared" si="232"/>
        <v>1838080</v>
      </c>
      <c r="M849" s="149">
        <f t="shared" si="232"/>
        <v>2734080</v>
      </c>
      <c r="N849" s="149">
        <f t="shared" si="232"/>
        <v>2734080</v>
      </c>
      <c r="O849" s="149">
        <f t="shared" si="232"/>
        <v>2734080</v>
      </c>
      <c r="P849" s="149">
        <f t="shared" si="232"/>
        <v>3657080</v>
      </c>
      <c r="Q849" s="149">
        <f t="shared" si="232"/>
        <v>3657080</v>
      </c>
      <c r="R849" s="199" t="str">
        <f>#REF!</f>
        <v>#REF!</v>
      </c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3080160</v>
      </c>
      <c r="H850" s="149">
        <f t="shared" ref="H850:Q850" si="233">$G$850*H847</f>
        <v>0</v>
      </c>
      <c r="I850" s="149">
        <f t="shared" si="233"/>
        <v>0</v>
      </c>
      <c r="J850" s="149">
        <f t="shared" si="233"/>
        <v>308016</v>
      </c>
      <c r="K850" s="149">
        <f t="shared" si="233"/>
        <v>0</v>
      </c>
      <c r="L850" s="149">
        <f t="shared" si="233"/>
        <v>0</v>
      </c>
      <c r="M850" s="149">
        <f t="shared" si="233"/>
        <v>924048</v>
      </c>
      <c r="N850" s="149">
        <f t="shared" si="233"/>
        <v>0</v>
      </c>
      <c r="O850" s="149">
        <f t="shared" si="233"/>
        <v>0</v>
      </c>
      <c r="P850" s="149">
        <f t="shared" si="233"/>
        <v>924048</v>
      </c>
      <c r="Q850" s="149">
        <f t="shared" si="233"/>
        <v>0</v>
      </c>
      <c r="R850" s="199">
        <f>SUM(H850:Q850)</f>
        <v>2156112</v>
      </c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Q852" si="234">$H$845-H849</f>
        <v>112459920</v>
      </c>
      <c r="I852" s="149">
        <f t="shared" si="234"/>
        <v>112459920</v>
      </c>
      <c r="J852" s="149">
        <f t="shared" si="234"/>
        <v>112161920</v>
      </c>
      <c r="K852" s="149">
        <f t="shared" si="234"/>
        <v>112161920</v>
      </c>
      <c r="L852" s="149">
        <f t="shared" si="234"/>
        <v>112161920</v>
      </c>
      <c r="M852" s="149">
        <f t="shared" si="234"/>
        <v>111265920</v>
      </c>
      <c r="N852" s="149">
        <f t="shared" si="234"/>
        <v>111265920</v>
      </c>
      <c r="O852" s="149">
        <f t="shared" si="234"/>
        <v>111265920</v>
      </c>
      <c r="P852" s="149">
        <f t="shared" si="234"/>
        <v>110342920</v>
      </c>
      <c r="Q852" s="149">
        <f t="shared" si="234"/>
        <v>110342920</v>
      </c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R853" si="235">IFERROR(H849/$H$845,0)</f>
        <v>0.01350947368</v>
      </c>
      <c r="I853" s="142">
        <f t="shared" si="235"/>
        <v>0.01350947368</v>
      </c>
      <c r="J853" s="142">
        <f t="shared" si="235"/>
        <v>0.01612350877</v>
      </c>
      <c r="K853" s="142">
        <f t="shared" si="235"/>
        <v>0.01612350877</v>
      </c>
      <c r="L853" s="142">
        <f t="shared" si="235"/>
        <v>0.01612350877</v>
      </c>
      <c r="M853" s="142">
        <f t="shared" si="235"/>
        <v>0.02398315789</v>
      </c>
      <c r="N853" s="142">
        <f t="shared" si="235"/>
        <v>0.02398315789</v>
      </c>
      <c r="O853" s="142">
        <f t="shared" si="235"/>
        <v>0.02398315789</v>
      </c>
      <c r="P853" s="142">
        <f t="shared" si="235"/>
        <v>0.03207964912</v>
      </c>
      <c r="Q853" s="142">
        <f t="shared" si="235"/>
        <v>0.03207964912</v>
      </c>
      <c r="R853" s="200">
        <f t="shared" si="235"/>
        <v>0</v>
      </c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R854" si="236">IFERROR(1-(H849/$H$845),0)</f>
        <v>0.9864905263</v>
      </c>
      <c r="I854" s="142">
        <f t="shared" si="236"/>
        <v>0.9864905263</v>
      </c>
      <c r="J854" s="142">
        <f t="shared" si="236"/>
        <v>0.9838764912</v>
      </c>
      <c r="K854" s="142">
        <f t="shared" si="236"/>
        <v>0.9838764912</v>
      </c>
      <c r="L854" s="142">
        <f t="shared" si="236"/>
        <v>0.9838764912</v>
      </c>
      <c r="M854" s="142">
        <f t="shared" si="236"/>
        <v>0.9760168421</v>
      </c>
      <c r="N854" s="142">
        <f t="shared" si="236"/>
        <v>0.9760168421</v>
      </c>
      <c r="O854" s="142">
        <f t="shared" si="236"/>
        <v>0.9760168421</v>
      </c>
      <c r="P854" s="142">
        <f t="shared" si="236"/>
        <v>0.9679203509</v>
      </c>
      <c r="Q854" s="142">
        <f t="shared" si="236"/>
        <v>0.9679203509</v>
      </c>
      <c r="R854" s="200">
        <f t="shared" si="236"/>
        <v>0</v>
      </c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7">ROUNDUP(H850/H857,0)</f>
        <v>0</v>
      </c>
      <c r="I856" s="190">
        <f t="shared" si="237"/>
        <v>0</v>
      </c>
      <c r="J856" s="190">
        <f t="shared" si="237"/>
        <v>15</v>
      </c>
      <c r="K856" s="190">
        <f t="shared" si="237"/>
        <v>0</v>
      </c>
      <c r="L856" s="190">
        <f t="shared" si="237"/>
        <v>0</v>
      </c>
      <c r="M856" s="190">
        <f>ROUND(M850/M857,0)</f>
        <v>42</v>
      </c>
      <c r="N856" s="190">
        <f t="shared" ref="N856:Q856" si="238">ROUNDUP(N850/N857,0)</f>
        <v>0</v>
      </c>
      <c r="O856" s="190">
        <f t="shared" si="238"/>
        <v>0</v>
      </c>
      <c r="P856" s="190">
        <f t="shared" si="238"/>
        <v>43</v>
      </c>
      <c r="Q856" s="190">
        <f t="shared" si="238"/>
        <v>0</v>
      </c>
      <c r="R856" s="201">
        <f>SUM(H856:Q856)</f>
        <v>100</v>
      </c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56">
        <v>22000.0</v>
      </c>
      <c r="N857" s="156">
        <v>22000.0</v>
      </c>
      <c r="O857" s="156">
        <v>22000.0</v>
      </c>
      <c r="P857" s="156">
        <v>22000.0</v>
      </c>
      <c r="Q857" s="156">
        <v>22000.0</v>
      </c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Q858" si="239">SUM(H872,H875,H878,H881,H884)</f>
        <v>0</v>
      </c>
      <c r="I858" s="188">
        <f t="shared" si="239"/>
        <v>0</v>
      </c>
      <c r="J858" s="188">
        <f t="shared" si="239"/>
        <v>298000</v>
      </c>
      <c r="K858" s="188">
        <f t="shared" si="239"/>
        <v>0</v>
      </c>
      <c r="L858" s="188">
        <f t="shared" si="239"/>
        <v>0</v>
      </c>
      <c r="M858" s="188">
        <f t="shared" si="239"/>
        <v>896000</v>
      </c>
      <c r="N858" s="188">
        <f t="shared" si="239"/>
        <v>0</v>
      </c>
      <c r="O858" s="188">
        <f t="shared" si="239"/>
        <v>0</v>
      </c>
      <c r="P858" s="188">
        <f t="shared" si="239"/>
        <v>923000</v>
      </c>
      <c r="Q858" s="188">
        <f t="shared" si="239"/>
        <v>0</v>
      </c>
      <c r="R858" s="196">
        <f>SUM(H858:Q858)</f>
        <v>2117000</v>
      </c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203">
        <v>0.4</v>
      </c>
      <c r="N859" s="203">
        <v>0.4</v>
      </c>
      <c r="O859" s="203">
        <v>0.4</v>
      </c>
      <c r="P859" s="203">
        <v>0.4</v>
      </c>
      <c r="Q859" s="203">
        <v>0.4</v>
      </c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203">
        <v>0.4</v>
      </c>
      <c r="N860" s="203">
        <v>0.4</v>
      </c>
      <c r="O860" s="203">
        <v>0.4</v>
      </c>
      <c r="P860" s="203">
        <v>0.4</v>
      </c>
      <c r="Q860" s="203">
        <v>0.4</v>
      </c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203">
        <v>0.1</v>
      </c>
      <c r="N861" s="203">
        <v>0.1</v>
      </c>
      <c r="O861" s="203">
        <v>0.1</v>
      </c>
      <c r="P861" s="203">
        <v>0.1</v>
      </c>
      <c r="Q861" s="203">
        <v>0.1</v>
      </c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203">
        <v>0.1</v>
      </c>
      <c r="N862" s="203">
        <v>0.1</v>
      </c>
      <c r="O862" s="203">
        <v>0.1</v>
      </c>
      <c r="P862" s="203">
        <v>0.1</v>
      </c>
      <c r="Q862" s="203">
        <v>0.1</v>
      </c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203">
        <v>0.0</v>
      </c>
      <c r="N863" s="203">
        <v>0.0</v>
      </c>
      <c r="O863" s="203">
        <v>0.0</v>
      </c>
      <c r="P863" s="203">
        <v>0.0</v>
      </c>
      <c r="Q863" s="203">
        <v>0.0</v>
      </c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204">
        <v>25000.0</v>
      </c>
      <c r="N864" s="204">
        <v>25000.0</v>
      </c>
      <c r="O864" s="204">
        <v>25000.0</v>
      </c>
      <c r="P864" s="204">
        <v>25000.0</v>
      </c>
      <c r="Q864" s="204">
        <v>25000.0</v>
      </c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204">
        <v>10000.0</v>
      </c>
      <c r="N865" s="204">
        <v>10000.0</v>
      </c>
      <c r="O865" s="204">
        <v>10000.0</v>
      </c>
      <c r="P865" s="204">
        <v>10000.0</v>
      </c>
      <c r="Q865" s="204">
        <v>10000.0</v>
      </c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204">
        <v>8000.0</v>
      </c>
      <c r="N866" s="204">
        <v>8000.0</v>
      </c>
      <c r="O866" s="204">
        <v>8000.0</v>
      </c>
      <c r="P866" s="204">
        <v>8000.0</v>
      </c>
      <c r="Q866" s="204">
        <v>8000.0</v>
      </c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204">
        <v>72000.0</v>
      </c>
      <c r="N867" s="204">
        <v>72000.0</v>
      </c>
      <c r="O867" s="204">
        <v>72000.0</v>
      </c>
      <c r="P867" s="204">
        <v>72000.0</v>
      </c>
      <c r="Q867" s="204">
        <v>72000.0</v>
      </c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204">
        <v>0.0</v>
      </c>
      <c r="N868" s="204">
        <v>0.0</v>
      </c>
      <c r="O868" s="204">
        <v>0.0</v>
      </c>
      <c r="P868" s="204">
        <v>0.0</v>
      </c>
      <c r="Q868" s="204">
        <v>0.0</v>
      </c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62">
        <f>IFERROR(__xludf.DUMMYFUNCTION("MATCH(
  MIN(FILTER(M864:M868,M864:M868&gt;0)),
  M864:M868,
  0
)
"),3.0)</f>
        <v>3</v>
      </c>
      <c r="N869" s="162">
        <f>IFERROR(__xludf.DUMMYFUNCTION("MATCH(
  MIN(FILTER(N864:N868,N864:N868&gt;0)),
  N864:N868,
  0
)
"),3.0)</f>
        <v>3</v>
      </c>
      <c r="O869" s="162">
        <f>IFERROR(__xludf.DUMMYFUNCTION("MATCH(
  MIN(FILTER(O864:O868,O864:O868&gt;0)),
  O864:O868,
  0
)
"),3.0)</f>
        <v>3</v>
      </c>
      <c r="P869" s="162">
        <f>IFERROR(__xludf.DUMMYFUNCTION("MATCH(
  MIN(FILTER(P864:P868,P864:P868&gt;0)),
  P864:P868,
  0
)
"),3.0)</f>
        <v>3</v>
      </c>
      <c r="Q869" s="162">
        <f>IFERROR(__xludf.DUMMYFUNCTION("MATCH(
  MIN(FILTER(Q864:Q868,Q864:Q868&gt;0)),
  Q864:Q868,
  0
)
"),3.0)</f>
        <v>3</v>
      </c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Q871" si="240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40"/>
        <v>0</v>
      </c>
      <c r="J871" s="148">
        <f t="shared" si="240"/>
        <v>6</v>
      </c>
      <c r="K871" s="148">
        <f t="shared" si="240"/>
        <v>0</v>
      </c>
      <c r="L871" s="148">
        <f t="shared" si="240"/>
        <v>0</v>
      </c>
      <c r="M871" s="148">
        <f t="shared" si="240"/>
        <v>16</v>
      </c>
      <c r="N871" s="148">
        <f t="shared" si="240"/>
        <v>0</v>
      </c>
      <c r="O871" s="148">
        <f t="shared" si="240"/>
        <v>0</v>
      </c>
      <c r="P871" s="148">
        <f t="shared" si="240"/>
        <v>17</v>
      </c>
      <c r="Q871" s="148">
        <f t="shared" si="240"/>
        <v>0</v>
      </c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Q872" si="241">(H871*H864)</f>
        <v>0</v>
      </c>
      <c r="I872" s="150">
        <f t="shared" si="241"/>
        <v>0</v>
      </c>
      <c r="J872" s="150">
        <f t="shared" si="241"/>
        <v>150000</v>
      </c>
      <c r="K872" s="150">
        <f t="shared" si="241"/>
        <v>0</v>
      </c>
      <c r="L872" s="150">
        <f t="shared" si="241"/>
        <v>0</v>
      </c>
      <c r="M872" s="150">
        <f t="shared" si="241"/>
        <v>400000</v>
      </c>
      <c r="N872" s="150">
        <f t="shared" si="241"/>
        <v>0</v>
      </c>
      <c r="O872" s="150">
        <f t="shared" si="241"/>
        <v>0</v>
      </c>
      <c r="P872" s="150">
        <f t="shared" si="241"/>
        <v>425000</v>
      </c>
      <c r="Q872" s="150">
        <f t="shared" si="241"/>
        <v>0</v>
      </c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Q874" si="242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2"/>
        <v>0</v>
      </c>
      <c r="J874" s="148">
        <f t="shared" si="242"/>
        <v>6</v>
      </c>
      <c r="K874" s="148">
        <f t="shared" si="242"/>
        <v>0</v>
      </c>
      <c r="L874" s="148">
        <f t="shared" si="242"/>
        <v>0</v>
      </c>
      <c r="M874" s="148">
        <f t="shared" si="242"/>
        <v>16</v>
      </c>
      <c r="N874" s="148">
        <f t="shared" si="242"/>
        <v>0</v>
      </c>
      <c r="O874" s="148">
        <f t="shared" si="242"/>
        <v>0</v>
      </c>
      <c r="P874" s="148">
        <f t="shared" si="242"/>
        <v>17</v>
      </c>
      <c r="Q874" s="148">
        <f t="shared" si="242"/>
        <v>0</v>
      </c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Q875" si="243">(H865*H874)</f>
        <v>0</v>
      </c>
      <c r="I875" s="150">
        <f t="shared" si="243"/>
        <v>0</v>
      </c>
      <c r="J875" s="150">
        <f t="shared" si="243"/>
        <v>60000</v>
      </c>
      <c r="K875" s="150">
        <f t="shared" si="243"/>
        <v>0</v>
      </c>
      <c r="L875" s="150">
        <f t="shared" si="243"/>
        <v>0</v>
      </c>
      <c r="M875" s="150">
        <f t="shared" si="243"/>
        <v>160000</v>
      </c>
      <c r="N875" s="150">
        <f t="shared" si="243"/>
        <v>0</v>
      </c>
      <c r="O875" s="150">
        <f t="shared" si="243"/>
        <v>0</v>
      </c>
      <c r="P875" s="150">
        <f t="shared" si="243"/>
        <v>170000</v>
      </c>
      <c r="Q875" s="150">
        <f t="shared" si="243"/>
        <v>0</v>
      </c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Q877" si="244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4"/>
        <v>0</v>
      </c>
      <c r="J877" s="148">
        <f t="shared" si="244"/>
        <v>2</v>
      </c>
      <c r="K877" s="148">
        <f t="shared" si="244"/>
        <v>0</v>
      </c>
      <c r="L877" s="148">
        <f t="shared" si="244"/>
        <v>0</v>
      </c>
      <c r="M877" s="148">
        <f t="shared" si="244"/>
        <v>6</v>
      </c>
      <c r="N877" s="148">
        <f t="shared" si="244"/>
        <v>0</v>
      </c>
      <c r="O877" s="148">
        <f t="shared" si="244"/>
        <v>0</v>
      </c>
      <c r="P877" s="148">
        <f t="shared" si="244"/>
        <v>5</v>
      </c>
      <c r="Q877" s="148">
        <f t="shared" si="244"/>
        <v>0</v>
      </c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Q878" si="245">(H866*H877)</f>
        <v>0</v>
      </c>
      <c r="I878" s="150">
        <f t="shared" si="245"/>
        <v>0</v>
      </c>
      <c r="J878" s="150">
        <f t="shared" si="245"/>
        <v>16000</v>
      </c>
      <c r="K878" s="150">
        <f t="shared" si="245"/>
        <v>0</v>
      </c>
      <c r="L878" s="150">
        <f t="shared" si="245"/>
        <v>0</v>
      </c>
      <c r="M878" s="150">
        <f t="shared" si="245"/>
        <v>48000</v>
      </c>
      <c r="N878" s="150">
        <f t="shared" si="245"/>
        <v>0</v>
      </c>
      <c r="O878" s="150">
        <f t="shared" si="245"/>
        <v>0</v>
      </c>
      <c r="P878" s="150">
        <f t="shared" si="245"/>
        <v>40000</v>
      </c>
      <c r="Q878" s="150">
        <f t="shared" si="245"/>
        <v>0</v>
      </c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Q880" si="246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6"/>
        <v>0</v>
      </c>
      <c r="J880" s="148">
        <f t="shared" si="246"/>
        <v>1</v>
      </c>
      <c r="K880" s="148">
        <f t="shared" si="246"/>
        <v>0</v>
      </c>
      <c r="L880" s="148">
        <f t="shared" si="246"/>
        <v>0</v>
      </c>
      <c r="M880" s="148">
        <f t="shared" si="246"/>
        <v>4</v>
      </c>
      <c r="N880" s="148">
        <f t="shared" si="246"/>
        <v>0</v>
      </c>
      <c r="O880" s="148">
        <f t="shared" si="246"/>
        <v>0</v>
      </c>
      <c r="P880" s="148">
        <f t="shared" si="246"/>
        <v>4</v>
      </c>
      <c r="Q880" s="148">
        <f t="shared" si="246"/>
        <v>0</v>
      </c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Q881" si="247">(H867*H880)</f>
        <v>0</v>
      </c>
      <c r="I881" s="150">
        <f t="shared" si="247"/>
        <v>0</v>
      </c>
      <c r="J881" s="150">
        <f t="shared" si="247"/>
        <v>72000</v>
      </c>
      <c r="K881" s="150">
        <f t="shared" si="247"/>
        <v>0</v>
      </c>
      <c r="L881" s="150">
        <f t="shared" si="247"/>
        <v>0</v>
      </c>
      <c r="M881" s="150">
        <f t="shared" si="247"/>
        <v>288000</v>
      </c>
      <c r="N881" s="150">
        <f t="shared" si="247"/>
        <v>0</v>
      </c>
      <c r="O881" s="150">
        <f t="shared" si="247"/>
        <v>0</v>
      </c>
      <c r="P881" s="150">
        <f t="shared" si="247"/>
        <v>288000</v>
      </c>
      <c r="Q881" s="150">
        <f t="shared" si="247"/>
        <v>0</v>
      </c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Q883" si="248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8"/>
        <v>0</v>
      </c>
      <c r="J883" s="148">
        <f t="shared" si="248"/>
        <v>0</v>
      </c>
      <c r="K883" s="148">
        <f t="shared" si="248"/>
        <v>0</v>
      </c>
      <c r="L883" s="148">
        <f t="shared" si="248"/>
        <v>0</v>
      </c>
      <c r="M883" s="148">
        <f t="shared" si="248"/>
        <v>0</v>
      </c>
      <c r="N883" s="148">
        <f t="shared" si="248"/>
        <v>0</v>
      </c>
      <c r="O883" s="148">
        <f t="shared" si="248"/>
        <v>0</v>
      </c>
      <c r="P883" s="148">
        <f t="shared" si="248"/>
        <v>0</v>
      </c>
      <c r="Q883" s="148">
        <f t="shared" si="248"/>
        <v>0</v>
      </c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Q884" si="249">(H868*H883)</f>
        <v>0</v>
      </c>
      <c r="I884" s="150">
        <f t="shared" si="249"/>
        <v>0</v>
      </c>
      <c r="J884" s="150">
        <f t="shared" si="249"/>
        <v>0</v>
      </c>
      <c r="K884" s="150">
        <f t="shared" si="249"/>
        <v>0</v>
      </c>
      <c r="L884" s="150">
        <f t="shared" si="249"/>
        <v>0</v>
      </c>
      <c r="M884" s="150">
        <f t="shared" si="249"/>
        <v>0</v>
      </c>
      <c r="N884" s="150">
        <f t="shared" si="249"/>
        <v>0</v>
      </c>
      <c r="O884" s="150">
        <f t="shared" si="249"/>
        <v>0</v>
      </c>
      <c r="P884" s="150">
        <f t="shared" si="249"/>
        <v>0</v>
      </c>
      <c r="Q884" s="150">
        <f t="shared" si="249"/>
        <v>0</v>
      </c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63"/>
      <c r="N885" s="163"/>
      <c r="O885" s="163"/>
      <c r="P885" s="163"/>
      <c r="Q885" s="163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201</v>
      </c>
      <c r="I887" s="209"/>
      <c r="J887" s="209"/>
      <c r="K887" s="209"/>
      <c r="L887" s="209"/>
      <c r="M887" s="209"/>
      <c r="N887" s="209"/>
      <c r="O887" s="209"/>
      <c r="P887" s="209"/>
      <c r="Q887" s="209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0.02804343284</v>
      </c>
      <c r="H888" s="210">
        <f>H$468</f>
        <v>5636730</v>
      </c>
      <c r="I888" s="209"/>
      <c r="J888" s="209"/>
      <c r="K888" s="209"/>
      <c r="L888" s="209"/>
      <c r="M888" s="209"/>
      <c r="N888" s="209"/>
      <c r="O888" s="209"/>
      <c r="P888" s="209"/>
      <c r="Q888" s="209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158"/>
      <c r="M889" s="158"/>
      <c r="N889" s="158"/>
      <c r="O889" s="158"/>
      <c r="P889" s="158"/>
      <c r="Q889" s="158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201000000</v>
      </c>
      <c r="I890" s="212"/>
      <c r="J890" s="212"/>
      <c r="K890" s="212"/>
      <c r="L890" s="212"/>
      <c r="M890" s="212"/>
      <c r="N890" s="212"/>
      <c r="O890" s="212"/>
      <c r="P890" s="212"/>
      <c r="Q890" s="212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2"/>
      <c r="N891" s="212"/>
      <c r="O891" s="212"/>
      <c r="P891" s="212"/>
      <c r="Q891" s="212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0.05608686567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3">
        <v>0.1</v>
      </c>
      <c r="N892" s="213">
        <v>0.07</v>
      </c>
      <c r="O892" s="213">
        <v>0.05</v>
      </c>
      <c r="P892" s="213">
        <v>0.04</v>
      </c>
      <c r="Q892" s="213">
        <v>0.0</v>
      </c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11273460</v>
      </c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5636730</v>
      </c>
      <c r="I894" s="149">
        <f t="shared" ref="I894:Q894" si="250">H894+I903</f>
        <v>7446730</v>
      </c>
      <c r="J894" s="149">
        <f t="shared" si="250"/>
        <v>8378730</v>
      </c>
      <c r="K894" s="149">
        <f t="shared" si="250"/>
        <v>9202730</v>
      </c>
      <c r="L894" s="149">
        <f t="shared" si="250"/>
        <v>9766730</v>
      </c>
      <c r="M894" s="149">
        <f t="shared" si="250"/>
        <v>10306730</v>
      </c>
      <c r="N894" s="149">
        <f t="shared" si="250"/>
        <v>10680730</v>
      </c>
      <c r="O894" s="149">
        <f t="shared" si="250"/>
        <v>10960730</v>
      </c>
      <c r="P894" s="149">
        <f t="shared" si="250"/>
        <v>11168730</v>
      </c>
      <c r="Q894" s="149">
        <f t="shared" si="250"/>
        <v>11168730</v>
      </c>
      <c r="R894" s="211" t="str">
        <f>#REF!</f>
        <v>#REF!</v>
      </c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5636730</v>
      </c>
      <c r="H895" s="149">
        <f t="shared" ref="H895:Q895" si="251">$G$895*H892</f>
        <v>0</v>
      </c>
      <c r="I895" s="149">
        <f t="shared" si="251"/>
        <v>1803753.6</v>
      </c>
      <c r="J895" s="149">
        <f t="shared" si="251"/>
        <v>958244.1</v>
      </c>
      <c r="K895" s="149">
        <f t="shared" si="251"/>
        <v>845509.5</v>
      </c>
      <c r="L895" s="149">
        <f t="shared" si="251"/>
        <v>563673</v>
      </c>
      <c r="M895" s="149">
        <f t="shared" si="251"/>
        <v>563673</v>
      </c>
      <c r="N895" s="149">
        <f t="shared" si="251"/>
        <v>394571.1</v>
      </c>
      <c r="O895" s="149">
        <f t="shared" si="251"/>
        <v>281836.5</v>
      </c>
      <c r="P895" s="149">
        <f t="shared" si="251"/>
        <v>225469.2</v>
      </c>
      <c r="Q895" s="149">
        <f t="shared" si="251"/>
        <v>0</v>
      </c>
      <c r="R895" s="214">
        <f>SUM(H895:Q895)</f>
        <v>5636730</v>
      </c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Q897" si="252">$H$890-H894</f>
        <v>195363270</v>
      </c>
      <c r="I897" s="149">
        <f t="shared" si="252"/>
        <v>193553270</v>
      </c>
      <c r="J897" s="149">
        <f t="shared" si="252"/>
        <v>192621270</v>
      </c>
      <c r="K897" s="149">
        <f t="shared" si="252"/>
        <v>191797270</v>
      </c>
      <c r="L897" s="149">
        <f t="shared" si="252"/>
        <v>191233270</v>
      </c>
      <c r="M897" s="149">
        <f t="shared" si="252"/>
        <v>190693270</v>
      </c>
      <c r="N897" s="149">
        <f t="shared" si="252"/>
        <v>190319270</v>
      </c>
      <c r="O897" s="149">
        <f t="shared" si="252"/>
        <v>190039270</v>
      </c>
      <c r="P897" s="149">
        <f t="shared" si="252"/>
        <v>189831270</v>
      </c>
      <c r="Q897" s="149">
        <f t="shared" si="252"/>
        <v>189831270</v>
      </c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R898" si="253">IFERROR(H894/$H$890,0)</f>
        <v>0.02804343284</v>
      </c>
      <c r="I898" s="142">
        <f t="shared" si="253"/>
        <v>0.03704840796</v>
      </c>
      <c r="J898" s="142">
        <f t="shared" si="253"/>
        <v>0.04168522388</v>
      </c>
      <c r="K898" s="142">
        <f t="shared" si="253"/>
        <v>0.04578472637</v>
      </c>
      <c r="L898" s="142">
        <f t="shared" si="253"/>
        <v>0.04859069652</v>
      </c>
      <c r="M898" s="142">
        <f t="shared" si="253"/>
        <v>0.05127726368</v>
      </c>
      <c r="N898" s="142">
        <f t="shared" si="253"/>
        <v>0.0531379602</v>
      </c>
      <c r="O898" s="142">
        <f t="shared" si="253"/>
        <v>0.05453099502</v>
      </c>
      <c r="P898" s="142">
        <f t="shared" si="253"/>
        <v>0.0555658209</v>
      </c>
      <c r="Q898" s="142">
        <f t="shared" si="253"/>
        <v>0.0555658209</v>
      </c>
      <c r="R898" s="215">
        <f t="shared" si="253"/>
        <v>0</v>
      </c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R899" si="254">IFERROR(1-(H894/$H$890),0)</f>
        <v>0.9719565672</v>
      </c>
      <c r="I899" s="216">
        <f t="shared" si="254"/>
        <v>0.962951592</v>
      </c>
      <c r="J899" s="216">
        <f t="shared" si="254"/>
        <v>0.9583147761</v>
      </c>
      <c r="K899" s="216">
        <f t="shared" si="254"/>
        <v>0.9542152736</v>
      </c>
      <c r="L899" s="216">
        <f t="shared" si="254"/>
        <v>0.9514093035</v>
      </c>
      <c r="M899" s="216">
        <f t="shared" si="254"/>
        <v>0.9487227363</v>
      </c>
      <c r="N899" s="216">
        <f t="shared" si="254"/>
        <v>0.9468620398</v>
      </c>
      <c r="O899" s="216">
        <f t="shared" si="254"/>
        <v>0.945469005</v>
      </c>
      <c r="P899" s="216">
        <f t="shared" si="254"/>
        <v>0.9444341791</v>
      </c>
      <c r="Q899" s="216">
        <f t="shared" si="254"/>
        <v>0.9444341791</v>
      </c>
      <c r="R899" s="215">
        <f t="shared" si="254"/>
        <v>0</v>
      </c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5">ROUNDUP(H895/H902,0)</f>
        <v>0</v>
      </c>
      <c r="I901" s="217">
        <f t="shared" si="255"/>
        <v>100</v>
      </c>
      <c r="J901" s="217">
        <f t="shared" si="255"/>
        <v>53</v>
      </c>
      <c r="K901" s="217">
        <f t="shared" si="255"/>
        <v>47</v>
      </c>
      <c r="L901" s="217">
        <f t="shared" si="255"/>
        <v>32</v>
      </c>
      <c r="M901" s="217">
        <f>ROUND(M895/M902,0)</f>
        <v>31</v>
      </c>
      <c r="N901" s="217">
        <f t="shared" ref="N901:Q901" si="256">ROUNDUP(N895/N902,0)</f>
        <v>22</v>
      </c>
      <c r="O901" s="217">
        <f t="shared" si="256"/>
        <v>16</v>
      </c>
      <c r="P901" s="217">
        <f t="shared" si="256"/>
        <v>13</v>
      </c>
      <c r="Q901" s="217">
        <f t="shared" si="256"/>
        <v>0</v>
      </c>
      <c r="R901" s="218">
        <f>SUM(H901:Q901)</f>
        <v>314</v>
      </c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56">
        <v>18100.0</v>
      </c>
      <c r="N902" s="156">
        <v>18100.0</v>
      </c>
      <c r="O902" s="156">
        <v>18100.0</v>
      </c>
      <c r="P902" s="156">
        <v>18100.0</v>
      </c>
      <c r="Q902" s="156">
        <v>18100.0</v>
      </c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Q903" si="257">SUM(H917,H920,H923,H926,H929)</f>
        <v>0</v>
      </c>
      <c r="I903" s="188">
        <f t="shared" si="257"/>
        <v>1810000</v>
      </c>
      <c r="J903" s="188">
        <f t="shared" si="257"/>
        <v>932000</v>
      </c>
      <c r="K903" s="188">
        <f t="shared" si="257"/>
        <v>824000</v>
      </c>
      <c r="L903" s="188">
        <f t="shared" si="257"/>
        <v>564000</v>
      </c>
      <c r="M903" s="188">
        <f t="shared" si="257"/>
        <v>540000</v>
      </c>
      <c r="N903" s="188">
        <f t="shared" si="257"/>
        <v>374000</v>
      </c>
      <c r="O903" s="188">
        <f t="shared" si="257"/>
        <v>280000</v>
      </c>
      <c r="P903" s="188">
        <f t="shared" si="257"/>
        <v>208000</v>
      </c>
      <c r="Q903" s="188">
        <f t="shared" si="257"/>
        <v>0</v>
      </c>
      <c r="R903" s="214">
        <f>SUM(H903:Q903)</f>
        <v>5532000</v>
      </c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203">
        <v>0.25</v>
      </c>
      <c r="N904" s="203">
        <v>0.25</v>
      </c>
      <c r="O904" s="203">
        <v>0.25</v>
      </c>
      <c r="P904" s="203">
        <v>0.25</v>
      </c>
      <c r="Q904" s="203">
        <v>0.25</v>
      </c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203">
        <v>0.35</v>
      </c>
      <c r="N905" s="203">
        <v>0.35</v>
      </c>
      <c r="O905" s="203">
        <v>0.35</v>
      </c>
      <c r="P905" s="203">
        <v>0.35</v>
      </c>
      <c r="Q905" s="203">
        <v>0.35</v>
      </c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203">
        <v>0.2</v>
      </c>
      <c r="N906" s="203">
        <v>0.2</v>
      </c>
      <c r="O906" s="203">
        <v>0.2</v>
      </c>
      <c r="P906" s="203">
        <v>0.2</v>
      </c>
      <c r="Q906" s="203">
        <v>0.2</v>
      </c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203">
        <v>0.2</v>
      </c>
      <c r="N907" s="203">
        <v>0.2</v>
      </c>
      <c r="O907" s="203">
        <v>0.2</v>
      </c>
      <c r="P907" s="203">
        <v>0.2</v>
      </c>
      <c r="Q907" s="203">
        <v>0.2</v>
      </c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203">
        <v>0.0</v>
      </c>
      <c r="N908" s="203">
        <v>0.0</v>
      </c>
      <c r="O908" s="203">
        <v>0.0</v>
      </c>
      <c r="P908" s="203">
        <v>0.0</v>
      </c>
      <c r="Q908" s="203">
        <v>0.0</v>
      </c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204">
        <v>20000.0</v>
      </c>
      <c r="N909" s="204">
        <v>20000.0</v>
      </c>
      <c r="O909" s="204">
        <v>20000.0</v>
      </c>
      <c r="P909" s="204">
        <v>20000.0</v>
      </c>
      <c r="Q909" s="204">
        <v>20000.0</v>
      </c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204">
        <v>10000.0</v>
      </c>
      <c r="N910" s="204">
        <v>10000.0</v>
      </c>
      <c r="O910" s="204">
        <v>10000.0</v>
      </c>
      <c r="P910" s="204">
        <v>10000.0</v>
      </c>
      <c r="Q910" s="204">
        <v>10000.0</v>
      </c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204">
        <v>6000.0</v>
      </c>
      <c r="N911" s="204">
        <v>6000.0</v>
      </c>
      <c r="O911" s="204">
        <v>6000.0</v>
      </c>
      <c r="P911" s="204">
        <v>6000.0</v>
      </c>
      <c r="Q911" s="204">
        <v>6000.0</v>
      </c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204">
        <v>42000.0</v>
      </c>
      <c r="N912" s="204">
        <v>42000.0</v>
      </c>
      <c r="O912" s="204">
        <v>42000.0</v>
      </c>
      <c r="P912" s="204">
        <v>42000.0</v>
      </c>
      <c r="Q912" s="204">
        <v>42000.0</v>
      </c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204">
        <v>0.0</v>
      </c>
      <c r="N913" s="204">
        <v>0.0</v>
      </c>
      <c r="O913" s="204">
        <v>0.0</v>
      </c>
      <c r="P913" s="204">
        <v>0.0</v>
      </c>
      <c r="Q913" s="204">
        <v>0.0</v>
      </c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62">
        <f>IFERROR(__xludf.DUMMYFUNCTION("MATCH(
  MIN(FILTER(M909:M913,M909:M913&gt;0)),
  M909:M913,
  0
)
"),3.0)</f>
        <v>3</v>
      </c>
      <c r="N914" s="162">
        <f>IFERROR(__xludf.DUMMYFUNCTION("MATCH(
  MIN(FILTER(N909:N913,N909:N913&gt;0)),
  N909:N913,
  0
)
"),3.0)</f>
        <v>3</v>
      </c>
      <c r="O914" s="162">
        <f>IFERROR(__xludf.DUMMYFUNCTION("MATCH(
  MIN(FILTER(O909:O913,O909:O913&gt;0)),
  O909:O913,
  0
)
"),3.0)</f>
        <v>3</v>
      </c>
      <c r="P914" s="162">
        <f>IFERROR(__xludf.DUMMYFUNCTION("MATCH(
  MIN(FILTER(P909:P913,P909:P913&gt;0)),
  P909:P913,
  0
)
"),3.0)</f>
        <v>3</v>
      </c>
      <c r="Q914" s="162">
        <f>IFERROR(__xludf.DUMMYFUNCTION("MATCH(
  MIN(FILTER(Q909:Q913,Q909:Q913&gt;0)),
  Q909:Q913,
  0
)
"),3.0)</f>
        <v>3</v>
      </c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Q916" si="258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8"/>
        <v>25</v>
      </c>
      <c r="J916" s="148">
        <f t="shared" si="258"/>
        <v>13</v>
      </c>
      <c r="K916" s="148">
        <f t="shared" si="258"/>
        <v>11</v>
      </c>
      <c r="L916" s="148">
        <f t="shared" si="258"/>
        <v>8</v>
      </c>
      <c r="M916" s="148">
        <f t="shared" si="258"/>
        <v>7</v>
      </c>
      <c r="N916" s="148">
        <f t="shared" si="258"/>
        <v>5</v>
      </c>
      <c r="O916" s="148">
        <f t="shared" si="258"/>
        <v>4</v>
      </c>
      <c r="P916" s="148">
        <f t="shared" si="258"/>
        <v>3</v>
      </c>
      <c r="Q916" s="148">
        <f t="shared" si="258"/>
        <v>0</v>
      </c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Q917" si="259">(H916*H909)</f>
        <v>0</v>
      </c>
      <c r="I917" s="150">
        <f t="shared" si="259"/>
        <v>500000</v>
      </c>
      <c r="J917" s="150">
        <f t="shared" si="259"/>
        <v>260000</v>
      </c>
      <c r="K917" s="150">
        <f t="shared" si="259"/>
        <v>220000</v>
      </c>
      <c r="L917" s="150">
        <f t="shared" si="259"/>
        <v>160000</v>
      </c>
      <c r="M917" s="150">
        <f t="shared" si="259"/>
        <v>140000</v>
      </c>
      <c r="N917" s="150">
        <f t="shared" si="259"/>
        <v>100000</v>
      </c>
      <c r="O917" s="150">
        <f t="shared" si="259"/>
        <v>80000</v>
      </c>
      <c r="P917" s="150">
        <f t="shared" si="259"/>
        <v>60000</v>
      </c>
      <c r="Q917" s="150">
        <f t="shared" si="259"/>
        <v>0</v>
      </c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Q919" si="260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60"/>
        <v>35</v>
      </c>
      <c r="J919" s="148">
        <f t="shared" si="260"/>
        <v>18</v>
      </c>
      <c r="K919" s="148">
        <f t="shared" si="260"/>
        <v>16</v>
      </c>
      <c r="L919" s="148">
        <f t="shared" si="260"/>
        <v>11</v>
      </c>
      <c r="M919" s="148">
        <f t="shared" si="260"/>
        <v>10</v>
      </c>
      <c r="N919" s="148">
        <f t="shared" si="260"/>
        <v>7</v>
      </c>
      <c r="O919" s="148">
        <f t="shared" si="260"/>
        <v>5</v>
      </c>
      <c r="P919" s="148">
        <f t="shared" si="260"/>
        <v>4</v>
      </c>
      <c r="Q919" s="148">
        <f t="shared" si="260"/>
        <v>0</v>
      </c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Q920" si="261">(H910*H919)</f>
        <v>0</v>
      </c>
      <c r="I920" s="150">
        <f t="shared" si="261"/>
        <v>350000</v>
      </c>
      <c r="J920" s="150">
        <f t="shared" si="261"/>
        <v>180000</v>
      </c>
      <c r="K920" s="150">
        <f t="shared" si="261"/>
        <v>160000</v>
      </c>
      <c r="L920" s="150">
        <f t="shared" si="261"/>
        <v>110000</v>
      </c>
      <c r="M920" s="150">
        <f t="shared" si="261"/>
        <v>100000</v>
      </c>
      <c r="N920" s="150">
        <f t="shared" si="261"/>
        <v>70000</v>
      </c>
      <c r="O920" s="150">
        <f t="shared" si="261"/>
        <v>50000</v>
      </c>
      <c r="P920" s="150">
        <f t="shared" si="261"/>
        <v>40000</v>
      </c>
      <c r="Q920" s="150">
        <f t="shared" si="261"/>
        <v>0</v>
      </c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Q922" si="262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62"/>
        <v>20</v>
      </c>
      <c r="J922" s="148">
        <f t="shared" si="262"/>
        <v>12</v>
      </c>
      <c r="K922" s="148">
        <f t="shared" si="262"/>
        <v>11</v>
      </c>
      <c r="L922" s="148">
        <f t="shared" si="262"/>
        <v>7</v>
      </c>
      <c r="M922" s="148">
        <f t="shared" si="262"/>
        <v>8</v>
      </c>
      <c r="N922" s="148">
        <f t="shared" si="262"/>
        <v>6</v>
      </c>
      <c r="O922" s="148">
        <f t="shared" si="262"/>
        <v>4</v>
      </c>
      <c r="P922" s="148">
        <f t="shared" si="262"/>
        <v>4</v>
      </c>
      <c r="Q922" s="148">
        <f t="shared" si="262"/>
        <v>0</v>
      </c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Q923" si="263">(H911*H922)</f>
        <v>0</v>
      </c>
      <c r="I923" s="150">
        <f t="shared" si="263"/>
        <v>120000</v>
      </c>
      <c r="J923" s="150">
        <f t="shared" si="263"/>
        <v>72000</v>
      </c>
      <c r="K923" s="150">
        <f t="shared" si="263"/>
        <v>66000</v>
      </c>
      <c r="L923" s="150">
        <f t="shared" si="263"/>
        <v>42000</v>
      </c>
      <c r="M923" s="150">
        <f t="shared" si="263"/>
        <v>48000</v>
      </c>
      <c r="N923" s="150">
        <f t="shared" si="263"/>
        <v>36000</v>
      </c>
      <c r="O923" s="150">
        <f t="shared" si="263"/>
        <v>24000</v>
      </c>
      <c r="P923" s="150">
        <f t="shared" si="263"/>
        <v>24000</v>
      </c>
      <c r="Q923" s="150">
        <f t="shared" si="263"/>
        <v>0</v>
      </c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Q925" si="264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4"/>
        <v>20</v>
      </c>
      <c r="J925" s="148">
        <f t="shared" si="264"/>
        <v>10</v>
      </c>
      <c r="K925" s="148">
        <f t="shared" si="264"/>
        <v>9</v>
      </c>
      <c r="L925" s="148">
        <f t="shared" si="264"/>
        <v>6</v>
      </c>
      <c r="M925" s="148">
        <f t="shared" si="264"/>
        <v>6</v>
      </c>
      <c r="N925" s="148">
        <f t="shared" si="264"/>
        <v>4</v>
      </c>
      <c r="O925" s="148">
        <f t="shared" si="264"/>
        <v>3</v>
      </c>
      <c r="P925" s="148">
        <f t="shared" si="264"/>
        <v>2</v>
      </c>
      <c r="Q925" s="148">
        <f t="shared" si="264"/>
        <v>0</v>
      </c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Q926" si="265">(H912*H925)</f>
        <v>0</v>
      </c>
      <c r="I926" s="150">
        <f t="shared" si="265"/>
        <v>840000</v>
      </c>
      <c r="J926" s="150">
        <f t="shared" si="265"/>
        <v>420000</v>
      </c>
      <c r="K926" s="150">
        <f t="shared" si="265"/>
        <v>378000</v>
      </c>
      <c r="L926" s="150">
        <f t="shared" si="265"/>
        <v>252000</v>
      </c>
      <c r="M926" s="150">
        <f t="shared" si="265"/>
        <v>252000</v>
      </c>
      <c r="N926" s="150">
        <f t="shared" si="265"/>
        <v>168000</v>
      </c>
      <c r="O926" s="150">
        <f t="shared" si="265"/>
        <v>126000</v>
      </c>
      <c r="P926" s="150">
        <f t="shared" si="265"/>
        <v>84000</v>
      </c>
      <c r="Q926" s="150">
        <f t="shared" si="265"/>
        <v>0</v>
      </c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Q928" si="266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6"/>
        <v>0</v>
      </c>
      <c r="J928" s="148">
        <f t="shared" si="266"/>
        <v>0</v>
      </c>
      <c r="K928" s="148">
        <f t="shared" si="266"/>
        <v>0</v>
      </c>
      <c r="L928" s="148">
        <f t="shared" si="266"/>
        <v>0</v>
      </c>
      <c r="M928" s="148">
        <f t="shared" si="266"/>
        <v>0</v>
      </c>
      <c r="N928" s="148">
        <f t="shared" si="266"/>
        <v>0</v>
      </c>
      <c r="O928" s="148">
        <f t="shared" si="266"/>
        <v>0</v>
      </c>
      <c r="P928" s="148">
        <f t="shared" si="266"/>
        <v>0</v>
      </c>
      <c r="Q928" s="148">
        <f t="shared" si="266"/>
        <v>0</v>
      </c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Q929" si="267">(H913*H928)</f>
        <v>0</v>
      </c>
      <c r="I929" s="150">
        <f t="shared" si="267"/>
        <v>0</v>
      </c>
      <c r="J929" s="150">
        <f t="shared" si="267"/>
        <v>0</v>
      </c>
      <c r="K929" s="150">
        <f t="shared" si="267"/>
        <v>0</v>
      </c>
      <c r="L929" s="150">
        <f t="shared" si="267"/>
        <v>0</v>
      </c>
      <c r="M929" s="150">
        <f t="shared" si="267"/>
        <v>0</v>
      </c>
      <c r="N929" s="150">
        <f t="shared" si="267"/>
        <v>0</v>
      </c>
      <c r="O929" s="150">
        <f t="shared" si="267"/>
        <v>0</v>
      </c>
      <c r="P929" s="150">
        <f t="shared" si="267"/>
        <v>0</v>
      </c>
      <c r="Q929" s="150">
        <f t="shared" si="267"/>
        <v>0</v>
      </c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63"/>
      <c r="N931" s="163"/>
      <c r="O931" s="163"/>
      <c r="P931" s="163"/>
      <c r="Q931" s="163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474</v>
      </c>
      <c r="I933" s="206"/>
      <c r="J933" s="206"/>
      <c r="K933" s="206"/>
      <c r="L933" s="206"/>
      <c r="M933" s="206"/>
      <c r="N933" s="206"/>
      <c r="O933" s="206"/>
      <c r="P933" s="206"/>
      <c r="Q933" s="206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0.2030260197</v>
      </c>
      <c r="H934" s="149">
        <f>SUM($H$494)</f>
        <v>8661090</v>
      </c>
      <c r="I934" s="149"/>
      <c r="J934" s="149"/>
      <c r="K934" s="149"/>
      <c r="L934" s="149"/>
      <c r="M934" s="149"/>
      <c r="N934" s="149"/>
      <c r="O934" s="149"/>
      <c r="P934" s="149"/>
      <c r="Q934" s="149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56"/>
      <c r="N935" s="156"/>
      <c r="O935" s="156"/>
      <c r="P935" s="156"/>
      <c r="Q935" s="156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42660000</v>
      </c>
      <c r="I936" s="149"/>
      <c r="J936" s="149"/>
      <c r="K936" s="149"/>
      <c r="L936" s="149"/>
      <c r="M936" s="149"/>
      <c r="N936" s="149"/>
      <c r="O936" s="149"/>
      <c r="P936" s="149"/>
      <c r="Q936" s="149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0.3045390295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13">
        <v>0.1</v>
      </c>
      <c r="N938" s="213">
        <v>0.07</v>
      </c>
      <c r="O938" s="213">
        <v>0.05</v>
      </c>
      <c r="P938" s="213">
        <v>0.04</v>
      </c>
      <c r="Q938" s="213">
        <v>0.0</v>
      </c>
      <c r="R938" s="200">
        <f>SUM(H938:Q938)</f>
        <v>1</v>
      </c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12991635</v>
      </c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8661090</v>
      </c>
      <c r="I940" s="149">
        <f t="shared" ref="I940:Q940" si="268">H940+I949</f>
        <v>10051090</v>
      </c>
      <c r="J940" s="149">
        <f t="shared" si="268"/>
        <v>10789090</v>
      </c>
      <c r="K940" s="149">
        <f t="shared" si="268"/>
        <v>11439090</v>
      </c>
      <c r="L940" s="149">
        <f t="shared" si="268"/>
        <v>11879090</v>
      </c>
      <c r="M940" s="149">
        <f t="shared" si="268"/>
        <v>12309090</v>
      </c>
      <c r="N940" s="149">
        <f t="shared" si="268"/>
        <v>12617090</v>
      </c>
      <c r="O940" s="149">
        <f t="shared" si="268"/>
        <v>12837090</v>
      </c>
      <c r="P940" s="149">
        <f t="shared" si="268"/>
        <v>13013090</v>
      </c>
      <c r="Q940" s="149">
        <f t="shared" si="268"/>
        <v>13013090</v>
      </c>
      <c r="R940" s="199" t="str">
        <f>#REF!</f>
        <v>#REF!</v>
      </c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4330545</v>
      </c>
      <c r="H941" s="149">
        <f t="shared" ref="H941:Q941" si="269">$G$941*H938</f>
        <v>0</v>
      </c>
      <c r="I941" s="149">
        <f t="shared" si="269"/>
        <v>1385774.4</v>
      </c>
      <c r="J941" s="149">
        <f t="shared" si="269"/>
        <v>736192.65</v>
      </c>
      <c r="K941" s="149">
        <f t="shared" si="269"/>
        <v>649581.75</v>
      </c>
      <c r="L941" s="149">
        <f t="shared" si="269"/>
        <v>433054.5</v>
      </c>
      <c r="M941" s="149">
        <f t="shared" si="269"/>
        <v>433054.5</v>
      </c>
      <c r="N941" s="149">
        <f t="shared" si="269"/>
        <v>303138.15</v>
      </c>
      <c r="O941" s="149">
        <f t="shared" si="269"/>
        <v>216527.25</v>
      </c>
      <c r="P941" s="149">
        <f t="shared" si="269"/>
        <v>173221.8</v>
      </c>
      <c r="Q941" s="149">
        <f t="shared" si="269"/>
        <v>0</v>
      </c>
      <c r="R941" s="199">
        <f>SUM(H941:Q941)</f>
        <v>4330545</v>
      </c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Q943" si="270">$H$936-H940</f>
        <v>33998910</v>
      </c>
      <c r="I943" s="149">
        <f t="shared" si="270"/>
        <v>32608910</v>
      </c>
      <c r="J943" s="149">
        <f t="shared" si="270"/>
        <v>31870910</v>
      </c>
      <c r="K943" s="149">
        <f t="shared" si="270"/>
        <v>31220910</v>
      </c>
      <c r="L943" s="149">
        <f t="shared" si="270"/>
        <v>30780910</v>
      </c>
      <c r="M943" s="149">
        <f t="shared" si="270"/>
        <v>30350910</v>
      </c>
      <c r="N943" s="149">
        <f t="shared" si="270"/>
        <v>30042910</v>
      </c>
      <c r="O943" s="149">
        <f t="shared" si="270"/>
        <v>29822910</v>
      </c>
      <c r="P943" s="149">
        <f t="shared" si="270"/>
        <v>29646910</v>
      </c>
      <c r="Q943" s="149">
        <f t="shared" si="270"/>
        <v>29646910</v>
      </c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R944" si="271">IFERROR(H940/$H$936,0)</f>
        <v>0.2030260197</v>
      </c>
      <c r="I944" s="142">
        <f t="shared" si="271"/>
        <v>0.2356092358</v>
      </c>
      <c r="J944" s="142">
        <f t="shared" si="271"/>
        <v>0.2529088139</v>
      </c>
      <c r="K944" s="142">
        <f t="shared" si="271"/>
        <v>0.2681455696</v>
      </c>
      <c r="L944" s="142">
        <f t="shared" si="271"/>
        <v>0.2784596812</v>
      </c>
      <c r="M944" s="142">
        <f t="shared" si="271"/>
        <v>0.2885393812</v>
      </c>
      <c r="N944" s="142">
        <f t="shared" si="271"/>
        <v>0.2957592593</v>
      </c>
      <c r="O944" s="142">
        <f t="shared" si="271"/>
        <v>0.300916315</v>
      </c>
      <c r="P944" s="142">
        <f t="shared" si="271"/>
        <v>0.3050419597</v>
      </c>
      <c r="Q944" s="142">
        <f t="shared" si="271"/>
        <v>0.3050419597</v>
      </c>
      <c r="R944" s="200">
        <f t="shared" si="271"/>
        <v>0</v>
      </c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R945" si="272">IFERROR(1-(H940/$H$936),0)</f>
        <v>0.7969739803</v>
      </c>
      <c r="I945" s="142">
        <f t="shared" si="272"/>
        <v>0.7643907642</v>
      </c>
      <c r="J945" s="142">
        <f t="shared" si="272"/>
        <v>0.7470911861</v>
      </c>
      <c r="K945" s="142">
        <f t="shared" si="272"/>
        <v>0.7318544304</v>
      </c>
      <c r="L945" s="142">
        <f t="shared" si="272"/>
        <v>0.7215403188</v>
      </c>
      <c r="M945" s="142">
        <f t="shared" si="272"/>
        <v>0.7114606188</v>
      </c>
      <c r="N945" s="142">
        <f t="shared" si="272"/>
        <v>0.7042407407</v>
      </c>
      <c r="O945" s="142">
        <f t="shared" si="272"/>
        <v>0.699083685</v>
      </c>
      <c r="P945" s="142">
        <f t="shared" si="272"/>
        <v>0.6949580403</v>
      </c>
      <c r="Q945" s="142">
        <f t="shared" si="272"/>
        <v>0.6949580403</v>
      </c>
      <c r="R945" s="200">
        <f t="shared" si="272"/>
        <v>0</v>
      </c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3">ROUNDUP(H941/H948,0)</f>
        <v>0</v>
      </c>
      <c r="I947" s="190">
        <f t="shared" si="273"/>
        <v>158</v>
      </c>
      <c r="J947" s="190">
        <f t="shared" si="273"/>
        <v>84</v>
      </c>
      <c r="K947" s="190">
        <f t="shared" si="273"/>
        <v>74</v>
      </c>
      <c r="L947" s="190">
        <f t="shared" si="273"/>
        <v>50</v>
      </c>
      <c r="M947" s="190">
        <f>ROUND(M941/M948,0)</f>
        <v>49</v>
      </c>
      <c r="N947" s="190">
        <f t="shared" ref="N947:Q947" si="274">ROUNDUP(N941/N948,0)</f>
        <v>35</v>
      </c>
      <c r="O947" s="190">
        <f t="shared" si="274"/>
        <v>25</v>
      </c>
      <c r="P947" s="190">
        <f t="shared" si="274"/>
        <v>20</v>
      </c>
      <c r="Q947" s="190">
        <f t="shared" si="274"/>
        <v>0</v>
      </c>
      <c r="R947" s="201">
        <f>SUM(H947:Q947)</f>
        <v>495</v>
      </c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56">
        <v>8800.0</v>
      </c>
      <c r="N948" s="156">
        <v>8800.0</v>
      </c>
      <c r="O948" s="156">
        <v>8800.0</v>
      </c>
      <c r="P948" s="156">
        <v>8800.0</v>
      </c>
      <c r="Q948" s="156">
        <v>8800.0</v>
      </c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Q949" si="275">SUM(H963,H966,H969,H972,H975)</f>
        <v>0</v>
      </c>
      <c r="I949" s="188">
        <f t="shared" si="275"/>
        <v>1390000</v>
      </c>
      <c r="J949" s="188">
        <f t="shared" si="275"/>
        <v>738000</v>
      </c>
      <c r="K949" s="188">
        <f t="shared" si="275"/>
        <v>650000</v>
      </c>
      <c r="L949" s="188">
        <f t="shared" si="275"/>
        <v>440000</v>
      </c>
      <c r="M949" s="188">
        <f t="shared" si="275"/>
        <v>430000</v>
      </c>
      <c r="N949" s="188">
        <f t="shared" si="275"/>
        <v>308000</v>
      </c>
      <c r="O949" s="188">
        <f t="shared" si="275"/>
        <v>220000</v>
      </c>
      <c r="P949" s="188">
        <f t="shared" si="275"/>
        <v>176000</v>
      </c>
      <c r="Q949" s="188">
        <f t="shared" si="275"/>
        <v>0</v>
      </c>
      <c r="R949" s="196">
        <f>SUM(H949:Q949)</f>
        <v>4352000</v>
      </c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203">
        <v>0.6</v>
      </c>
      <c r="N950" s="203">
        <v>0.6</v>
      </c>
      <c r="O950" s="203">
        <v>0.6</v>
      </c>
      <c r="P950" s="203">
        <v>0.6</v>
      </c>
      <c r="Q950" s="203">
        <v>0.6</v>
      </c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203">
        <v>0.4</v>
      </c>
      <c r="N951" s="203">
        <v>0.4</v>
      </c>
      <c r="O951" s="203">
        <v>0.4</v>
      </c>
      <c r="P951" s="203">
        <v>0.4</v>
      </c>
      <c r="Q951" s="203">
        <v>0.4</v>
      </c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203">
        <v>0.0</v>
      </c>
      <c r="N952" s="203">
        <v>0.0</v>
      </c>
      <c r="O952" s="203">
        <v>0.0</v>
      </c>
      <c r="P952" s="203">
        <v>0.0</v>
      </c>
      <c r="Q952" s="203">
        <v>0.0</v>
      </c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203">
        <v>0.0</v>
      </c>
      <c r="N953" s="203">
        <v>0.0</v>
      </c>
      <c r="O953" s="203">
        <v>0.0</v>
      </c>
      <c r="P953" s="203">
        <v>0.0</v>
      </c>
      <c r="Q953" s="203">
        <v>0.0</v>
      </c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203">
        <v>0.0</v>
      </c>
      <c r="N954" s="203">
        <v>0.0</v>
      </c>
      <c r="O954" s="203">
        <v>0.0</v>
      </c>
      <c r="P954" s="203">
        <v>0.0</v>
      </c>
      <c r="Q954" s="203">
        <v>0.0</v>
      </c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204">
        <v>8000.0</v>
      </c>
      <c r="N955" s="204">
        <v>8000.0</v>
      </c>
      <c r="O955" s="204">
        <v>8000.0</v>
      </c>
      <c r="P955" s="204">
        <v>8000.0</v>
      </c>
      <c r="Q955" s="204">
        <v>8000.0</v>
      </c>
      <c r="R955" s="225"/>
      <c r="S955" s="225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204">
        <v>10000.0</v>
      </c>
      <c r="N956" s="204">
        <v>10000.0</v>
      </c>
      <c r="O956" s="204">
        <v>10000.0</v>
      </c>
      <c r="P956" s="204">
        <v>10000.0</v>
      </c>
      <c r="Q956" s="204">
        <v>10000.0</v>
      </c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204">
        <v>0.0</v>
      </c>
      <c r="N957" s="204">
        <v>0.0</v>
      </c>
      <c r="O957" s="204">
        <v>0.0</v>
      </c>
      <c r="P957" s="204">
        <v>0.0</v>
      </c>
      <c r="Q957" s="204">
        <v>0.0</v>
      </c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204">
        <v>0.0</v>
      </c>
      <c r="N958" s="204">
        <v>0.0</v>
      </c>
      <c r="O958" s="204">
        <v>0.0</v>
      </c>
      <c r="P958" s="204">
        <v>0.0</v>
      </c>
      <c r="Q958" s="204">
        <v>0.0</v>
      </c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204">
        <v>0.0</v>
      </c>
      <c r="N959" s="204">
        <v>0.0</v>
      </c>
      <c r="O959" s="204">
        <v>0.0</v>
      </c>
      <c r="P959" s="204">
        <v>0.0</v>
      </c>
      <c r="Q959" s="204">
        <v>0.0</v>
      </c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62">
        <f>IFERROR(__xludf.DUMMYFUNCTION("MATCH(
  MIN(FILTER(M955:M959,M955:M959&gt;0)),
  M955:M959,
  0
)
"),1.0)</f>
        <v>1</v>
      </c>
      <c r="N960" s="162">
        <f>IFERROR(__xludf.DUMMYFUNCTION("MATCH(
  MIN(FILTER(N955:N959,N955:N959&gt;0)),
  N955:N959,
  0
)
"),1.0)</f>
        <v>1</v>
      </c>
      <c r="O960" s="162">
        <f>IFERROR(__xludf.DUMMYFUNCTION("MATCH(
  MIN(FILTER(O955:O959,O955:O959&gt;0)),
  O955:O959,
  0
)
"),1.0)</f>
        <v>1</v>
      </c>
      <c r="P960" s="162">
        <f>IFERROR(__xludf.DUMMYFUNCTION("MATCH(
  MIN(FILTER(P955:P959,P955:P959&gt;0)),
  P955:P959,
  0
)
"),1.0)</f>
        <v>1</v>
      </c>
      <c r="Q960" s="162">
        <f>IFERROR(__xludf.DUMMYFUNCTION("MATCH(
  MIN(FILTER(Q955:Q959,Q955:Q959&gt;0)),
  Q955:Q959,
  0
)
"),1.0)</f>
        <v>1</v>
      </c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Q962" si="276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6"/>
        <v>95</v>
      </c>
      <c r="J962" s="148">
        <f t="shared" si="276"/>
        <v>51</v>
      </c>
      <c r="K962" s="148">
        <f t="shared" si="276"/>
        <v>45</v>
      </c>
      <c r="L962" s="148">
        <f t="shared" si="276"/>
        <v>30</v>
      </c>
      <c r="M962" s="148">
        <f t="shared" si="276"/>
        <v>30</v>
      </c>
      <c r="N962" s="148">
        <f t="shared" si="276"/>
        <v>21</v>
      </c>
      <c r="O962" s="148">
        <f t="shared" si="276"/>
        <v>15</v>
      </c>
      <c r="P962" s="148">
        <f t="shared" si="276"/>
        <v>12</v>
      </c>
      <c r="Q962" s="148">
        <f t="shared" si="276"/>
        <v>0</v>
      </c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Q963" si="277">(H962*H955)</f>
        <v>0</v>
      </c>
      <c r="I963" s="150">
        <f t="shared" si="277"/>
        <v>760000</v>
      </c>
      <c r="J963" s="150">
        <f t="shared" si="277"/>
        <v>408000</v>
      </c>
      <c r="K963" s="150">
        <f t="shared" si="277"/>
        <v>360000</v>
      </c>
      <c r="L963" s="150">
        <f t="shared" si="277"/>
        <v>240000</v>
      </c>
      <c r="M963" s="150">
        <f t="shared" si="277"/>
        <v>240000</v>
      </c>
      <c r="N963" s="150">
        <f t="shared" si="277"/>
        <v>168000</v>
      </c>
      <c r="O963" s="150">
        <f t="shared" si="277"/>
        <v>120000</v>
      </c>
      <c r="P963" s="150">
        <f t="shared" si="277"/>
        <v>96000</v>
      </c>
      <c r="Q963" s="150">
        <f t="shared" si="277"/>
        <v>0</v>
      </c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Q965" si="278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8"/>
        <v>63</v>
      </c>
      <c r="J965" s="148">
        <f t="shared" si="278"/>
        <v>33</v>
      </c>
      <c r="K965" s="148">
        <f t="shared" si="278"/>
        <v>29</v>
      </c>
      <c r="L965" s="148">
        <f t="shared" si="278"/>
        <v>20</v>
      </c>
      <c r="M965" s="148">
        <f t="shared" si="278"/>
        <v>19</v>
      </c>
      <c r="N965" s="148">
        <f t="shared" si="278"/>
        <v>14</v>
      </c>
      <c r="O965" s="148">
        <f t="shared" si="278"/>
        <v>10</v>
      </c>
      <c r="P965" s="148">
        <f t="shared" si="278"/>
        <v>8</v>
      </c>
      <c r="Q965" s="148">
        <f t="shared" si="278"/>
        <v>0</v>
      </c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Q966" si="279">(H956*H965)</f>
        <v>0</v>
      </c>
      <c r="I966" s="150">
        <f t="shared" si="279"/>
        <v>630000</v>
      </c>
      <c r="J966" s="150">
        <f t="shared" si="279"/>
        <v>330000</v>
      </c>
      <c r="K966" s="150">
        <f t="shared" si="279"/>
        <v>290000</v>
      </c>
      <c r="L966" s="150">
        <f t="shared" si="279"/>
        <v>200000</v>
      </c>
      <c r="M966" s="150">
        <f t="shared" si="279"/>
        <v>190000</v>
      </c>
      <c r="N966" s="150">
        <f t="shared" si="279"/>
        <v>140000</v>
      </c>
      <c r="O966" s="150">
        <f t="shared" si="279"/>
        <v>100000</v>
      </c>
      <c r="P966" s="150">
        <f t="shared" si="279"/>
        <v>80000</v>
      </c>
      <c r="Q966" s="150">
        <f t="shared" si="279"/>
        <v>0</v>
      </c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Q968" si="280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80"/>
        <v>0</v>
      </c>
      <c r="J968" s="148">
        <f t="shared" si="280"/>
        <v>0</v>
      </c>
      <c r="K968" s="148">
        <f t="shared" si="280"/>
        <v>0</v>
      </c>
      <c r="L968" s="148">
        <f t="shared" si="280"/>
        <v>0</v>
      </c>
      <c r="M968" s="148">
        <f t="shared" si="280"/>
        <v>0</v>
      </c>
      <c r="N968" s="148">
        <f t="shared" si="280"/>
        <v>0</v>
      </c>
      <c r="O968" s="148">
        <f t="shared" si="280"/>
        <v>0</v>
      </c>
      <c r="P968" s="148">
        <f t="shared" si="280"/>
        <v>0</v>
      </c>
      <c r="Q968" s="148">
        <f t="shared" si="280"/>
        <v>0</v>
      </c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Q969" si="281">(H957*H968)</f>
        <v>0</v>
      </c>
      <c r="I969" s="150">
        <f t="shared" si="281"/>
        <v>0</v>
      </c>
      <c r="J969" s="150">
        <f t="shared" si="281"/>
        <v>0</v>
      </c>
      <c r="K969" s="150">
        <f t="shared" si="281"/>
        <v>0</v>
      </c>
      <c r="L969" s="150">
        <f t="shared" si="281"/>
        <v>0</v>
      </c>
      <c r="M969" s="150">
        <f t="shared" si="281"/>
        <v>0</v>
      </c>
      <c r="N969" s="150">
        <f t="shared" si="281"/>
        <v>0</v>
      </c>
      <c r="O969" s="150">
        <f t="shared" si="281"/>
        <v>0</v>
      </c>
      <c r="P969" s="150">
        <f t="shared" si="281"/>
        <v>0</v>
      </c>
      <c r="Q969" s="150">
        <f t="shared" si="281"/>
        <v>0</v>
      </c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Q971" si="282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82"/>
        <v>0</v>
      </c>
      <c r="J971" s="148">
        <f t="shared" si="282"/>
        <v>0</v>
      </c>
      <c r="K971" s="148">
        <f t="shared" si="282"/>
        <v>0</v>
      </c>
      <c r="L971" s="148">
        <f t="shared" si="282"/>
        <v>0</v>
      </c>
      <c r="M971" s="148">
        <f t="shared" si="282"/>
        <v>0</v>
      </c>
      <c r="N971" s="148">
        <f t="shared" si="282"/>
        <v>0</v>
      </c>
      <c r="O971" s="148">
        <f t="shared" si="282"/>
        <v>0</v>
      </c>
      <c r="P971" s="148">
        <f t="shared" si="282"/>
        <v>0</v>
      </c>
      <c r="Q971" s="148">
        <f t="shared" si="282"/>
        <v>0</v>
      </c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Q972" si="283">(H958*H971)</f>
        <v>0</v>
      </c>
      <c r="I972" s="150">
        <f t="shared" si="283"/>
        <v>0</v>
      </c>
      <c r="J972" s="150">
        <f t="shared" si="283"/>
        <v>0</v>
      </c>
      <c r="K972" s="150">
        <f t="shared" si="283"/>
        <v>0</v>
      </c>
      <c r="L972" s="150">
        <f t="shared" si="283"/>
        <v>0</v>
      </c>
      <c r="M972" s="150">
        <f t="shared" si="283"/>
        <v>0</v>
      </c>
      <c r="N972" s="150">
        <f t="shared" si="283"/>
        <v>0</v>
      </c>
      <c r="O972" s="150">
        <f t="shared" si="283"/>
        <v>0</v>
      </c>
      <c r="P972" s="150">
        <f t="shared" si="283"/>
        <v>0</v>
      </c>
      <c r="Q972" s="150">
        <f t="shared" si="283"/>
        <v>0</v>
      </c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Q974" si="284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4"/>
        <v>0</v>
      </c>
      <c r="J974" s="148">
        <f t="shared" si="284"/>
        <v>0</v>
      </c>
      <c r="K974" s="148">
        <f t="shared" si="284"/>
        <v>0</v>
      </c>
      <c r="L974" s="148">
        <f t="shared" si="284"/>
        <v>0</v>
      </c>
      <c r="M974" s="148">
        <f t="shared" si="284"/>
        <v>0</v>
      </c>
      <c r="N974" s="148">
        <f t="shared" si="284"/>
        <v>0</v>
      </c>
      <c r="O974" s="148">
        <f t="shared" si="284"/>
        <v>0</v>
      </c>
      <c r="P974" s="148">
        <f t="shared" si="284"/>
        <v>0</v>
      </c>
      <c r="Q974" s="148">
        <f t="shared" si="284"/>
        <v>0</v>
      </c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Q975" si="285">(H959*H974)</f>
        <v>0</v>
      </c>
      <c r="I975" s="150">
        <f t="shared" si="285"/>
        <v>0</v>
      </c>
      <c r="J975" s="150">
        <f t="shared" si="285"/>
        <v>0</v>
      </c>
      <c r="K975" s="150">
        <f t="shared" si="285"/>
        <v>0</v>
      </c>
      <c r="L975" s="150">
        <f t="shared" si="285"/>
        <v>0</v>
      </c>
      <c r="M975" s="150">
        <f t="shared" si="285"/>
        <v>0</v>
      </c>
      <c r="N975" s="150">
        <f t="shared" si="285"/>
        <v>0</v>
      </c>
      <c r="O975" s="150">
        <f t="shared" si="285"/>
        <v>0</v>
      </c>
      <c r="P975" s="150">
        <f t="shared" si="285"/>
        <v>0</v>
      </c>
      <c r="Q975" s="150">
        <f t="shared" si="285"/>
        <v>0</v>
      </c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224</v>
      </c>
      <c r="I978" s="206"/>
      <c r="J978" s="206"/>
      <c r="K978" s="206"/>
      <c r="L978" s="206"/>
      <c r="M978" s="206"/>
      <c r="N978" s="206"/>
      <c r="O978" s="206"/>
      <c r="P978" s="206"/>
      <c r="Q978" s="206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0.2690357143</v>
      </c>
      <c r="H979" s="149">
        <f>SUM($H$520)</f>
        <v>3013200</v>
      </c>
      <c r="I979" s="149"/>
      <c r="J979" s="149"/>
      <c r="K979" s="149"/>
      <c r="L979" s="149"/>
      <c r="M979" s="149"/>
      <c r="N979" s="149"/>
      <c r="O979" s="149"/>
      <c r="P979" s="149"/>
      <c r="Q979" s="149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56"/>
      <c r="N980" s="156"/>
      <c r="O980" s="156"/>
      <c r="P980" s="156"/>
      <c r="Q980" s="156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11200000</v>
      </c>
      <c r="I981" s="149"/>
      <c r="J981" s="149"/>
      <c r="K981" s="149"/>
      <c r="L981" s="149"/>
      <c r="M981" s="149"/>
      <c r="N981" s="149"/>
      <c r="O981" s="149"/>
      <c r="P981" s="149"/>
      <c r="Q981" s="149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0.4035535714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213">
        <v>0.1</v>
      </c>
      <c r="N983" s="213">
        <v>0.07</v>
      </c>
      <c r="O983" s="213">
        <v>0.05</v>
      </c>
      <c r="P983" s="213">
        <v>0.04</v>
      </c>
      <c r="Q983" s="213">
        <v>0.0</v>
      </c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4519800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3013200</v>
      </c>
      <c r="I985" s="149">
        <f t="shared" ref="I985:Q985" si="286">H985+I994</f>
        <v>3495200</v>
      </c>
      <c r="J985" s="149">
        <f t="shared" si="286"/>
        <v>3753200</v>
      </c>
      <c r="K985" s="149">
        <f t="shared" si="286"/>
        <v>3983200</v>
      </c>
      <c r="L985" s="149">
        <f t="shared" si="286"/>
        <v>4133200</v>
      </c>
      <c r="M985" s="149">
        <f t="shared" si="286"/>
        <v>4283200</v>
      </c>
      <c r="N985" s="149">
        <f t="shared" si="286"/>
        <v>4391200</v>
      </c>
      <c r="O985" s="149">
        <f t="shared" si="286"/>
        <v>4469200</v>
      </c>
      <c r="P985" s="149">
        <f t="shared" si="286"/>
        <v>4533200</v>
      </c>
      <c r="Q985" s="149">
        <f t="shared" si="286"/>
        <v>4533200</v>
      </c>
      <c r="R985" s="199" t="str">
        <f>#REF!</f>
        <v>#REF!</v>
      </c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1506600</v>
      </c>
      <c r="H986" s="149">
        <f t="shared" ref="H986:Q986" si="287">$G$986*H983</f>
        <v>0</v>
      </c>
      <c r="I986" s="149">
        <f t="shared" si="287"/>
        <v>482112</v>
      </c>
      <c r="J986" s="149">
        <f t="shared" si="287"/>
        <v>256122</v>
      </c>
      <c r="K986" s="149">
        <f t="shared" si="287"/>
        <v>225990</v>
      </c>
      <c r="L986" s="149">
        <f t="shared" si="287"/>
        <v>150660</v>
      </c>
      <c r="M986" s="149">
        <f t="shared" si="287"/>
        <v>150660</v>
      </c>
      <c r="N986" s="149">
        <f t="shared" si="287"/>
        <v>105462</v>
      </c>
      <c r="O986" s="149">
        <f t="shared" si="287"/>
        <v>75330</v>
      </c>
      <c r="P986" s="149">
        <f t="shared" si="287"/>
        <v>60264</v>
      </c>
      <c r="Q986" s="149">
        <f t="shared" si="287"/>
        <v>0</v>
      </c>
      <c r="R986" s="199">
        <f>SUM(H986:Q986)</f>
        <v>1506600</v>
      </c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Q988" si="288">$H$981-H985</f>
        <v>8186800</v>
      </c>
      <c r="I988" s="149">
        <f t="shared" si="288"/>
        <v>7704800</v>
      </c>
      <c r="J988" s="149">
        <f t="shared" si="288"/>
        <v>7446800</v>
      </c>
      <c r="K988" s="149">
        <f t="shared" si="288"/>
        <v>7216800</v>
      </c>
      <c r="L988" s="149">
        <f t="shared" si="288"/>
        <v>7066800</v>
      </c>
      <c r="M988" s="149">
        <f t="shared" si="288"/>
        <v>6916800</v>
      </c>
      <c r="N988" s="149">
        <f t="shared" si="288"/>
        <v>6808800</v>
      </c>
      <c r="O988" s="149">
        <f t="shared" si="288"/>
        <v>6730800</v>
      </c>
      <c r="P988" s="149">
        <f t="shared" si="288"/>
        <v>6666800</v>
      </c>
      <c r="Q988" s="149">
        <f t="shared" si="288"/>
        <v>6666800</v>
      </c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Q989" si="289">IFERROR(SUM(H994,H979)/$H$981,0)</f>
        <v>0.2690357143</v>
      </c>
      <c r="I989" s="142">
        <f t="shared" si="289"/>
        <v>0.04303571429</v>
      </c>
      <c r="J989" s="142">
        <f t="shared" si="289"/>
        <v>0.02303571429</v>
      </c>
      <c r="K989" s="142">
        <f t="shared" si="289"/>
        <v>0.02053571429</v>
      </c>
      <c r="L989" s="142">
        <f t="shared" si="289"/>
        <v>0.01339285714</v>
      </c>
      <c r="M989" s="142">
        <f t="shared" si="289"/>
        <v>0.01339285714</v>
      </c>
      <c r="N989" s="142">
        <f t="shared" si="289"/>
        <v>0.009642857143</v>
      </c>
      <c r="O989" s="142">
        <f t="shared" si="289"/>
        <v>0.006964285714</v>
      </c>
      <c r="P989" s="142">
        <f t="shared" si="289"/>
        <v>0.005714285714</v>
      </c>
      <c r="Q989" s="142">
        <f t="shared" si="289"/>
        <v>0</v>
      </c>
      <c r="R989" s="200">
        <f>IFERROR(R985/$H$981,0)</f>
        <v>0</v>
      </c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Q990" si="290">IFERROR(1-(H979/$H$981),0)</f>
        <v>0.7309642857</v>
      </c>
      <c r="I990" s="216">
        <f t="shared" si="290"/>
        <v>1</v>
      </c>
      <c r="J990" s="216">
        <f t="shared" si="290"/>
        <v>1</v>
      </c>
      <c r="K990" s="216">
        <f t="shared" si="290"/>
        <v>1</v>
      </c>
      <c r="L990" s="216">
        <f t="shared" si="290"/>
        <v>1</v>
      </c>
      <c r="M990" s="216">
        <f t="shared" si="290"/>
        <v>1</v>
      </c>
      <c r="N990" s="216">
        <f t="shared" si="290"/>
        <v>1</v>
      </c>
      <c r="O990" s="216">
        <f t="shared" si="290"/>
        <v>1</v>
      </c>
      <c r="P990" s="216">
        <f t="shared" si="290"/>
        <v>1</v>
      </c>
      <c r="Q990" s="216">
        <f t="shared" si="290"/>
        <v>1</v>
      </c>
      <c r="R990" s="200">
        <f>IFERROR(1-(R985/$H$981),0)</f>
        <v>0</v>
      </c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91">ROUNDUP(H986/H993,0)</f>
        <v>0</v>
      </c>
      <c r="I992" s="190">
        <f t="shared" si="291"/>
        <v>67</v>
      </c>
      <c r="J992" s="190">
        <f t="shared" si="291"/>
        <v>36</v>
      </c>
      <c r="K992" s="190">
        <f t="shared" si="291"/>
        <v>32</v>
      </c>
      <c r="L992" s="190">
        <f t="shared" si="291"/>
        <v>21</v>
      </c>
      <c r="M992" s="190">
        <f>ROUND(M986/M993,0)</f>
        <v>21</v>
      </c>
      <c r="N992" s="190">
        <f t="shared" ref="N992:Q992" si="292">ROUNDUP(N986/N993,0)</f>
        <v>15</v>
      </c>
      <c r="O992" s="190">
        <f t="shared" si="292"/>
        <v>11</v>
      </c>
      <c r="P992" s="190">
        <f t="shared" si="292"/>
        <v>9</v>
      </c>
      <c r="Q992" s="190">
        <f t="shared" si="292"/>
        <v>0</v>
      </c>
      <c r="R992" s="201">
        <f>SUM(H992:Q992)</f>
        <v>212</v>
      </c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56">
        <v>7200.0</v>
      </c>
      <c r="N993" s="156">
        <v>7200.0</v>
      </c>
      <c r="O993" s="156">
        <v>7200.0</v>
      </c>
      <c r="P993" s="156">
        <v>7200.0</v>
      </c>
      <c r="Q993" s="156">
        <v>7200.0</v>
      </c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Q994" si="293">SUM(H1008,H1011,H1014,H1017,H1020)</f>
        <v>0</v>
      </c>
      <c r="I994" s="188">
        <f t="shared" si="293"/>
        <v>482000</v>
      </c>
      <c r="J994" s="188">
        <f t="shared" si="293"/>
        <v>258000</v>
      </c>
      <c r="K994" s="188">
        <f t="shared" si="293"/>
        <v>230000</v>
      </c>
      <c r="L994" s="188">
        <f t="shared" si="293"/>
        <v>150000</v>
      </c>
      <c r="M994" s="188">
        <f t="shared" si="293"/>
        <v>150000</v>
      </c>
      <c r="N994" s="188">
        <f t="shared" si="293"/>
        <v>108000</v>
      </c>
      <c r="O994" s="188">
        <f t="shared" si="293"/>
        <v>78000</v>
      </c>
      <c r="P994" s="188">
        <f t="shared" si="293"/>
        <v>64000</v>
      </c>
      <c r="Q994" s="188">
        <f t="shared" si="293"/>
        <v>0</v>
      </c>
      <c r="R994" s="196">
        <f>SUM(H994:Q994)</f>
        <v>1520000</v>
      </c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203">
        <v>0.6</v>
      </c>
      <c r="N995" s="203">
        <v>0.6</v>
      </c>
      <c r="O995" s="203">
        <v>0.6</v>
      </c>
      <c r="P995" s="203">
        <v>0.6</v>
      </c>
      <c r="Q995" s="203">
        <v>0.6</v>
      </c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203">
        <v>0.4</v>
      </c>
      <c r="N996" s="203">
        <v>0.4</v>
      </c>
      <c r="O996" s="203">
        <v>0.4</v>
      </c>
      <c r="P996" s="203">
        <v>0.4</v>
      </c>
      <c r="Q996" s="203">
        <v>0.4</v>
      </c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203">
        <v>0.0</v>
      </c>
      <c r="N997" s="203">
        <v>0.0</v>
      </c>
      <c r="O997" s="203">
        <v>0.0</v>
      </c>
      <c r="P997" s="203">
        <v>0.0</v>
      </c>
      <c r="Q997" s="203">
        <v>0.0</v>
      </c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203">
        <v>0.0</v>
      </c>
      <c r="N998" s="203">
        <v>0.0</v>
      </c>
      <c r="O998" s="203">
        <v>0.0</v>
      </c>
      <c r="P998" s="203">
        <v>0.0</v>
      </c>
      <c r="Q998" s="203">
        <v>0.0</v>
      </c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203">
        <v>0.0</v>
      </c>
      <c r="N999" s="203">
        <v>0.0</v>
      </c>
      <c r="O999" s="203">
        <v>0.0</v>
      </c>
      <c r="P999" s="203">
        <v>0.0</v>
      </c>
      <c r="Q999" s="203">
        <v>0.0</v>
      </c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04">
        <v>8000.0</v>
      </c>
      <c r="N1000" s="204">
        <v>8000.0</v>
      </c>
      <c r="O1000" s="204">
        <v>8000.0</v>
      </c>
      <c r="P1000" s="204">
        <v>8000.0</v>
      </c>
      <c r="Q1000" s="204">
        <v>8000.0</v>
      </c>
      <c r="R1000" s="225">
        <v>30000.0</v>
      </c>
      <c r="S1000" s="225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204">
        <v>6000.0</v>
      </c>
      <c r="N1001" s="204">
        <v>6000.0</v>
      </c>
      <c r="O1001" s="204">
        <v>6000.0</v>
      </c>
      <c r="P1001" s="204">
        <v>6000.0</v>
      </c>
      <c r="Q1001" s="204">
        <v>6000.0</v>
      </c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204">
        <v>0.0</v>
      </c>
      <c r="N1002" s="204">
        <v>0.0</v>
      </c>
      <c r="O1002" s="204">
        <v>0.0</v>
      </c>
      <c r="P1002" s="204">
        <v>0.0</v>
      </c>
      <c r="Q1002" s="204">
        <v>0.0</v>
      </c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204">
        <v>0.0</v>
      </c>
      <c r="N1003" s="204">
        <v>0.0</v>
      </c>
      <c r="O1003" s="204">
        <v>0.0</v>
      </c>
      <c r="P1003" s="204">
        <v>0.0</v>
      </c>
      <c r="Q1003" s="204">
        <v>0.0</v>
      </c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204">
        <v>0.0</v>
      </c>
      <c r="N1004" s="204">
        <v>0.0</v>
      </c>
      <c r="O1004" s="204">
        <v>0.0</v>
      </c>
      <c r="P1004" s="204">
        <v>0.0</v>
      </c>
      <c r="Q1004" s="204">
        <v>0.0</v>
      </c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62">
        <f>IFERROR(__xludf.DUMMYFUNCTION("MATCH(
  MIN(FILTER(M1000:M1004,M1000:M1004&gt;0)),
  M1000:M1004,
  0
)
"),2.0)</f>
        <v>2</v>
      </c>
      <c r="N1005" s="162">
        <f>IFERROR(__xludf.DUMMYFUNCTION("MATCH(
  MIN(FILTER(N1000:N1004,N1000:N1004&gt;0)),
  N1000:N1004,
  0
)
"),2.0)</f>
        <v>2</v>
      </c>
      <c r="O1005" s="162">
        <f>IFERROR(__xludf.DUMMYFUNCTION("MATCH(
  MIN(FILTER(O1000:O1004,O1000:O1004&gt;0)),
  O1000:O1004,
  0
)
"),2.0)</f>
        <v>2</v>
      </c>
      <c r="P1005" s="162">
        <f>IFERROR(__xludf.DUMMYFUNCTION("MATCH(
  MIN(FILTER(P1000:P1004,P1000:P1004&gt;0)),
  P1000:P1004,
  0
)
"),2.0)</f>
        <v>2</v>
      </c>
      <c r="Q1005" s="162">
        <f>IFERROR(__xludf.DUMMYFUNCTION("MATCH(
  MIN(FILTER(Q1000:Q1004,Q1000:Q1004&gt;0)),
  Q1000:Q1004,
  0
)
"),2.0)</f>
        <v>2</v>
      </c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4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Q1007" si="294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94"/>
        <v>40</v>
      </c>
      <c r="J1007" s="148">
        <f t="shared" si="294"/>
        <v>21</v>
      </c>
      <c r="K1007" s="148">
        <f t="shared" si="294"/>
        <v>19</v>
      </c>
      <c r="L1007" s="148">
        <f t="shared" si="294"/>
        <v>12</v>
      </c>
      <c r="M1007" s="148">
        <f t="shared" si="294"/>
        <v>12</v>
      </c>
      <c r="N1007" s="148">
        <f t="shared" si="294"/>
        <v>9</v>
      </c>
      <c r="O1007" s="148">
        <f t="shared" si="294"/>
        <v>6</v>
      </c>
      <c r="P1007" s="148">
        <f t="shared" si="294"/>
        <v>5</v>
      </c>
      <c r="Q1007" s="148">
        <f t="shared" si="294"/>
        <v>0</v>
      </c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Q1008" si="295">(H1007*H1000)</f>
        <v>0</v>
      </c>
      <c r="I1008" s="150">
        <f t="shared" si="295"/>
        <v>320000</v>
      </c>
      <c r="J1008" s="150">
        <f t="shared" si="295"/>
        <v>168000</v>
      </c>
      <c r="K1008" s="150">
        <f t="shared" si="295"/>
        <v>152000</v>
      </c>
      <c r="L1008" s="150">
        <f t="shared" si="295"/>
        <v>96000</v>
      </c>
      <c r="M1008" s="150">
        <f t="shared" si="295"/>
        <v>96000</v>
      </c>
      <c r="N1008" s="150">
        <f t="shared" si="295"/>
        <v>72000</v>
      </c>
      <c r="O1008" s="150">
        <f t="shared" si="295"/>
        <v>48000</v>
      </c>
      <c r="P1008" s="150">
        <f t="shared" si="295"/>
        <v>40000</v>
      </c>
      <c r="Q1008" s="150">
        <f t="shared" si="295"/>
        <v>0</v>
      </c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14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Q1010" si="296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6"/>
        <v>27</v>
      </c>
      <c r="J1010" s="148">
        <f t="shared" si="296"/>
        <v>15</v>
      </c>
      <c r="K1010" s="148">
        <f t="shared" si="296"/>
        <v>13</v>
      </c>
      <c r="L1010" s="148">
        <f t="shared" si="296"/>
        <v>9</v>
      </c>
      <c r="M1010" s="148">
        <f t="shared" si="296"/>
        <v>9</v>
      </c>
      <c r="N1010" s="148">
        <f t="shared" si="296"/>
        <v>6</v>
      </c>
      <c r="O1010" s="148">
        <f t="shared" si="296"/>
        <v>5</v>
      </c>
      <c r="P1010" s="148">
        <f t="shared" si="296"/>
        <v>4</v>
      </c>
      <c r="Q1010" s="148">
        <f t="shared" si="296"/>
        <v>0</v>
      </c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Q1011" si="297">(H1001*H1010)</f>
        <v>0</v>
      </c>
      <c r="I1011" s="150">
        <f t="shared" si="297"/>
        <v>162000</v>
      </c>
      <c r="J1011" s="150">
        <f t="shared" si="297"/>
        <v>90000</v>
      </c>
      <c r="K1011" s="150">
        <f t="shared" si="297"/>
        <v>78000</v>
      </c>
      <c r="L1011" s="150">
        <f t="shared" si="297"/>
        <v>54000</v>
      </c>
      <c r="M1011" s="150">
        <f t="shared" si="297"/>
        <v>54000</v>
      </c>
      <c r="N1011" s="150">
        <f t="shared" si="297"/>
        <v>36000</v>
      </c>
      <c r="O1011" s="150">
        <f t="shared" si="297"/>
        <v>30000</v>
      </c>
      <c r="P1011" s="150">
        <f t="shared" si="297"/>
        <v>24000</v>
      </c>
      <c r="Q1011" s="150">
        <f t="shared" si="297"/>
        <v>0</v>
      </c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48"/>
      <c r="N1012" s="148"/>
      <c r="O1012" s="148"/>
      <c r="P1012" s="148"/>
      <c r="Q1012" s="14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Q1013" si="298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8"/>
        <v>0</v>
      </c>
      <c r="J1013" s="148">
        <f t="shared" si="298"/>
        <v>0</v>
      </c>
      <c r="K1013" s="148">
        <f t="shared" si="298"/>
        <v>0</v>
      </c>
      <c r="L1013" s="148">
        <f t="shared" si="298"/>
        <v>0</v>
      </c>
      <c r="M1013" s="148">
        <f t="shared" si="298"/>
        <v>0</v>
      </c>
      <c r="N1013" s="148">
        <f t="shared" si="298"/>
        <v>0</v>
      </c>
      <c r="O1013" s="148">
        <f t="shared" si="298"/>
        <v>0</v>
      </c>
      <c r="P1013" s="148">
        <f t="shared" si="298"/>
        <v>0</v>
      </c>
      <c r="Q1013" s="148">
        <f t="shared" si="298"/>
        <v>0</v>
      </c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Q1014" si="299">(H1002*H1013)</f>
        <v>0</v>
      </c>
      <c r="I1014" s="150">
        <f t="shared" si="299"/>
        <v>0</v>
      </c>
      <c r="J1014" s="150">
        <f t="shared" si="299"/>
        <v>0</v>
      </c>
      <c r="K1014" s="150">
        <f t="shared" si="299"/>
        <v>0</v>
      </c>
      <c r="L1014" s="150">
        <f t="shared" si="299"/>
        <v>0</v>
      </c>
      <c r="M1014" s="150">
        <f t="shared" si="299"/>
        <v>0</v>
      </c>
      <c r="N1014" s="150">
        <f t="shared" si="299"/>
        <v>0</v>
      </c>
      <c r="O1014" s="150">
        <f t="shared" si="299"/>
        <v>0</v>
      </c>
      <c r="P1014" s="150">
        <f t="shared" si="299"/>
        <v>0</v>
      </c>
      <c r="Q1014" s="150">
        <f t="shared" si="299"/>
        <v>0</v>
      </c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48"/>
      <c r="N1015" s="148"/>
      <c r="O1015" s="148"/>
      <c r="P1015" s="148"/>
      <c r="Q1015" s="14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Q1016" si="300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300"/>
        <v>0</v>
      </c>
      <c r="J1016" s="148">
        <f t="shared" si="300"/>
        <v>0</v>
      </c>
      <c r="K1016" s="148">
        <f t="shared" si="300"/>
        <v>0</v>
      </c>
      <c r="L1016" s="148">
        <f t="shared" si="300"/>
        <v>0</v>
      </c>
      <c r="M1016" s="148">
        <f t="shared" si="300"/>
        <v>0</v>
      </c>
      <c r="N1016" s="148">
        <f t="shared" si="300"/>
        <v>0</v>
      </c>
      <c r="O1016" s="148">
        <f t="shared" si="300"/>
        <v>0</v>
      </c>
      <c r="P1016" s="148">
        <f t="shared" si="300"/>
        <v>0</v>
      </c>
      <c r="Q1016" s="148">
        <f t="shared" si="300"/>
        <v>0</v>
      </c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Q1017" si="301">(H1003*H1016)</f>
        <v>0</v>
      </c>
      <c r="I1017" s="150">
        <f t="shared" si="301"/>
        <v>0</v>
      </c>
      <c r="J1017" s="150">
        <f t="shared" si="301"/>
        <v>0</v>
      </c>
      <c r="K1017" s="150">
        <f t="shared" si="301"/>
        <v>0</v>
      </c>
      <c r="L1017" s="150">
        <f t="shared" si="301"/>
        <v>0</v>
      </c>
      <c r="M1017" s="150">
        <f t="shared" si="301"/>
        <v>0</v>
      </c>
      <c r="N1017" s="150">
        <f t="shared" si="301"/>
        <v>0</v>
      </c>
      <c r="O1017" s="150">
        <f t="shared" si="301"/>
        <v>0</v>
      </c>
      <c r="P1017" s="150">
        <f t="shared" si="301"/>
        <v>0</v>
      </c>
      <c r="Q1017" s="150">
        <f t="shared" si="301"/>
        <v>0</v>
      </c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48"/>
      <c r="N1018" s="148"/>
      <c r="O1018" s="148"/>
      <c r="P1018" s="148"/>
      <c r="Q1018" s="14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Q1019" si="302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302"/>
        <v>0</v>
      </c>
      <c r="J1019" s="148">
        <f t="shared" si="302"/>
        <v>0</v>
      </c>
      <c r="K1019" s="148">
        <f t="shared" si="302"/>
        <v>0</v>
      </c>
      <c r="L1019" s="148">
        <f t="shared" si="302"/>
        <v>0</v>
      </c>
      <c r="M1019" s="148">
        <f t="shared" si="302"/>
        <v>0</v>
      </c>
      <c r="N1019" s="148">
        <f t="shared" si="302"/>
        <v>0</v>
      </c>
      <c r="O1019" s="148">
        <f t="shared" si="302"/>
        <v>0</v>
      </c>
      <c r="P1019" s="148">
        <f t="shared" si="302"/>
        <v>0</v>
      </c>
      <c r="Q1019" s="148">
        <f t="shared" si="302"/>
        <v>0</v>
      </c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Q1020" si="303">(H1004*H1019)</f>
        <v>0</v>
      </c>
      <c r="I1020" s="150">
        <f t="shared" si="303"/>
        <v>0</v>
      </c>
      <c r="J1020" s="150">
        <f t="shared" si="303"/>
        <v>0</v>
      </c>
      <c r="K1020" s="150">
        <f t="shared" si="303"/>
        <v>0</v>
      </c>
      <c r="L1020" s="150">
        <f t="shared" si="303"/>
        <v>0</v>
      </c>
      <c r="M1020" s="150">
        <f t="shared" si="303"/>
        <v>0</v>
      </c>
      <c r="N1020" s="150">
        <f t="shared" si="303"/>
        <v>0</v>
      </c>
      <c r="O1020" s="150">
        <f t="shared" si="303"/>
        <v>0</v>
      </c>
      <c r="P1020" s="150">
        <f t="shared" si="303"/>
        <v>0</v>
      </c>
      <c r="Q1020" s="150">
        <f t="shared" si="303"/>
        <v>0</v>
      </c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60"/>
      <c r="N1021" s="160"/>
      <c r="O1021" s="160"/>
      <c r="P1021" s="160"/>
      <c r="Q1021" s="160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4"/>
      <c r="N1022" s="114"/>
      <c r="O1022" s="114"/>
      <c r="P1022" s="114"/>
      <c r="Q1022" s="114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Q1024" si="304">SUM(H1027,H1064,H1081,)</f>
        <v>21866300</v>
      </c>
      <c r="I1024" s="173">
        <f t="shared" si="304"/>
        <v>3716650</v>
      </c>
      <c r="J1024" s="173">
        <f t="shared" si="304"/>
        <v>2424115</v>
      </c>
      <c r="K1024" s="173">
        <f t="shared" si="304"/>
        <v>1841926.5</v>
      </c>
      <c r="L1024" s="173">
        <f t="shared" si="304"/>
        <v>1270519.15</v>
      </c>
      <c r="M1024" s="173">
        <f t="shared" si="304"/>
        <v>2596331.065</v>
      </c>
      <c r="N1024" s="173">
        <f t="shared" si="304"/>
        <v>935724.1715</v>
      </c>
      <c r="O1024" s="173">
        <f t="shared" si="304"/>
        <v>1403160.589</v>
      </c>
      <c r="P1024" s="173">
        <f t="shared" si="304"/>
        <v>2107259.048</v>
      </c>
      <c r="Q1024" s="173">
        <f t="shared" si="304"/>
        <v>487585.3523</v>
      </c>
      <c r="R1024" s="223">
        <f>SUM(H1024:Q1024)</f>
        <v>38649570.87</v>
      </c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Q1027" si="305">SUM(H1029,H1036,H1043,H1050,H1057,)</f>
        <v>21834800</v>
      </c>
      <c r="I1027" s="178">
        <f t="shared" si="305"/>
        <v>0</v>
      </c>
      <c r="J1027" s="178">
        <f t="shared" si="305"/>
        <v>0</v>
      </c>
      <c r="K1027" s="178">
        <f t="shared" si="305"/>
        <v>0</v>
      </c>
      <c r="L1027" s="178">
        <f t="shared" si="305"/>
        <v>0</v>
      </c>
      <c r="M1027" s="178">
        <f t="shared" si="305"/>
        <v>0</v>
      </c>
      <c r="N1027" s="178">
        <f t="shared" si="305"/>
        <v>0</v>
      </c>
      <c r="O1027" s="178">
        <f t="shared" si="305"/>
        <v>0</v>
      </c>
      <c r="P1027" s="178">
        <f t="shared" si="305"/>
        <v>0</v>
      </c>
      <c r="Q1027" s="178">
        <f t="shared" si="305"/>
        <v>0</v>
      </c>
      <c r="R1027" s="223">
        <f>SUM(H1027:Q1027)</f>
        <v>21834800</v>
      </c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Q1029" si="306">SUM(H1030:H1034)</f>
        <v>1564800</v>
      </c>
      <c r="I1029" s="178">
        <f t="shared" si="306"/>
        <v>0</v>
      </c>
      <c r="J1029" s="178">
        <f t="shared" si="306"/>
        <v>0</v>
      </c>
      <c r="K1029" s="178">
        <f t="shared" si="306"/>
        <v>0</v>
      </c>
      <c r="L1029" s="178">
        <f t="shared" si="306"/>
        <v>0</v>
      </c>
      <c r="M1029" s="178">
        <f t="shared" si="306"/>
        <v>0</v>
      </c>
      <c r="N1029" s="178">
        <f t="shared" si="306"/>
        <v>0</v>
      </c>
      <c r="O1029" s="178">
        <f t="shared" si="306"/>
        <v>0</v>
      </c>
      <c r="P1029" s="178">
        <f t="shared" si="306"/>
        <v>0</v>
      </c>
      <c r="Q1029" s="178">
        <f t="shared" si="306"/>
        <v>0</v>
      </c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600000</v>
      </c>
      <c r="I1030" s="178" t="str">
        <f t="shared" ref="I1030:Q1030" si="307">I428</f>
        <v/>
      </c>
      <c r="J1030" s="178" t="str">
        <f t="shared" si="307"/>
        <v/>
      </c>
      <c r="K1030" s="178" t="str">
        <f t="shared" si="307"/>
        <v/>
      </c>
      <c r="L1030" s="178" t="str">
        <f t="shared" si="307"/>
        <v/>
      </c>
      <c r="M1030" s="178" t="str">
        <f t="shared" si="307"/>
        <v/>
      </c>
      <c r="N1030" s="178" t="str">
        <f t="shared" si="307"/>
        <v/>
      </c>
      <c r="O1030" s="178" t="str">
        <f t="shared" si="307"/>
        <v/>
      </c>
      <c r="P1030" s="178" t="str">
        <f t="shared" si="307"/>
        <v/>
      </c>
      <c r="Q1030" s="178" t="str">
        <f t="shared" si="307"/>
        <v/>
      </c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94800</v>
      </c>
      <c r="I1031" s="178" t="str">
        <f t="shared" ref="I1031:Q1031" si="308">I430</f>
        <v/>
      </c>
      <c r="J1031" s="178" t="str">
        <f t="shared" si="308"/>
        <v/>
      </c>
      <c r="K1031" s="178" t="str">
        <f t="shared" si="308"/>
        <v/>
      </c>
      <c r="L1031" s="178" t="str">
        <f t="shared" si="308"/>
        <v/>
      </c>
      <c r="M1031" s="178" t="str">
        <f t="shared" si="308"/>
        <v/>
      </c>
      <c r="N1031" s="178" t="str">
        <f t="shared" si="308"/>
        <v/>
      </c>
      <c r="O1031" s="178" t="str">
        <f t="shared" si="308"/>
        <v/>
      </c>
      <c r="P1031" s="178" t="str">
        <f t="shared" si="308"/>
        <v/>
      </c>
      <c r="Q1031" s="178" t="str">
        <f t="shared" si="308"/>
        <v/>
      </c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Q1032" si="309">I432</f>
        <v/>
      </c>
      <c r="J1032" s="178" t="str">
        <f t="shared" si="309"/>
        <v/>
      </c>
      <c r="K1032" s="178" t="str">
        <f t="shared" si="309"/>
        <v/>
      </c>
      <c r="L1032" s="178" t="str">
        <f t="shared" si="309"/>
        <v/>
      </c>
      <c r="M1032" s="178" t="str">
        <f t="shared" si="309"/>
        <v/>
      </c>
      <c r="N1032" s="178" t="str">
        <f t="shared" si="309"/>
        <v/>
      </c>
      <c r="O1032" s="178" t="str">
        <f t="shared" si="309"/>
        <v/>
      </c>
      <c r="P1032" s="178" t="str">
        <f t="shared" si="309"/>
        <v/>
      </c>
      <c r="Q1032" s="178" t="str">
        <f t="shared" si="309"/>
        <v/>
      </c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870000</v>
      </c>
      <c r="I1033" s="178" t="str">
        <f t="shared" ref="I1033:Q1033" si="310">I434</f>
        <v/>
      </c>
      <c r="J1033" s="178" t="str">
        <f t="shared" si="310"/>
        <v/>
      </c>
      <c r="K1033" s="178" t="str">
        <f t="shared" si="310"/>
        <v/>
      </c>
      <c r="L1033" s="178" t="str">
        <f t="shared" si="310"/>
        <v/>
      </c>
      <c r="M1033" s="178" t="str">
        <f t="shared" si="310"/>
        <v/>
      </c>
      <c r="N1033" s="178" t="str">
        <f t="shared" si="310"/>
        <v/>
      </c>
      <c r="O1033" s="178" t="str">
        <f t="shared" si="310"/>
        <v/>
      </c>
      <c r="P1033" s="178" t="str">
        <f t="shared" si="310"/>
        <v/>
      </c>
      <c r="Q1033" s="178" t="str">
        <f t="shared" si="310"/>
        <v/>
      </c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Q1034" si="311">I436</f>
        <v/>
      </c>
      <c r="J1034" s="178" t="str">
        <f t="shared" si="311"/>
        <v/>
      </c>
      <c r="K1034" s="178" t="str">
        <f t="shared" si="311"/>
        <v/>
      </c>
      <c r="L1034" s="178" t="str">
        <f t="shared" si="311"/>
        <v/>
      </c>
      <c r="M1034" s="178" t="str">
        <f t="shared" si="311"/>
        <v/>
      </c>
      <c r="N1034" s="178" t="str">
        <f t="shared" si="311"/>
        <v/>
      </c>
      <c r="O1034" s="178" t="str">
        <f t="shared" si="311"/>
        <v/>
      </c>
      <c r="P1034" s="178" t="str">
        <f t="shared" si="311"/>
        <v/>
      </c>
      <c r="Q1034" s="178" t="str">
        <f t="shared" si="311"/>
        <v/>
      </c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Q1036" si="312">SUM(H1037:H1041)</f>
        <v>1656000</v>
      </c>
      <c r="I1036" s="178">
        <f t="shared" si="312"/>
        <v>0</v>
      </c>
      <c r="J1036" s="178">
        <f t="shared" si="312"/>
        <v>0</v>
      </c>
      <c r="K1036" s="178">
        <f t="shared" si="312"/>
        <v>0</v>
      </c>
      <c r="L1036" s="178">
        <f t="shared" si="312"/>
        <v>0</v>
      </c>
      <c r="M1036" s="178">
        <f t="shared" si="312"/>
        <v>0</v>
      </c>
      <c r="N1036" s="178">
        <f t="shared" si="312"/>
        <v>0</v>
      </c>
      <c r="O1036" s="178">
        <f t="shared" si="312"/>
        <v>0</v>
      </c>
      <c r="P1036" s="178">
        <f t="shared" si="312"/>
        <v>0</v>
      </c>
      <c r="Q1036" s="178">
        <f t="shared" si="312"/>
        <v>0</v>
      </c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675000</v>
      </c>
      <c r="I1037" s="178" t="str">
        <f t="shared" ref="I1037:Q1037" si="313">I454</f>
        <v/>
      </c>
      <c r="J1037" s="178" t="str">
        <f t="shared" si="313"/>
        <v/>
      </c>
      <c r="K1037" s="178" t="str">
        <f t="shared" si="313"/>
        <v/>
      </c>
      <c r="L1037" s="178" t="str">
        <f t="shared" si="313"/>
        <v/>
      </c>
      <c r="M1037" s="178" t="str">
        <f t="shared" si="313"/>
        <v/>
      </c>
      <c r="N1037" s="178" t="str">
        <f t="shared" si="313"/>
        <v/>
      </c>
      <c r="O1037" s="178" t="str">
        <f t="shared" si="313"/>
        <v/>
      </c>
      <c r="P1037" s="178" t="str">
        <f t="shared" si="313"/>
        <v/>
      </c>
      <c r="Q1037" s="178" t="str">
        <f t="shared" si="313"/>
        <v/>
      </c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90000</v>
      </c>
      <c r="I1038" s="178" t="str">
        <f t="shared" ref="I1038:Q1038" si="314">I456</f>
        <v/>
      </c>
      <c r="J1038" s="178" t="str">
        <f t="shared" si="314"/>
        <v/>
      </c>
      <c r="K1038" s="178" t="str">
        <f t="shared" si="314"/>
        <v/>
      </c>
      <c r="L1038" s="178" t="str">
        <f t="shared" si="314"/>
        <v/>
      </c>
      <c r="M1038" s="178" t="str">
        <f t="shared" si="314"/>
        <v/>
      </c>
      <c r="N1038" s="178" t="str">
        <f t="shared" si="314"/>
        <v/>
      </c>
      <c r="O1038" s="178" t="str">
        <f t="shared" si="314"/>
        <v/>
      </c>
      <c r="P1038" s="178" t="str">
        <f t="shared" si="314"/>
        <v/>
      </c>
      <c r="Q1038" s="178" t="str">
        <f t="shared" si="314"/>
        <v/>
      </c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Q1039" si="315">I458</f>
        <v/>
      </c>
      <c r="J1039" s="178" t="str">
        <f t="shared" si="315"/>
        <v/>
      </c>
      <c r="K1039" s="178" t="str">
        <f t="shared" si="315"/>
        <v/>
      </c>
      <c r="L1039" s="178" t="str">
        <f t="shared" si="315"/>
        <v/>
      </c>
      <c r="M1039" s="178" t="str">
        <f t="shared" si="315"/>
        <v/>
      </c>
      <c r="N1039" s="178" t="str">
        <f t="shared" si="315"/>
        <v/>
      </c>
      <c r="O1039" s="178" t="str">
        <f t="shared" si="315"/>
        <v/>
      </c>
      <c r="P1039" s="178" t="str">
        <f t="shared" si="315"/>
        <v/>
      </c>
      <c r="Q1039" s="178" t="str">
        <f t="shared" si="315"/>
        <v/>
      </c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891000</v>
      </c>
      <c r="I1040" s="178" t="str">
        <f t="shared" ref="I1040:Q1040" si="316">I460</f>
        <v/>
      </c>
      <c r="J1040" s="178" t="str">
        <f t="shared" si="316"/>
        <v/>
      </c>
      <c r="K1040" s="178" t="str">
        <f t="shared" si="316"/>
        <v/>
      </c>
      <c r="L1040" s="178" t="str">
        <f t="shared" si="316"/>
        <v/>
      </c>
      <c r="M1040" s="178" t="str">
        <f t="shared" si="316"/>
        <v/>
      </c>
      <c r="N1040" s="178" t="str">
        <f t="shared" si="316"/>
        <v/>
      </c>
      <c r="O1040" s="178" t="str">
        <f t="shared" si="316"/>
        <v/>
      </c>
      <c r="P1040" s="178" t="str">
        <f t="shared" si="316"/>
        <v/>
      </c>
      <c r="Q1040" s="178" t="str">
        <f t="shared" si="316"/>
        <v/>
      </c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Q1041" si="317">I462</f>
        <v/>
      </c>
      <c r="J1041" s="178" t="str">
        <f t="shared" si="317"/>
        <v/>
      </c>
      <c r="K1041" s="178" t="str">
        <f t="shared" si="317"/>
        <v/>
      </c>
      <c r="L1041" s="178" t="str">
        <f t="shared" si="317"/>
        <v/>
      </c>
      <c r="M1041" s="178" t="str">
        <f t="shared" si="317"/>
        <v/>
      </c>
      <c r="N1041" s="178" t="str">
        <f t="shared" si="317"/>
        <v/>
      </c>
      <c r="O1041" s="178" t="str">
        <f t="shared" si="317"/>
        <v/>
      </c>
      <c r="P1041" s="178" t="str">
        <f t="shared" si="317"/>
        <v/>
      </c>
      <c r="Q1041" s="178" t="str">
        <f t="shared" si="317"/>
        <v/>
      </c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Q1043" si="318">SUM(H1044:H1048)</f>
        <v>6061000</v>
      </c>
      <c r="I1043" s="178">
        <f t="shared" si="318"/>
        <v>0</v>
      </c>
      <c r="J1043" s="178">
        <f t="shared" si="318"/>
        <v>0</v>
      </c>
      <c r="K1043" s="178">
        <f t="shared" si="318"/>
        <v>0</v>
      </c>
      <c r="L1043" s="178">
        <f t="shared" si="318"/>
        <v>0</v>
      </c>
      <c r="M1043" s="178">
        <f t="shared" si="318"/>
        <v>0</v>
      </c>
      <c r="N1043" s="178">
        <f t="shared" si="318"/>
        <v>0</v>
      </c>
      <c r="O1043" s="178">
        <f t="shared" si="318"/>
        <v>0</v>
      </c>
      <c r="P1043" s="178">
        <f t="shared" si="318"/>
        <v>0</v>
      </c>
      <c r="Q1043" s="178">
        <f t="shared" si="318"/>
        <v>0</v>
      </c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2580000</v>
      </c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345000</v>
      </c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3136000</v>
      </c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"/>
      <c r="S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Q1050" si="319">SUM(H1051:H1055)</f>
        <v>9313000</v>
      </c>
      <c r="I1050" s="178">
        <f t="shared" si="319"/>
        <v>0</v>
      </c>
      <c r="J1050" s="178">
        <f t="shared" si="319"/>
        <v>0</v>
      </c>
      <c r="K1050" s="178">
        <f t="shared" si="319"/>
        <v>0</v>
      </c>
      <c r="L1050" s="178">
        <f t="shared" si="319"/>
        <v>0</v>
      </c>
      <c r="M1050" s="178">
        <f t="shared" si="319"/>
        <v>0</v>
      </c>
      <c r="N1050" s="178">
        <f t="shared" si="319"/>
        <v>0</v>
      </c>
      <c r="O1050" s="178">
        <f t="shared" si="319"/>
        <v>0</v>
      </c>
      <c r="P1050" s="178">
        <f t="shared" si="319"/>
        <v>0</v>
      </c>
      <c r="Q1050" s="178">
        <f t="shared" si="319"/>
        <v>0</v>
      </c>
      <c r="R1050" s="1"/>
      <c r="S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8140000</v>
      </c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"/>
      <c r="S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1173000</v>
      </c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"/>
      <c r="S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"/>
      <c r="S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"/>
      <c r="S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"/>
      <c r="S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Q1057" si="320">SUM(H1058:H1062)</f>
        <v>3240000</v>
      </c>
      <c r="I1057" s="178">
        <f t="shared" si="320"/>
        <v>0</v>
      </c>
      <c r="J1057" s="178">
        <f t="shared" si="320"/>
        <v>0</v>
      </c>
      <c r="K1057" s="178">
        <f t="shared" si="320"/>
        <v>0</v>
      </c>
      <c r="L1057" s="178">
        <f t="shared" si="320"/>
        <v>0</v>
      </c>
      <c r="M1057" s="178">
        <f t="shared" si="320"/>
        <v>0</v>
      </c>
      <c r="N1057" s="178">
        <f t="shared" si="320"/>
        <v>0</v>
      </c>
      <c r="O1057" s="178">
        <f t="shared" si="320"/>
        <v>0</v>
      </c>
      <c r="P1057" s="178">
        <f t="shared" si="320"/>
        <v>0</v>
      </c>
      <c r="Q1057" s="178">
        <f t="shared" si="320"/>
        <v>0</v>
      </c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2880000</v>
      </c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360000</v>
      </c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Q1064" si="321">SUM(H1066,H1071,H1076,)</f>
        <v>31500</v>
      </c>
      <c r="I1064" s="178">
        <f t="shared" si="321"/>
        <v>34650</v>
      </c>
      <c r="J1064" s="178">
        <f t="shared" si="321"/>
        <v>38115</v>
      </c>
      <c r="K1064" s="178">
        <f t="shared" si="321"/>
        <v>137926.5</v>
      </c>
      <c r="L1064" s="178">
        <f t="shared" si="321"/>
        <v>116519.15</v>
      </c>
      <c r="M1064" s="178">
        <f t="shared" si="321"/>
        <v>180331.065</v>
      </c>
      <c r="N1064" s="178">
        <f t="shared" si="321"/>
        <v>145724.1715</v>
      </c>
      <c r="O1064" s="178">
        <f t="shared" si="321"/>
        <v>825160.5887</v>
      </c>
      <c r="P1064" s="178">
        <f t="shared" si="321"/>
        <v>336259.0475</v>
      </c>
      <c r="Q1064" s="178">
        <f t="shared" si="321"/>
        <v>487585.3523</v>
      </c>
      <c r="R1064" s="223">
        <f>SUM(H1064:Q1064)</f>
        <v>2333770.875</v>
      </c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223"/>
      <c r="S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Q1066" si="322">SUM(H1067:H1069)</f>
        <v>13500</v>
      </c>
      <c r="I1066" s="178">
        <f t="shared" si="322"/>
        <v>14850</v>
      </c>
      <c r="J1066" s="178">
        <f t="shared" si="322"/>
        <v>16335</v>
      </c>
      <c r="K1066" s="178">
        <f t="shared" si="322"/>
        <v>17968.5</v>
      </c>
      <c r="L1066" s="178">
        <f t="shared" si="322"/>
        <v>19765.35</v>
      </c>
      <c r="M1066" s="178">
        <f t="shared" si="322"/>
        <v>21741.885</v>
      </c>
      <c r="N1066" s="178">
        <f t="shared" si="322"/>
        <v>23916.0735</v>
      </c>
      <c r="O1066" s="178">
        <f t="shared" si="322"/>
        <v>26307.68085</v>
      </c>
      <c r="P1066" s="178">
        <f t="shared" si="322"/>
        <v>28938.44894</v>
      </c>
      <c r="Q1066" s="178">
        <f t="shared" si="322"/>
        <v>31832.29383</v>
      </c>
      <c r="R1066" s="1"/>
      <c r="S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Q1067" si="323">H571</f>
        <v>0</v>
      </c>
      <c r="I1067" s="178">
        <f t="shared" si="323"/>
        <v>0</v>
      </c>
      <c r="J1067" s="178">
        <f t="shared" si="323"/>
        <v>0</v>
      </c>
      <c r="K1067" s="178">
        <f t="shared" si="323"/>
        <v>0</v>
      </c>
      <c r="L1067" s="178">
        <f t="shared" si="323"/>
        <v>0</v>
      </c>
      <c r="M1067" s="178">
        <f t="shared" si="323"/>
        <v>0</v>
      </c>
      <c r="N1067" s="178">
        <f t="shared" si="323"/>
        <v>0</v>
      </c>
      <c r="O1067" s="178">
        <f t="shared" si="323"/>
        <v>0</v>
      </c>
      <c r="P1067" s="178">
        <f t="shared" si="323"/>
        <v>0</v>
      </c>
      <c r="Q1067" s="178">
        <f t="shared" si="323"/>
        <v>0</v>
      </c>
      <c r="R1067" s="223">
        <f t="shared" ref="R1067:R1069" si="325">SUM(H1067:Q1067)</f>
        <v>0</v>
      </c>
      <c r="S1067" s="223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Q1068" si="324">H605</f>
        <v>0</v>
      </c>
      <c r="I1068" s="178">
        <f t="shared" si="324"/>
        <v>0</v>
      </c>
      <c r="J1068" s="178">
        <f t="shared" si="324"/>
        <v>0</v>
      </c>
      <c r="K1068" s="178">
        <f t="shared" si="324"/>
        <v>0</v>
      </c>
      <c r="L1068" s="178">
        <f t="shared" si="324"/>
        <v>0</v>
      </c>
      <c r="M1068" s="178">
        <f t="shared" si="324"/>
        <v>0</v>
      </c>
      <c r="N1068" s="178">
        <f t="shared" si="324"/>
        <v>0</v>
      </c>
      <c r="O1068" s="178">
        <f t="shared" si="324"/>
        <v>0</v>
      </c>
      <c r="P1068" s="178">
        <f t="shared" si="324"/>
        <v>0</v>
      </c>
      <c r="Q1068" s="178">
        <f t="shared" si="324"/>
        <v>0</v>
      </c>
      <c r="R1068" s="223">
        <f t="shared" si="325"/>
        <v>0</v>
      </c>
      <c r="S1068" s="223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Q1069" si="326">H624</f>
        <v>13500</v>
      </c>
      <c r="I1069" s="178">
        <f t="shared" si="326"/>
        <v>14850</v>
      </c>
      <c r="J1069" s="178">
        <f t="shared" si="326"/>
        <v>16335</v>
      </c>
      <c r="K1069" s="178">
        <f t="shared" si="326"/>
        <v>17968.5</v>
      </c>
      <c r="L1069" s="178">
        <f t="shared" si="326"/>
        <v>19765.35</v>
      </c>
      <c r="M1069" s="178">
        <f t="shared" si="326"/>
        <v>21741.885</v>
      </c>
      <c r="N1069" s="178">
        <f t="shared" si="326"/>
        <v>23916.0735</v>
      </c>
      <c r="O1069" s="178">
        <f t="shared" si="326"/>
        <v>26307.68085</v>
      </c>
      <c r="P1069" s="178">
        <f t="shared" si="326"/>
        <v>28938.44894</v>
      </c>
      <c r="Q1069" s="178">
        <f t="shared" si="326"/>
        <v>31832.29383</v>
      </c>
      <c r="R1069" s="223">
        <f t="shared" si="325"/>
        <v>215155.2321</v>
      </c>
      <c r="S1069" s="223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"/>
      <c r="S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 t="shared" ref="H1071:Q1071" si="327">SUM(H1072:H1074)</f>
        <v>18000</v>
      </c>
      <c r="I1071" s="178">
        <f t="shared" si="327"/>
        <v>19800</v>
      </c>
      <c r="J1071" s="178">
        <f t="shared" si="327"/>
        <v>21780</v>
      </c>
      <c r="K1071" s="178">
        <f t="shared" si="327"/>
        <v>23958</v>
      </c>
      <c r="L1071" s="178">
        <f t="shared" si="327"/>
        <v>39153.8</v>
      </c>
      <c r="M1071" s="178">
        <f t="shared" si="327"/>
        <v>28989.18</v>
      </c>
      <c r="N1071" s="178">
        <f t="shared" si="327"/>
        <v>42128.098</v>
      </c>
      <c r="O1071" s="178">
        <f t="shared" si="327"/>
        <v>73476.9078</v>
      </c>
      <c r="P1071" s="178">
        <f t="shared" si="327"/>
        <v>46776.59858</v>
      </c>
      <c r="Q1071" s="178">
        <f t="shared" si="327"/>
        <v>238889.0584</v>
      </c>
      <c r="R1071" s="1"/>
      <c r="S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Q1072" si="328">H646</f>
        <v>0</v>
      </c>
      <c r="I1072" s="178">
        <f t="shared" si="328"/>
        <v>0</v>
      </c>
      <c r="J1072" s="178">
        <f t="shared" si="328"/>
        <v>0</v>
      </c>
      <c r="K1072" s="178">
        <f t="shared" si="328"/>
        <v>0</v>
      </c>
      <c r="L1072" s="178">
        <f t="shared" si="328"/>
        <v>12800</v>
      </c>
      <c r="M1072" s="178">
        <f t="shared" si="328"/>
        <v>0</v>
      </c>
      <c r="N1072" s="178">
        <f t="shared" si="328"/>
        <v>10240</v>
      </c>
      <c r="O1072" s="178">
        <f t="shared" si="328"/>
        <v>38400</v>
      </c>
      <c r="P1072" s="178">
        <f t="shared" si="328"/>
        <v>8192</v>
      </c>
      <c r="Q1072" s="178">
        <f t="shared" si="328"/>
        <v>30720</v>
      </c>
      <c r="R1072" s="223">
        <f t="shared" ref="R1072:R1074" si="330">SUM(H1072:Q1072)</f>
        <v>100352</v>
      </c>
      <c r="S1072" s="223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Q1073" si="329">H679</f>
        <v>0</v>
      </c>
      <c r="I1073" s="178">
        <f t="shared" si="329"/>
        <v>0</v>
      </c>
      <c r="J1073" s="178">
        <f t="shared" si="329"/>
        <v>0</v>
      </c>
      <c r="K1073" s="178">
        <f t="shared" si="329"/>
        <v>0</v>
      </c>
      <c r="L1073" s="178">
        <f t="shared" si="329"/>
        <v>0</v>
      </c>
      <c r="M1073" s="178">
        <f t="shared" si="329"/>
        <v>0</v>
      </c>
      <c r="N1073" s="178">
        <f t="shared" si="329"/>
        <v>0</v>
      </c>
      <c r="O1073" s="178">
        <f t="shared" si="329"/>
        <v>0</v>
      </c>
      <c r="P1073" s="178">
        <f t="shared" si="329"/>
        <v>0</v>
      </c>
      <c r="Q1073" s="178">
        <f t="shared" si="329"/>
        <v>165726</v>
      </c>
      <c r="R1073" s="223">
        <f t="shared" si="330"/>
        <v>165726</v>
      </c>
      <c r="S1073" s="223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Q1074" si="331">H698</f>
        <v>18000</v>
      </c>
      <c r="I1074" s="178">
        <f t="shared" si="331"/>
        <v>19800</v>
      </c>
      <c r="J1074" s="178">
        <f t="shared" si="331"/>
        <v>21780</v>
      </c>
      <c r="K1074" s="178">
        <f t="shared" si="331"/>
        <v>23958</v>
      </c>
      <c r="L1074" s="178">
        <f t="shared" si="331"/>
        <v>26353.8</v>
      </c>
      <c r="M1074" s="178">
        <f t="shared" si="331"/>
        <v>28989.18</v>
      </c>
      <c r="N1074" s="178">
        <f t="shared" si="331"/>
        <v>31888.098</v>
      </c>
      <c r="O1074" s="178">
        <f t="shared" si="331"/>
        <v>35076.9078</v>
      </c>
      <c r="P1074" s="178">
        <f t="shared" si="331"/>
        <v>38584.59858</v>
      </c>
      <c r="Q1074" s="178">
        <f t="shared" si="331"/>
        <v>42443.05844</v>
      </c>
      <c r="R1074" s="223">
        <f t="shared" si="330"/>
        <v>286873.6428</v>
      </c>
      <c r="S1074" s="223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"/>
      <c r="S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 t="shared" ref="H1076:Q1076" si="332">SUM(H1077:H1079)</f>
        <v>0</v>
      </c>
      <c r="I1076" s="178">
        <f t="shared" si="332"/>
        <v>0</v>
      </c>
      <c r="J1076" s="178">
        <f t="shared" si="332"/>
        <v>0</v>
      </c>
      <c r="K1076" s="178">
        <f t="shared" si="332"/>
        <v>96000</v>
      </c>
      <c r="L1076" s="178">
        <f t="shared" si="332"/>
        <v>57600</v>
      </c>
      <c r="M1076" s="178">
        <f t="shared" si="332"/>
        <v>129600</v>
      </c>
      <c r="N1076" s="178">
        <f t="shared" si="332"/>
        <v>79680</v>
      </c>
      <c r="O1076" s="178">
        <f t="shared" si="332"/>
        <v>725376</v>
      </c>
      <c r="P1076" s="178">
        <f t="shared" si="332"/>
        <v>260544</v>
      </c>
      <c r="Q1076" s="178">
        <f t="shared" si="332"/>
        <v>216864</v>
      </c>
      <c r="R1076" s="1"/>
      <c r="S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Q1077" si="333">H720</f>
        <v>0</v>
      </c>
      <c r="I1077" s="178">
        <f t="shared" si="333"/>
        <v>0</v>
      </c>
      <c r="J1077" s="178">
        <f t="shared" si="333"/>
        <v>0</v>
      </c>
      <c r="K1077" s="178">
        <f t="shared" si="333"/>
        <v>96000</v>
      </c>
      <c r="L1077" s="178">
        <f t="shared" si="333"/>
        <v>57600</v>
      </c>
      <c r="M1077" s="178">
        <f t="shared" si="333"/>
        <v>129600</v>
      </c>
      <c r="N1077" s="178">
        <f t="shared" si="333"/>
        <v>79680</v>
      </c>
      <c r="O1077" s="178">
        <f t="shared" si="333"/>
        <v>142080</v>
      </c>
      <c r="P1077" s="178">
        <f t="shared" si="333"/>
        <v>92544</v>
      </c>
      <c r="Q1077" s="178">
        <f t="shared" si="333"/>
        <v>132864</v>
      </c>
      <c r="R1077" s="223">
        <f t="shared" ref="R1077:R1079" si="335">SUM(H1077:Q1077)</f>
        <v>730368</v>
      </c>
      <c r="S1077" s="223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Q1078" si="334">H754</f>
        <v>0</v>
      </c>
      <c r="I1078" s="178">
        <f t="shared" si="334"/>
        <v>0</v>
      </c>
      <c r="J1078" s="178">
        <f t="shared" si="334"/>
        <v>0</v>
      </c>
      <c r="K1078" s="178">
        <f t="shared" si="334"/>
        <v>0</v>
      </c>
      <c r="L1078" s="178">
        <f t="shared" si="334"/>
        <v>0</v>
      </c>
      <c r="M1078" s="178">
        <f t="shared" si="334"/>
        <v>0</v>
      </c>
      <c r="N1078" s="178">
        <f t="shared" si="334"/>
        <v>0</v>
      </c>
      <c r="O1078" s="178">
        <f t="shared" si="334"/>
        <v>583296</v>
      </c>
      <c r="P1078" s="178">
        <f t="shared" si="334"/>
        <v>168000</v>
      </c>
      <c r="Q1078" s="178">
        <f t="shared" si="334"/>
        <v>84000</v>
      </c>
      <c r="R1078" s="223">
        <f t="shared" si="335"/>
        <v>835296</v>
      </c>
      <c r="S1078" s="223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Q1079" si="336">H774</f>
        <v>0</v>
      </c>
      <c r="I1079" s="178">
        <f t="shared" si="336"/>
        <v>0</v>
      </c>
      <c r="J1079" s="178">
        <f t="shared" si="336"/>
        <v>0</v>
      </c>
      <c r="K1079" s="178">
        <f t="shared" si="336"/>
        <v>0</v>
      </c>
      <c r="L1079" s="178">
        <f t="shared" si="336"/>
        <v>0</v>
      </c>
      <c r="M1079" s="178">
        <f t="shared" si="336"/>
        <v>0</v>
      </c>
      <c r="N1079" s="178">
        <f t="shared" si="336"/>
        <v>0</v>
      </c>
      <c r="O1079" s="178">
        <f t="shared" si="336"/>
        <v>0</v>
      </c>
      <c r="P1079" s="178">
        <f t="shared" si="336"/>
        <v>0</v>
      </c>
      <c r="Q1079" s="178">
        <f t="shared" si="336"/>
        <v>0</v>
      </c>
      <c r="R1079" s="223">
        <f t="shared" si="335"/>
        <v>0</v>
      </c>
      <c r="S1079" s="223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Q1081" si="337">SUM(H1083,H1090,H1097,H1104,H1111,)</f>
        <v>0</v>
      </c>
      <c r="I1081" s="178">
        <f t="shared" si="337"/>
        <v>3682000</v>
      </c>
      <c r="J1081" s="178">
        <f t="shared" si="337"/>
        <v>2386000</v>
      </c>
      <c r="K1081" s="178">
        <f t="shared" si="337"/>
        <v>1704000</v>
      </c>
      <c r="L1081" s="178">
        <f t="shared" si="337"/>
        <v>1154000</v>
      </c>
      <c r="M1081" s="178">
        <f t="shared" si="337"/>
        <v>2416000</v>
      </c>
      <c r="N1081" s="178">
        <f t="shared" si="337"/>
        <v>790000</v>
      </c>
      <c r="O1081" s="178">
        <f t="shared" si="337"/>
        <v>578000</v>
      </c>
      <c r="P1081" s="178">
        <f t="shared" si="337"/>
        <v>1771000</v>
      </c>
      <c r="Q1081" s="178">
        <f t="shared" si="337"/>
        <v>0</v>
      </c>
      <c r="R1081" s="223">
        <f>SUM(H1081:Q1081)</f>
        <v>14481000</v>
      </c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Q1083" si="338">SUM(H1084:H1088)</f>
        <v>0</v>
      </c>
      <c r="I1083" s="178">
        <f t="shared" si="338"/>
        <v>0</v>
      </c>
      <c r="J1083" s="178">
        <f t="shared" si="338"/>
        <v>160000</v>
      </c>
      <c r="K1083" s="178">
        <f t="shared" si="338"/>
        <v>0</v>
      </c>
      <c r="L1083" s="178">
        <f t="shared" si="338"/>
        <v>0</v>
      </c>
      <c r="M1083" s="178">
        <f t="shared" si="338"/>
        <v>400000</v>
      </c>
      <c r="N1083" s="178">
        <f t="shared" si="338"/>
        <v>0</v>
      </c>
      <c r="O1083" s="178">
        <f t="shared" si="338"/>
        <v>0</v>
      </c>
      <c r="P1083" s="178">
        <f t="shared" si="338"/>
        <v>400000</v>
      </c>
      <c r="Q1083" s="178">
        <f t="shared" si="338"/>
        <v>0</v>
      </c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Q1084" si="339">H827</f>
        <v>0</v>
      </c>
      <c r="I1084" s="179">
        <f t="shared" si="339"/>
        <v>0</v>
      </c>
      <c r="J1084" s="179">
        <f t="shared" si="339"/>
        <v>140000</v>
      </c>
      <c r="K1084" s="179">
        <f t="shared" si="339"/>
        <v>0</v>
      </c>
      <c r="L1084" s="179">
        <f t="shared" si="339"/>
        <v>0</v>
      </c>
      <c r="M1084" s="179">
        <f t="shared" si="339"/>
        <v>350000</v>
      </c>
      <c r="N1084" s="179">
        <f t="shared" si="339"/>
        <v>0</v>
      </c>
      <c r="O1084" s="179">
        <f t="shared" si="339"/>
        <v>0</v>
      </c>
      <c r="P1084" s="179">
        <f t="shared" si="339"/>
        <v>350000</v>
      </c>
      <c r="Q1084" s="179">
        <f t="shared" si="339"/>
        <v>0</v>
      </c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Q1085" si="340">H830</f>
        <v>0</v>
      </c>
      <c r="I1085" s="179">
        <f t="shared" si="340"/>
        <v>0</v>
      </c>
      <c r="J1085" s="179">
        <f t="shared" si="340"/>
        <v>20000</v>
      </c>
      <c r="K1085" s="179">
        <f t="shared" si="340"/>
        <v>0</v>
      </c>
      <c r="L1085" s="179">
        <f t="shared" si="340"/>
        <v>0</v>
      </c>
      <c r="M1085" s="179">
        <f t="shared" si="340"/>
        <v>50000</v>
      </c>
      <c r="N1085" s="179">
        <f t="shared" si="340"/>
        <v>0</v>
      </c>
      <c r="O1085" s="179">
        <f t="shared" si="340"/>
        <v>0</v>
      </c>
      <c r="P1085" s="179">
        <f t="shared" si="340"/>
        <v>50000</v>
      </c>
      <c r="Q1085" s="179">
        <f t="shared" si="340"/>
        <v>0</v>
      </c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Q1086" si="341">H833</f>
        <v>0</v>
      </c>
      <c r="I1086" s="179">
        <f t="shared" si="341"/>
        <v>0</v>
      </c>
      <c r="J1086" s="179">
        <f t="shared" si="341"/>
        <v>0</v>
      </c>
      <c r="K1086" s="179">
        <f t="shared" si="341"/>
        <v>0</v>
      </c>
      <c r="L1086" s="179">
        <f t="shared" si="341"/>
        <v>0</v>
      </c>
      <c r="M1086" s="179">
        <f t="shared" si="341"/>
        <v>0</v>
      </c>
      <c r="N1086" s="179">
        <f t="shared" si="341"/>
        <v>0</v>
      </c>
      <c r="O1086" s="179">
        <f t="shared" si="341"/>
        <v>0</v>
      </c>
      <c r="P1086" s="179">
        <f t="shared" si="341"/>
        <v>0</v>
      </c>
      <c r="Q1086" s="179">
        <f t="shared" si="341"/>
        <v>0</v>
      </c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Q1087" si="342">H836</f>
        <v>0</v>
      </c>
      <c r="I1087" s="179">
        <f t="shared" si="342"/>
        <v>0</v>
      </c>
      <c r="J1087" s="179">
        <f t="shared" si="342"/>
        <v>0</v>
      </c>
      <c r="K1087" s="179">
        <f t="shared" si="342"/>
        <v>0</v>
      </c>
      <c r="L1087" s="179">
        <f t="shared" si="342"/>
        <v>0</v>
      </c>
      <c r="M1087" s="179">
        <f t="shared" si="342"/>
        <v>0</v>
      </c>
      <c r="N1087" s="179">
        <f t="shared" si="342"/>
        <v>0</v>
      </c>
      <c r="O1087" s="179">
        <f t="shared" si="342"/>
        <v>0</v>
      </c>
      <c r="P1087" s="179">
        <f t="shared" si="342"/>
        <v>0</v>
      </c>
      <c r="Q1087" s="179">
        <f t="shared" si="342"/>
        <v>0</v>
      </c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Q1088" si="343">H839</f>
        <v>0</v>
      </c>
      <c r="I1088" s="179">
        <f t="shared" si="343"/>
        <v>0</v>
      </c>
      <c r="J1088" s="179">
        <f t="shared" si="343"/>
        <v>0</v>
      </c>
      <c r="K1088" s="179">
        <f t="shared" si="343"/>
        <v>0</v>
      </c>
      <c r="L1088" s="179">
        <f t="shared" si="343"/>
        <v>0</v>
      </c>
      <c r="M1088" s="179">
        <f t="shared" si="343"/>
        <v>0</v>
      </c>
      <c r="N1088" s="179">
        <f t="shared" si="343"/>
        <v>0</v>
      </c>
      <c r="O1088" s="179">
        <f t="shared" si="343"/>
        <v>0</v>
      </c>
      <c r="P1088" s="179">
        <f t="shared" si="343"/>
        <v>0</v>
      </c>
      <c r="Q1088" s="179">
        <f t="shared" si="343"/>
        <v>0</v>
      </c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Q1090" si="344">SUM(H1091:H1095)</f>
        <v>0</v>
      </c>
      <c r="I1090" s="178">
        <f t="shared" si="344"/>
        <v>0</v>
      </c>
      <c r="J1090" s="178">
        <f t="shared" si="344"/>
        <v>298000</v>
      </c>
      <c r="K1090" s="178">
        <f t="shared" si="344"/>
        <v>0</v>
      </c>
      <c r="L1090" s="178">
        <f t="shared" si="344"/>
        <v>0</v>
      </c>
      <c r="M1090" s="178">
        <f t="shared" si="344"/>
        <v>896000</v>
      </c>
      <c r="N1090" s="178">
        <f t="shared" si="344"/>
        <v>0</v>
      </c>
      <c r="O1090" s="178">
        <f t="shared" si="344"/>
        <v>0</v>
      </c>
      <c r="P1090" s="178">
        <f t="shared" si="344"/>
        <v>923000</v>
      </c>
      <c r="Q1090" s="178">
        <f t="shared" si="344"/>
        <v>0</v>
      </c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Q1091" si="345">H872</f>
        <v>0</v>
      </c>
      <c r="I1091" s="179">
        <f t="shared" si="345"/>
        <v>0</v>
      </c>
      <c r="J1091" s="179">
        <f t="shared" si="345"/>
        <v>150000</v>
      </c>
      <c r="K1091" s="179">
        <f t="shared" si="345"/>
        <v>0</v>
      </c>
      <c r="L1091" s="179">
        <f t="shared" si="345"/>
        <v>0</v>
      </c>
      <c r="M1091" s="179">
        <f t="shared" si="345"/>
        <v>400000</v>
      </c>
      <c r="N1091" s="179">
        <f t="shared" si="345"/>
        <v>0</v>
      </c>
      <c r="O1091" s="179">
        <f t="shared" si="345"/>
        <v>0</v>
      </c>
      <c r="P1091" s="179">
        <f t="shared" si="345"/>
        <v>425000</v>
      </c>
      <c r="Q1091" s="179">
        <f t="shared" si="345"/>
        <v>0</v>
      </c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Q1092" si="346">H875</f>
        <v>0</v>
      </c>
      <c r="I1092" s="179">
        <f t="shared" si="346"/>
        <v>0</v>
      </c>
      <c r="J1092" s="179">
        <f t="shared" si="346"/>
        <v>60000</v>
      </c>
      <c r="K1092" s="179">
        <f t="shared" si="346"/>
        <v>0</v>
      </c>
      <c r="L1092" s="179">
        <f t="shared" si="346"/>
        <v>0</v>
      </c>
      <c r="M1092" s="179">
        <f t="shared" si="346"/>
        <v>160000</v>
      </c>
      <c r="N1092" s="179">
        <f t="shared" si="346"/>
        <v>0</v>
      </c>
      <c r="O1092" s="179">
        <f t="shared" si="346"/>
        <v>0</v>
      </c>
      <c r="P1092" s="179">
        <f t="shared" si="346"/>
        <v>170000</v>
      </c>
      <c r="Q1092" s="179">
        <f t="shared" si="346"/>
        <v>0</v>
      </c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Q1093" si="347">H878</f>
        <v>0</v>
      </c>
      <c r="I1093" s="179">
        <f t="shared" si="347"/>
        <v>0</v>
      </c>
      <c r="J1093" s="179">
        <f t="shared" si="347"/>
        <v>16000</v>
      </c>
      <c r="K1093" s="179">
        <f t="shared" si="347"/>
        <v>0</v>
      </c>
      <c r="L1093" s="179">
        <f t="shared" si="347"/>
        <v>0</v>
      </c>
      <c r="M1093" s="179">
        <f t="shared" si="347"/>
        <v>48000</v>
      </c>
      <c r="N1093" s="179">
        <f t="shared" si="347"/>
        <v>0</v>
      </c>
      <c r="O1093" s="179">
        <f t="shared" si="347"/>
        <v>0</v>
      </c>
      <c r="P1093" s="179">
        <f t="shared" si="347"/>
        <v>40000</v>
      </c>
      <c r="Q1093" s="179">
        <f t="shared" si="347"/>
        <v>0</v>
      </c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Q1094" si="348">H881</f>
        <v>0</v>
      </c>
      <c r="I1094" s="179">
        <f t="shared" si="348"/>
        <v>0</v>
      </c>
      <c r="J1094" s="179">
        <f t="shared" si="348"/>
        <v>72000</v>
      </c>
      <c r="K1094" s="179">
        <f t="shared" si="348"/>
        <v>0</v>
      </c>
      <c r="L1094" s="179">
        <f t="shared" si="348"/>
        <v>0</v>
      </c>
      <c r="M1094" s="179">
        <f t="shared" si="348"/>
        <v>288000</v>
      </c>
      <c r="N1094" s="179">
        <f t="shared" si="348"/>
        <v>0</v>
      </c>
      <c r="O1094" s="179">
        <f t="shared" si="348"/>
        <v>0</v>
      </c>
      <c r="P1094" s="179">
        <f t="shared" si="348"/>
        <v>288000</v>
      </c>
      <c r="Q1094" s="179">
        <f t="shared" si="348"/>
        <v>0</v>
      </c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Q1095" si="349">H884</f>
        <v>0</v>
      </c>
      <c r="I1095" s="179">
        <f t="shared" si="349"/>
        <v>0</v>
      </c>
      <c r="J1095" s="179">
        <f t="shared" si="349"/>
        <v>0</v>
      </c>
      <c r="K1095" s="179">
        <f t="shared" si="349"/>
        <v>0</v>
      </c>
      <c r="L1095" s="179">
        <f t="shared" si="349"/>
        <v>0</v>
      </c>
      <c r="M1095" s="179">
        <f t="shared" si="349"/>
        <v>0</v>
      </c>
      <c r="N1095" s="179">
        <f t="shared" si="349"/>
        <v>0</v>
      </c>
      <c r="O1095" s="179">
        <f t="shared" si="349"/>
        <v>0</v>
      </c>
      <c r="P1095" s="179">
        <f t="shared" si="349"/>
        <v>0</v>
      </c>
      <c r="Q1095" s="179">
        <f t="shared" si="349"/>
        <v>0</v>
      </c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Q1097" si="350">SUM(H1098:H1102)</f>
        <v>0</v>
      </c>
      <c r="I1097" s="178">
        <f t="shared" si="350"/>
        <v>1810000</v>
      </c>
      <c r="J1097" s="178">
        <f t="shared" si="350"/>
        <v>932000</v>
      </c>
      <c r="K1097" s="178">
        <f t="shared" si="350"/>
        <v>824000</v>
      </c>
      <c r="L1097" s="178">
        <f t="shared" si="350"/>
        <v>564000</v>
      </c>
      <c r="M1097" s="178">
        <f t="shared" si="350"/>
        <v>540000</v>
      </c>
      <c r="N1097" s="178">
        <f t="shared" si="350"/>
        <v>374000</v>
      </c>
      <c r="O1097" s="178">
        <f t="shared" si="350"/>
        <v>280000</v>
      </c>
      <c r="P1097" s="178">
        <f t="shared" si="350"/>
        <v>208000</v>
      </c>
      <c r="Q1097" s="178">
        <f t="shared" si="350"/>
        <v>0</v>
      </c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Q1098" si="351">H917</f>
        <v>0</v>
      </c>
      <c r="I1098" s="180">
        <f t="shared" si="351"/>
        <v>500000</v>
      </c>
      <c r="J1098" s="180">
        <f t="shared" si="351"/>
        <v>260000</v>
      </c>
      <c r="K1098" s="180">
        <f t="shared" si="351"/>
        <v>220000</v>
      </c>
      <c r="L1098" s="180">
        <f t="shared" si="351"/>
        <v>160000</v>
      </c>
      <c r="M1098" s="180">
        <f t="shared" si="351"/>
        <v>140000</v>
      </c>
      <c r="N1098" s="180">
        <f t="shared" si="351"/>
        <v>100000</v>
      </c>
      <c r="O1098" s="180">
        <f t="shared" si="351"/>
        <v>80000</v>
      </c>
      <c r="P1098" s="180">
        <f t="shared" si="351"/>
        <v>60000</v>
      </c>
      <c r="Q1098" s="180">
        <f t="shared" si="351"/>
        <v>0</v>
      </c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Q1099" si="352">H920</f>
        <v>0</v>
      </c>
      <c r="I1099" s="170">
        <f t="shared" si="352"/>
        <v>350000</v>
      </c>
      <c r="J1099" s="170">
        <f t="shared" si="352"/>
        <v>180000</v>
      </c>
      <c r="K1099" s="170">
        <f t="shared" si="352"/>
        <v>160000</v>
      </c>
      <c r="L1099" s="170">
        <f t="shared" si="352"/>
        <v>110000</v>
      </c>
      <c r="M1099" s="170">
        <f t="shared" si="352"/>
        <v>100000</v>
      </c>
      <c r="N1099" s="170">
        <f t="shared" si="352"/>
        <v>70000</v>
      </c>
      <c r="O1099" s="170">
        <f t="shared" si="352"/>
        <v>50000</v>
      </c>
      <c r="P1099" s="170">
        <f t="shared" si="352"/>
        <v>40000</v>
      </c>
      <c r="Q1099" s="170">
        <f t="shared" si="352"/>
        <v>0</v>
      </c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Q1100" si="353">H923</f>
        <v>0</v>
      </c>
      <c r="I1100" s="170">
        <f t="shared" si="353"/>
        <v>120000</v>
      </c>
      <c r="J1100" s="170">
        <f t="shared" si="353"/>
        <v>72000</v>
      </c>
      <c r="K1100" s="170">
        <f t="shared" si="353"/>
        <v>66000</v>
      </c>
      <c r="L1100" s="170">
        <f t="shared" si="353"/>
        <v>42000</v>
      </c>
      <c r="M1100" s="170">
        <f t="shared" si="353"/>
        <v>48000</v>
      </c>
      <c r="N1100" s="170">
        <f t="shared" si="353"/>
        <v>36000</v>
      </c>
      <c r="O1100" s="170">
        <f t="shared" si="353"/>
        <v>24000</v>
      </c>
      <c r="P1100" s="170">
        <f t="shared" si="353"/>
        <v>24000</v>
      </c>
      <c r="Q1100" s="170">
        <f t="shared" si="353"/>
        <v>0</v>
      </c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Q1101" si="354">H926</f>
        <v>0</v>
      </c>
      <c r="I1101" s="170">
        <f t="shared" si="354"/>
        <v>840000</v>
      </c>
      <c r="J1101" s="170">
        <f t="shared" si="354"/>
        <v>420000</v>
      </c>
      <c r="K1101" s="170">
        <f t="shared" si="354"/>
        <v>378000</v>
      </c>
      <c r="L1101" s="170">
        <f t="shared" si="354"/>
        <v>252000</v>
      </c>
      <c r="M1101" s="170">
        <f t="shared" si="354"/>
        <v>252000</v>
      </c>
      <c r="N1101" s="170">
        <f t="shared" si="354"/>
        <v>168000</v>
      </c>
      <c r="O1101" s="170">
        <f t="shared" si="354"/>
        <v>126000</v>
      </c>
      <c r="P1101" s="170">
        <f t="shared" si="354"/>
        <v>84000</v>
      </c>
      <c r="Q1101" s="170">
        <f t="shared" si="354"/>
        <v>0</v>
      </c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Q1102" si="355">H929</f>
        <v>0</v>
      </c>
      <c r="I1102" s="170">
        <f t="shared" si="355"/>
        <v>0</v>
      </c>
      <c r="J1102" s="170">
        <f t="shared" si="355"/>
        <v>0</v>
      </c>
      <c r="K1102" s="170">
        <f t="shared" si="355"/>
        <v>0</v>
      </c>
      <c r="L1102" s="170">
        <f t="shared" si="355"/>
        <v>0</v>
      </c>
      <c r="M1102" s="170">
        <f t="shared" si="355"/>
        <v>0</v>
      </c>
      <c r="N1102" s="170">
        <f t="shared" si="355"/>
        <v>0</v>
      </c>
      <c r="O1102" s="170">
        <f t="shared" si="355"/>
        <v>0</v>
      </c>
      <c r="P1102" s="170">
        <f t="shared" si="355"/>
        <v>0</v>
      </c>
      <c r="Q1102" s="170">
        <f t="shared" si="355"/>
        <v>0</v>
      </c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Q1104" si="356">SUM(H1105:H1109)</f>
        <v>0</v>
      </c>
      <c r="I1104" s="178">
        <f t="shared" si="356"/>
        <v>1390000</v>
      </c>
      <c r="J1104" s="178">
        <f t="shared" si="356"/>
        <v>738000</v>
      </c>
      <c r="K1104" s="178">
        <f t="shared" si="356"/>
        <v>650000</v>
      </c>
      <c r="L1104" s="178">
        <f t="shared" si="356"/>
        <v>440000</v>
      </c>
      <c r="M1104" s="178">
        <f t="shared" si="356"/>
        <v>430000</v>
      </c>
      <c r="N1104" s="178">
        <f t="shared" si="356"/>
        <v>308000</v>
      </c>
      <c r="O1104" s="178">
        <f t="shared" si="356"/>
        <v>220000</v>
      </c>
      <c r="P1104" s="178">
        <f t="shared" si="356"/>
        <v>176000</v>
      </c>
      <c r="Q1104" s="178">
        <f t="shared" si="356"/>
        <v>0</v>
      </c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Q1105" si="357">H963</f>
        <v>0</v>
      </c>
      <c r="I1105" s="170">
        <f t="shared" si="357"/>
        <v>760000</v>
      </c>
      <c r="J1105" s="170">
        <f t="shared" si="357"/>
        <v>408000</v>
      </c>
      <c r="K1105" s="170">
        <f t="shared" si="357"/>
        <v>360000</v>
      </c>
      <c r="L1105" s="170">
        <f t="shared" si="357"/>
        <v>240000</v>
      </c>
      <c r="M1105" s="170">
        <f t="shared" si="357"/>
        <v>240000</v>
      </c>
      <c r="N1105" s="170">
        <f t="shared" si="357"/>
        <v>168000</v>
      </c>
      <c r="O1105" s="170">
        <f t="shared" si="357"/>
        <v>120000</v>
      </c>
      <c r="P1105" s="170">
        <f t="shared" si="357"/>
        <v>96000</v>
      </c>
      <c r="Q1105" s="170">
        <f t="shared" si="357"/>
        <v>0</v>
      </c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Q1106" si="358">H966</f>
        <v>0</v>
      </c>
      <c r="I1106" s="170">
        <f t="shared" si="358"/>
        <v>630000</v>
      </c>
      <c r="J1106" s="170">
        <f t="shared" si="358"/>
        <v>330000</v>
      </c>
      <c r="K1106" s="170">
        <f t="shared" si="358"/>
        <v>290000</v>
      </c>
      <c r="L1106" s="170">
        <f t="shared" si="358"/>
        <v>200000</v>
      </c>
      <c r="M1106" s="170">
        <f t="shared" si="358"/>
        <v>190000</v>
      </c>
      <c r="N1106" s="170">
        <f t="shared" si="358"/>
        <v>140000</v>
      </c>
      <c r="O1106" s="170">
        <f t="shared" si="358"/>
        <v>100000</v>
      </c>
      <c r="P1106" s="170">
        <f t="shared" si="358"/>
        <v>80000</v>
      </c>
      <c r="Q1106" s="170">
        <f t="shared" si="358"/>
        <v>0</v>
      </c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Q1107" si="359">H969</f>
        <v>0</v>
      </c>
      <c r="I1107" s="170">
        <f t="shared" si="359"/>
        <v>0</v>
      </c>
      <c r="J1107" s="170">
        <f t="shared" si="359"/>
        <v>0</v>
      </c>
      <c r="K1107" s="170">
        <f t="shared" si="359"/>
        <v>0</v>
      </c>
      <c r="L1107" s="170">
        <f t="shared" si="359"/>
        <v>0</v>
      </c>
      <c r="M1107" s="170">
        <f t="shared" si="359"/>
        <v>0</v>
      </c>
      <c r="N1107" s="170">
        <f t="shared" si="359"/>
        <v>0</v>
      </c>
      <c r="O1107" s="170">
        <f t="shared" si="359"/>
        <v>0</v>
      </c>
      <c r="P1107" s="170">
        <f t="shared" si="359"/>
        <v>0</v>
      </c>
      <c r="Q1107" s="170">
        <f t="shared" si="359"/>
        <v>0</v>
      </c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Q1108" si="360">H972</f>
        <v>0</v>
      </c>
      <c r="I1108" s="170">
        <f t="shared" si="360"/>
        <v>0</v>
      </c>
      <c r="J1108" s="170">
        <f t="shared" si="360"/>
        <v>0</v>
      </c>
      <c r="K1108" s="170">
        <f t="shared" si="360"/>
        <v>0</v>
      </c>
      <c r="L1108" s="170">
        <f t="shared" si="360"/>
        <v>0</v>
      </c>
      <c r="M1108" s="170">
        <f t="shared" si="360"/>
        <v>0</v>
      </c>
      <c r="N1108" s="170">
        <f t="shared" si="360"/>
        <v>0</v>
      </c>
      <c r="O1108" s="170">
        <f t="shared" si="360"/>
        <v>0</v>
      </c>
      <c r="P1108" s="170">
        <f t="shared" si="360"/>
        <v>0</v>
      </c>
      <c r="Q1108" s="170">
        <f t="shared" si="360"/>
        <v>0</v>
      </c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Q1109" si="361">H975</f>
        <v>0</v>
      </c>
      <c r="I1109" s="170">
        <f t="shared" si="361"/>
        <v>0</v>
      </c>
      <c r="J1109" s="170">
        <f t="shared" si="361"/>
        <v>0</v>
      </c>
      <c r="K1109" s="170">
        <f t="shared" si="361"/>
        <v>0</v>
      </c>
      <c r="L1109" s="170">
        <f t="shared" si="361"/>
        <v>0</v>
      </c>
      <c r="M1109" s="170">
        <f t="shared" si="361"/>
        <v>0</v>
      </c>
      <c r="N1109" s="170">
        <f t="shared" si="361"/>
        <v>0</v>
      </c>
      <c r="O1109" s="170">
        <f t="shared" si="361"/>
        <v>0</v>
      </c>
      <c r="P1109" s="170">
        <f t="shared" si="361"/>
        <v>0</v>
      </c>
      <c r="Q1109" s="170">
        <f t="shared" si="361"/>
        <v>0</v>
      </c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Q1111" si="362">SUM(H1112:H1116)</f>
        <v>0</v>
      </c>
      <c r="I1111" s="178">
        <f t="shared" si="362"/>
        <v>482000</v>
      </c>
      <c r="J1111" s="178">
        <f t="shared" si="362"/>
        <v>258000</v>
      </c>
      <c r="K1111" s="178">
        <f t="shared" si="362"/>
        <v>230000</v>
      </c>
      <c r="L1111" s="178">
        <f t="shared" si="362"/>
        <v>150000</v>
      </c>
      <c r="M1111" s="178">
        <f t="shared" si="362"/>
        <v>150000</v>
      </c>
      <c r="N1111" s="178">
        <f t="shared" si="362"/>
        <v>108000</v>
      </c>
      <c r="O1111" s="178">
        <f t="shared" si="362"/>
        <v>78000</v>
      </c>
      <c r="P1111" s="178">
        <f t="shared" si="362"/>
        <v>64000</v>
      </c>
      <c r="Q1111" s="178">
        <f t="shared" si="362"/>
        <v>0</v>
      </c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Q1112" si="363">H1008</f>
        <v>0</v>
      </c>
      <c r="I1112" s="170">
        <f t="shared" si="363"/>
        <v>320000</v>
      </c>
      <c r="J1112" s="170">
        <f t="shared" si="363"/>
        <v>168000</v>
      </c>
      <c r="K1112" s="170">
        <f t="shared" si="363"/>
        <v>152000</v>
      </c>
      <c r="L1112" s="170">
        <f t="shared" si="363"/>
        <v>96000</v>
      </c>
      <c r="M1112" s="170">
        <f t="shared" si="363"/>
        <v>96000</v>
      </c>
      <c r="N1112" s="170">
        <f t="shared" si="363"/>
        <v>72000</v>
      </c>
      <c r="O1112" s="170">
        <f t="shared" si="363"/>
        <v>48000</v>
      </c>
      <c r="P1112" s="170">
        <f t="shared" si="363"/>
        <v>40000</v>
      </c>
      <c r="Q1112" s="170">
        <f t="shared" si="363"/>
        <v>0</v>
      </c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Q1113" si="364">H1011</f>
        <v>0</v>
      </c>
      <c r="I1113" s="170">
        <f t="shared" si="364"/>
        <v>162000</v>
      </c>
      <c r="J1113" s="170">
        <f t="shared" si="364"/>
        <v>90000</v>
      </c>
      <c r="K1113" s="170">
        <f t="shared" si="364"/>
        <v>78000</v>
      </c>
      <c r="L1113" s="170">
        <f t="shared" si="364"/>
        <v>54000</v>
      </c>
      <c r="M1113" s="170">
        <f t="shared" si="364"/>
        <v>54000</v>
      </c>
      <c r="N1113" s="170">
        <f t="shared" si="364"/>
        <v>36000</v>
      </c>
      <c r="O1113" s="170">
        <f t="shared" si="364"/>
        <v>30000</v>
      </c>
      <c r="P1113" s="170">
        <f t="shared" si="364"/>
        <v>24000</v>
      </c>
      <c r="Q1113" s="170">
        <f t="shared" si="364"/>
        <v>0</v>
      </c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Q1114" si="365">H1014</f>
        <v>0</v>
      </c>
      <c r="I1114" s="170">
        <f t="shared" si="365"/>
        <v>0</v>
      </c>
      <c r="J1114" s="170">
        <f t="shared" si="365"/>
        <v>0</v>
      </c>
      <c r="K1114" s="170">
        <f t="shared" si="365"/>
        <v>0</v>
      </c>
      <c r="L1114" s="170">
        <f t="shared" si="365"/>
        <v>0</v>
      </c>
      <c r="M1114" s="170">
        <f t="shared" si="365"/>
        <v>0</v>
      </c>
      <c r="N1114" s="170">
        <f t="shared" si="365"/>
        <v>0</v>
      </c>
      <c r="O1114" s="170">
        <f t="shared" si="365"/>
        <v>0</v>
      </c>
      <c r="P1114" s="170">
        <f t="shared" si="365"/>
        <v>0</v>
      </c>
      <c r="Q1114" s="170">
        <f t="shared" si="365"/>
        <v>0</v>
      </c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Q1115" si="366">H1017</f>
        <v>0</v>
      </c>
      <c r="I1115" s="170">
        <f t="shared" si="366"/>
        <v>0</v>
      </c>
      <c r="J1115" s="170">
        <f t="shared" si="366"/>
        <v>0</v>
      </c>
      <c r="K1115" s="170">
        <f t="shared" si="366"/>
        <v>0</v>
      </c>
      <c r="L1115" s="170">
        <f t="shared" si="366"/>
        <v>0</v>
      </c>
      <c r="M1115" s="170">
        <f t="shared" si="366"/>
        <v>0</v>
      </c>
      <c r="N1115" s="170">
        <f t="shared" si="366"/>
        <v>0</v>
      </c>
      <c r="O1115" s="170">
        <f t="shared" si="366"/>
        <v>0</v>
      </c>
      <c r="P1115" s="170">
        <f t="shared" si="366"/>
        <v>0</v>
      </c>
      <c r="Q1115" s="170">
        <f t="shared" si="366"/>
        <v>0</v>
      </c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Q1116" si="367">H1020</f>
        <v>0</v>
      </c>
      <c r="I1116" s="170">
        <f t="shared" si="367"/>
        <v>0</v>
      </c>
      <c r="J1116" s="170">
        <f t="shared" si="367"/>
        <v>0</v>
      </c>
      <c r="K1116" s="170">
        <f t="shared" si="367"/>
        <v>0</v>
      </c>
      <c r="L1116" s="170">
        <f t="shared" si="367"/>
        <v>0</v>
      </c>
      <c r="M1116" s="170">
        <f t="shared" si="367"/>
        <v>0</v>
      </c>
      <c r="N1116" s="170">
        <f t="shared" si="367"/>
        <v>0</v>
      </c>
      <c r="O1116" s="170">
        <f t="shared" si="367"/>
        <v>0</v>
      </c>
      <c r="P1116" s="170">
        <f t="shared" si="367"/>
        <v>0</v>
      </c>
      <c r="Q1116" s="170">
        <f t="shared" si="367"/>
        <v>0</v>
      </c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R1:R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16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4">
        <v>2026.0</v>
      </c>
      <c r="P1" s="4">
        <v>2026.0</v>
      </c>
      <c r="Q1" s="5" t="s">
        <v>1</v>
      </c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346</v>
      </c>
      <c r="I2" s="9">
        <f t="shared" ref="I2:P2" si="1">H2+1</f>
        <v>5</v>
      </c>
      <c r="J2" s="9">
        <f t="shared" si="1"/>
        <v>6</v>
      </c>
      <c r="K2" s="9">
        <f t="shared" si="1"/>
        <v>7</v>
      </c>
      <c r="L2" s="9">
        <f t="shared" si="1"/>
        <v>8</v>
      </c>
      <c r="M2" s="9">
        <f t="shared" si="1"/>
        <v>9</v>
      </c>
      <c r="N2" s="9">
        <f t="shared" si="1"/>
        <v>10</v>
      </c>
      <c r="O2" s="9">
        <f t="shared" si="1"/>
        <v>11</v>
      </c>
      <c r="P2" s="9">
        <f t="shared" si="1"/>
        <v>12</v>
      </c>
      <c r="Q2" s="10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14"/>
      <c r="O4" s="114"/>
      <c r="P4" s="114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15"/>
      <c r="N5" s="1"/>
      <c r="O5" s="1"/>
      <c r="P5" s="1"/>
      <c r="Q5" s="1"/>
      <c r="R5" s="1"/>
      <c r="S5" s="1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15"/>
      <c r="N6" s="1"/>
      <c r="O6" s="1"/>
      <c r="P6" s="1"/>
      <c r="Q6" s="1"/>
      <c r="R6" s="1"/>
      <c r="S6" s="1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22"/>
      <c r="R7" s="122"/>
      <c r="S7" s="122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- 2026'!K6</f>
        <v>5589017.28</v>
      </c>
      <c r="I8" s="120"/>
      <c r="J8" s="120"/>
      <c r="K8" s="120"/>
      <c r="L8" s="120"/>
      <c r="M8" s="120"/>
      <c r="N8" s="120"/>
      <c r="O8" s="120"/>
      <c r="P8" s="120"/>
      <c r="Q8" s="124"/>
      <c r="R8" s="124"/>
      <c r="S8" s="124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- 2026'!K9</f>
        <v>386.1046875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14475.39349</v>
      </c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2898.39349</v>
      </c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11577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532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591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2342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5512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2600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482.769049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11577</v>
      </c>
      <c r="I29" s="115"/>
      <c r="J29" s="115"/>
      <c r="K29" s="115"/>
      <c r="L29" s="115"/>
      <c r="M29" s="115"/>
      <c r="N29" s="115"/>
      <c r="O29" s="115"/>
      <c r="P29" s="115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0.2926492183</v>
      </c>
      <c r="I30" s="134"/>
      <c r="J30" s="134"/>
      <c r="K30" s="134"/>
      <c r="L30" s="134"/>
      <c r="M30" s="134"/>
      <c r="N30" s="134"/>
      <c r="O30" s="134"/>
      <c r="P30" s="134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3388</v>
      </c>
      <c r="I31" s="115"/>
      <c r="J31" s="115"/>
      <c r="K31" s="115"/>
      <c r="L31" s="115"/>
      <c r="M31" s="115"/>
      <c r="N31" s="115"/>
      <c r="O31" s="115"/>
      <c r="P31" s="115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532</v>
      </c>
      <c r="I34" s="115"/>
      <c r="J34" s="115"/>
      <c r="K34" s="115"/>
      <c r="L34" s="115"/>
      <c r="M34" s="115"/>
      <c r="N34" s="115"/>
      <c r="O34" s="115"/>
      <c r="P34" s="115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26"/>
      <c r="N35" s="126"/>
      <c r="O35" s="126"/>
      <c r="P35" s="126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106</v>
      </c>
      <c r="I36" s="115"/>
      <c r="J36" s="115"/>
      <c r="K36" s="115"/>
      <c r="L36" s="115"/>
      <c r="M36" s="115"/>
      <c r="N36" s="115"/>
      <c r="O36" s="115"/>
      <c r="P36" s="115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591</v>
      </c>
      <c r="I39" s="115"/>
      <c r="J39" s="115"/>
      <c r="K39" s="115"/>
      <c r="L39" s="115"/>
      <c r="M39" s="115"/>
      <c r="N39" s="115"/>
      <c r="O39" s="115"/>
      <c r="P39" s="115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26"/>
      <c r="N40" s="126"/>
      <c r="O40" s="126"/>
      <c r="P40" s="126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147</v>
      </c>
      <c r="I41" s="115"/>
      <c r="J41" s="115"/>
      <c r="K41" s="115"/>
      <c r="L41" s="115"/>
      <c r="M41" s="115"/>
      <c r="N41" s="115"/>
      <c r="O41" s="115"/>
      <c r="P41" s="115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2342</v>
      </c>
      <c r="I44" s="115"/>
      <c r="J44" s="115"/>
      <c r="K44" s="115"/>
      <c r="L44" s="115"/>
      <c r="M44" s="115"/>
      <c r="N44" s="115"/>
      <c r="O44" s="115"/>
      <c r="P44" s="115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26"/>
      <c r="N45" s="126"/>
      <c r="O45" s="126"/>
      <c r="P45" s="126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702</v>
      </c>
      <c r="I46" s="115"/>
      <c r="J46" s="115"/>
      <c r="K46" s="115"/>
      <c r="L46" s="115"/>
      <c r="M46" s="115"/>
      <c r="N46" s="115"/>
      <c r="O46" s="115"/>
      <c r="P46" s="115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5512</v>
      </c>
      <c r="I49" s="115"/>
      <c r="J49" s="115"/>
      <c r="K49" s="115"/>
      <c r="L49" s="115"/>
      <c r="M49" s="115"/>
      <c r="N49" s="115"/>
      <c r="O49" s="115"/>
      <c r="P49" s="115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26"/>
      <c r="N50" s="126"/>
      <c r="O50" s="126"/>
      <c r="P50" s="126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1653</v>
      </c>
      <c r="I51" s="115"/>
      <c r="J51" s="115"/>
      <c r="K51" s="115"/>
      <c r="L51" s="115"/>
      <c r="M51" s="115"/>
      <c r="N51" s="115"/>
      <c r="O51" s="115"/>
      <c r="P51" s="115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2600</v>
      </c>
      <c r="I54" s="115"/>
      <c r="J54" s="115"/>
      <c r="K54" s="115"/>
      <c r="L54" s="115"/>
      <c r="M54" s="115"/>
      <c r="N54" s="115"/>
      <c r="O54" s="115"/>
      <c r="P54" s="115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26"/>
      <c r="N55" s="126"/>
      <c r="O55" s="126"/>
      <c r="P55" s="126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780</v>
      </c>
      <c r="I56" s="115"/>
      <c r="J56" s="115"/>
      <c r="K56" s="115"/>
      <c r="L56" s="115"/>
      <c r="M56" s="115"/>
      <c r="N56" s="115"/>
      <c r="O56" s="115"/>
      <c r="P56" s="115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3388</v>
      </c>
      <c r="I61" s="115"/>
      <c r="J61" s="115"/>
      <c r="K61" s="115"/>
      <c r="L61" s="115"/>
      <c r="M61" s="115"/>
      <c r="N61" s="115"/>
      <c r="O61" s="115"/>
      <c r="P61" s="115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1.074011216</v>
      </c>
      <c r="I62" s="138"/>
      <c r="J62" s="138"/>
      <c r="K62" s="138"/>
      <c r="L62" s="138"/>
      <c r="M62" s="138"/>
      <c r="N62" s="138"/>
      <c r="O62" s="138"/>
      <c r="P62" s="138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3638.75</v>
      </c>
      <c r="I63" s="115"/>
      <c r="J63" s="115"/>
      <c r="K63" s="115"/>
      <c r="L63" s="115"/>
      <c r="M63" s="115"/>
      <c r="N63" s="115"/>
      <c r="O63" s="115"/>
      <c r="P63" s="115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106</v>
      </c>
      <c r="I66" s="115"/>
      <c r="J66" s="115"/>
      <c r="K66" s="115"/>
      <c r="L66" s="115"/>
      <c r="M66" s="115"/>
      <c r="N66" s="115"/>
      <c r="O66" s="115"/>
      <c r="P66" s="115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26"/>
      <c r="N67" s="126"/>
      <c r="O67" s="126"/>
      <c r="P67" s="126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113.75</v>
      </c>
      <c r="I68" s="115"/>
      <c r="J68" s="115"/>
      <c r="K68" s="115"/>
      <c r="L68" s="115"/>
      <c r="M68" s="115"/>
      <c r="N68" s="115"/>
      <c r="O68" s="115"/>
      <c r="P68" s="115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91</v>
      </c>
      <c r="I69" s="115"/>
      <c r="J69" s="115"/>
      <c r="K69" s="115"/>
      <c r="L69" s="115"/>
      <c r="M69" s="115"/>
      <c r="N69" s="115"/>
      <c r="O69" s="115"/>
      <c r="P69" s="115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22.75</v>
      </c>
      <c r="I70" s="115"/>
      <c r="J70" s="115"/>
      <c r="K70" s="115"/>
      <c r="L70" s="115"/>
      <c r="M70" s="115"/>
      <c r="N70" s="115"/>
      <c r="O70" s="115"/>
      <c r="P70" s="115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26"/>
      <c r="M72" s="126"/>
      <c r="N72" s="126"/>
      <c r="O72" s="126"/>
      <c r="P72" s="126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147</v>
      </c>
      <c r="I73" s="115"/>
      <c r="J73" s="115"/>
      <c r="K73" s="115"/>
      <c r="L73" s="115"/>
      <c r="M73" s="115"/>
      <c r="N73" s="115"/>
      <c r="O73" s="115"/>
      <c r="P73" s="115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15"/>
      <c r="M74" s="115"/>
      <c r="N74" s="115"/>
      <c r="O74" s="115"/>
      <c r="P74" s="115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157.5</v>
      </c>
      <c r="I75" s="115"/>
      <c r="J75" s="115"/>
      <c r="K75" s="115"/>
      <c r="L75" s="115"/>
      <c r="M75" s="115"/>
      <c r="N75" s="115"/>
      <c r="O75" s="115"/>
      <c r="P75" s="115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126</v>
      </c>
      <c r="I76" s="115"/>
      <c r="J76" s="115"/>
      <c r="K76" s="115"/>
      <c r="L76" s="115"/>
      <c r="M76" s="115"/>
      <c r="N76" s="115"/>
      <c r="O76" s="115"/>
      <c r="P76" s="115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31.5</v>
      </c>
      <c r="I77" s="126"/>
      <c r="J77" s="126"/>
      <c r="K77" s="126"/>
      <c r="L77" s="126"/>
      <c r="M77" s="126"/>
      <c r="N77" s="126"/>
      <c r="O77" s="126"/>
      <c r="P77" s="126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702</v>
      </c>
      <c r="I80" s="115"/>
      <c r="J80" s="115"/>
      <c r="K80" s="115"/>
      <c r="L80" s="115"/>
      <c r="M80" s="115"/>
      <c r="N80" s="115"/>
      <c r="O80" s="115"/>
      <c r="P80" s="115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15"/>
      <c r="M81" s="115"/>
      <c r="N81" s="115"/>
      <c r="O81" s="115"/>
      <c r="P81" s="115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753.75</v>
      </c>
      <c r="I82" s="126"/>
      <c r="J82" s="126"/>
      <c r="K82" s="126"/>
      <c r="L82" s="126"/>
      <c r="M82" s="126"/>
      <c r="N82" s="126"/>
      <c r="O82" s="126"/>
      <c r="P82" s="126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603</v>
      </c>
      <c r="I83" s="115"/>
      <c r="J83" s="115"/>
      <c r="K83" s="115"/>
      <c r="L83" s="115"/>
      <c r="M83" s="115"/>
      <c r="N83" s="115"/>
      <c r="O83" s="115"/>
      <c r="P83" s="115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150.75</v>
      </c>
      <c r="I84" s="115"/>
      <c r="J84" s="115"/>
      <c r="K84" s="115"/>
      <c r="L84" s="115"/>
      <c r="M84" s="115"/>
      <c r="N84" s="115"/>
      <c r="O84" s="115"/>
      <c r="P84" s="115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1653</v>
      </c>
      <c r="I87" s="126"/>
      <c r="J87" s="126"/>
      <c r="K87" s="126"/>
      <c r="L87" s="126"/>
      <c r="M87" s="126"/>
      <c r="N87" s="126"/>
      <c r="O87" s="126"/>
      <c r="P87" s="126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15"/>
      <c r="M88" s="115"/>
      <c r="N88" s="115"/>
      <c r="O88" s="115"/>
      <c r="P88" s="115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1776.25</v>
      </c>
      <c r="I89" s="115"/>
      <c r="J89" s="115"/>
      <c r="K89" s="115"/>
      <c r="L89" s="115"/>
      <c r="M89" s="115"/>
      <c r="N89" s="115"/>
      <c r="O89" s="115"/>
      <c r="P89" s="115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1421</v>
      </c>
      <c r="I90" s="115"/>
      <c r="J90" s="115"/>
      <c r="K90" s="115"/>
      <c r="L90" s="115"/>
      <c r="M90" s="115"/>
      <c r="N90" s="115"/>
      <c r="O90" s="115"/>
      <c r="P90" s="115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355.25</v>
      </c>
      <c r="I91" s="115"/>
      <c r="J91" s="115"/>
      <c r="K91" s="115"/>
      <c r="L91" s="115"/>
      <c r="M91" s="115"/>
      <c r="N91" s="115"/>
      <c r="O91" s="115"/>
      <c r="P91" s="115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780</v>
      </c>
      <c r="I94" s="115"/>
      <c r="J94" s="115"/>
      <c r="K94" s="115"/>
      <c r="L94" s="115"/>
      <c r="M94" s="115"/>
      <c r="N94" s="115"/>
      <c r="O94" s="115"/>
      <c r="P94" s="115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15"/>
      <c r="M95" s="115"/>
      <c r="N95" s="115"/>
      <c r="O95" s="115"/>
      <c r="P95" s="115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837.5</v>
      </c>
      <c r="I96" s="115"/>
      <c r="J96" s="115"/>
      <c r="K96" s="115"/>
      <c r="L96" s="115"/>
      <c r="M96" s="115"/>
      <c r="N96" s="115"/>
      <c r="O96" s="115"/>
      <c r="P96" s="115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670</v>
      </c>
      <c r="I97" s="115"/>
      <c r="J97" s="115"/>
      <c r="K97" s="115"/>
      <c r="L97" s="115"/>
      <c r="M97" s="115"/>
      <c r="N97" s="115"/>
      <c r="O97" s="115"/>
      <c r="P97" s="115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167.5</v>
      </c>
      <c r="I98" s="115"/>
      <c r="J98" s="115"/>
      <c r="K98" s="115"/>
      <c r="L98" s="115"/>
      <c r="M98" s="115"/>
      <c r="N98" s="115"/>
      <c r="O98" s="115"/>
      <c r="P98" s="115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3638.75</v>
      </c>
      <c r="I103" s="115"/>
      <c r="J103" s="115"/>
      <c r="K103" s="115"/>
      <c r="L103" s="115"/>
      <c r="M103" s="115"/>
      <c r="N103" s="115"/>
      <c r="O103" s="115"/>
      <c r="P103" s="115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0.2998282377</v>
      </c>
      <c r="I104" s="143"/>
      <c r="J104" s="143"/>
      <c r="K104" s="143"/>
      <c r="L104" s="143"/>
      <c r="M104" s="143"/>
      <c r="N104" s="143"/>
      <c r="O104" s="143"/>
      <c r="P104" s="143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0.09423857649</v>
      </c>
      <c r="I105" s="143"/>
      <c r="J105" s="143"/>
      <c r="K105" s="143"/>
      <c r="L105" s="143"/>
      <c r="M105" s="143"/>
      <c r="N105" s="143"/>
      <c r="O105" s="143"/>
      <c r="P105" s="143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1091</v>
      </c>
      <c r="I106" s="115"/>
      <c r="J106" s="115"/>
      <c r="K106" s="115"/>
      <c r="L106" s="115"/>
      <c r="M106" s="115"/>
      <c r="N106" s="115"/>
      <c r="O106" s="115"/>
      <c r="P106" s="115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28948.67094</v>
      </c>
      <c r="I107" s="115"/>
      <c r="J107" s="115"/>
      <c r="K107" s="115"/>
      <c r="L107" s="115"/>
      <c r="M107" s="115"/>
      <c r="N107" s="115"/>
      <c r="O107" s="115"/>
      <c r="P107" s="115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31583000</v>
      </c>
      <c r="I108" s="115"/>
      <c r="J108" s="115"/>
      <c r="K108" s="115"/>
      <c r="L108" s="115"/>
      <c r="M108" s="115"/>
      <c r="N108" s="115"/>
      <c r="O108" s="115"/>
      <c r="P108" s="115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15"/>
      <c r="N109" s="115"/>
      <c r="O109" s="115"/>
      <c r="P109" s="115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43"/>
      <c r="N110" s="143"/>
      <c r="O110" s="143"/>
      <c r="P110" s="143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113.75</v>
      </c>
      <c r="I111" s="135"/>
      <c r="J111" s="135"/>
      <c r="K111" s="135"/>
      <c r="L111" s="135"/>
      <c r="M111" s="135"/>
      <c r="N111" s="135"/>
      <c r="O111" s="135"/>
      <c r="P111" s="135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29"/>
      <c r="N112" s="129"/>
      <c r="O112" s="129"/>
      <c r="P112" s="129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0.06390977444</v>
      </c>
      <c r="I113" s="143"/>
      <c r="J113" s="143"/>
      <c r="K113" s="143"/>
      <c r="L113" s="143"/>
      <c r="M113" s="143"/>
      <c r="N113" s="143"/>
      <c r="O113" s="143"/>
      <c r="P113" s="143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34</v>
      </c>
      <c r="I114" s="148"/>
      <c r="J114" s="148"/>
      <c r="K114" s="148"/>
      <c r="L114" s="148"/>
      <c r="M114" s="148"/>
      <c r="N114" s="148"/>
      <c r="O114" s="148"/>
      <c r="P114" s="148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59647.05882</v>
      </c>
      <c r="I115" s="150"/>
      <c r="J115" s="150"/>
      <c r="K115" s="150"/>
      <c r="L115" s="150"/>
      <c r="M115" s="150"/>
      <c r="N115" s="150"/>
      <c r="O115" s="150"/>
      <c r="P115" s="150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2028000</v>
      </c>
      <c r="I116" s="150"/>
      <c r="J116" s="150"/>
      <c r="K116" s="150"/>
      <c r="L116" s="150"/>
      <c r="M116" s="150"/>
      <c r="N116" s="150"/>
      <c r="O116" s="150"/>
      <c r="P116" s="150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53"/>
      <c r="N117" s="153"/>
      <c r="O117" s="153"/>
      <c r="P117" s="153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53"/>
      <c r="N118" s="153"/>
      <c r="O118" s="153"/>
      <c r="P118" s="153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55"/>
      <c r="N119" s="155"/>
      <c r="O119" s="155"/>
      <c r="P119" s="155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55"/>
      <c r="N120" s="155"/>
      <c r="O120" s="155"/>
      <c r="P120" s="155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55"/>
      <c r="N121" s="155"/>
      <c r="O121" s="155"/>
      <c r="P121" s="155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50000.0</v>
      </c>
      <c r="I122" s="157"/>
      <c r="J122" s="157"/>
      <c r="K122" s="157"/>
      <c r="L122" s="157"/>
      <c r="M122" s="157"/>
      <c r="N122" s="157"/>
      <c r="O122" s="157"/>
      <c r="P122" s="157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57"/>
      <c r="N123" s="157"/>
      <c r="O123" s="157"/>
      <c r="P123" s="157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57"/>
      <c r="N124" s="157"/>
      <c r="O124" s="157"/>
      <c r="P124" s="157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57"/>
      <c r="N125" s="157"/>
      <c r="O125" s="157"/>
      <c r="P125" s="157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59"/>
      <c r="N126" s="159"/>
      <c r="O126" s="159"/>
      <c r="P126" s="159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62"/>
      <c r="K127" s="162"/>
      <c r="L127" s="162"/>
      <c r="M127" s="162"/>
      <c r="N127" s="162"/>
      <c r="O127" s="162"/>
      <c r="P127" s="162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20</v>
      </c>
      <c r="I128" s="148"/>
      <c r="J128" s="148"/>
      <c r="K128" s="148"/>
      <c r="L128" s="148"/>
      <c r="M128" s="148"/>
      <c r="N128" s="148"/>
      <c r="O128" s="148"/>
      <c r="P128" s="148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1000000</v>
      </c>
      <c r="I129" s="150"/>
      <c r="J129" s="150"/>
      <c r="K129" s="150"/>
      <c r="L129" s="150"/>
      <c r="M129" s="150"/>
      <c r="N129" s="150"/>
      <c r="O129" s="150"/>
      <c r="P129" s="150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5</v>
      </c>
      <c r="I130" s="148"/>
      <c r="J130" s="148"/>
      <c r="K130" s="148"/>
      <c r="L130" s="148"/>
      <c r="M130" s="148"/>
      <c r="N130" s="148"/>
      <c r="O130" s="148"/>
      <c r="P130" s="148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158000</v>
      </c>
      <c r="I131" s="150"/>
      <c r="J131" s="150"/>
      <c r="K131" s="150"/>
      <c r="L131" s="150"/>
      <c r="M131" s="150"/>
      <c r="N131" s="150"/>
      <c r="O131" s="150"/>
      <c r="P131" s="150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48"/>
      <c r="N132" s="148"/>
      <c r="O132" s="148"/>
      <c r="P132" s="148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50"/>
      <c r="N133" s="150"/>
      <c r="O133" s="150"/>
      <c r="P133" s="150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6</v>
      </c>
      <c r="I134" s="148"/>
      <c r="J134" s="148"/>
      <c r="K134" s="148"/>
      <c r="L134" s="148"/>
      <c r="M134" s="148"/>
      <c r="N134" s="148"/>
      <c r="O134" s="148"/>
      <c r="P134" s="148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870000</v>
      </c>
      <c r="I135" s="150"/>
      <c r="J135" s="150"/>
      <c r="K135" s="150"/>
      <c r="L135" s="150"/>
      <c r="M135" s="150"/>
      <c r="N135" s="150"/>
      <c r="O135" s="150"/>
      <c r="P135" s="150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48"/>
      <c r="N136" s="148"/>
      <c r="O136" s="148"/>
      <c r="P136" s="148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50"/>
      <c r="N137" s="150"/>
      <c r="O137" s="150"/>
      <c r="P137" s="150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63"/>
      <c r="N138" s="163"/>
      <c r="O138" s="163"/>
      <c r="P138" s="163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43"/>
      <c r="N139" s="143"/>
      <c r="O139" s="143"/>
      <c r="P139" s="143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157.5</v>
      </c>
      <c r="I140" s="148"/>
      <c r="J140" s="148"/>
      <c r="K140" s="148"/>
      <c r="L140" s="148"/>
      <c r="M140" s="148"/>
      <c r="N140" s="148"/>
      <c r="O140" s="148"/>
      <c r="P140" s="148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29"/>
      <c r="N141" s="129"/>
      <c r="O141" s="129"/>
      <c r="P141" s="129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0.07952622673</v>
      </c>
      <c r="I142" s="143"/>
      <c r="J142" s="143"/>
      <c r="K142" s="143"/>
      <c r="L142" s="143"/>
      <c r="M142" s="143"/>
      <c r="N142" s="143"/>
      <c r="O142" s="143"/>
      <c r="P142" s="143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47</v>
      </c>
      <c r="I143" s="148"/>
      <c r="J143" s="148"/>
      <c r="K143" s="148"/>
      <c r="L143" s="148"/>
      <c r="M143" s="148"/>
      <c r="N143" s="148"/>
      <c r="O143" s="148"/>
      <c r="P143" s="148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45085.10638</v>
      </c>
      <c r="I144" s="150"/>
      <c r="J144" s="150"/>
      <c r="K144" s="150"/>
      <c r="L144" s="150"/>
      <c r="M144" s="150"/>
      <c r="N144" s="150"/>
      <c r="O144" s="150"/>
      <c r="P144" s="150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2119000</v>
      </c>
      <c r="I145" s="150"/>
      <c r="J145" s="150"/>
      <c r="K145" s="150"/>
      <c r="L145" s="150"/>
      <c r="M145" s="150"/>
      <c r="N145" s="150"/>
      <c r="O145" s="150"/>
      <c r="P145" s="150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55"/>
      <c r="N146" s="155"/>
      <c r="O146" s="155"/>
      <c r="P146" s="155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53"/>
      <c r="N147" s="153"/>
      <c r="O147" s="153"/>
      <c r="P147" s="153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55"/>
      <c r="N148" s="155"/>
      <c r="O148" s="155"/>
      <c r="P148" s="155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55"/>
      <c r="N149" s="155"/>
      <c r="O149" s="155"/>
      <c r="P149" s="155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55"/>
      <c r="N150" s="155"/>
      <c r="O150" s="155"/>
      <c r="P150" s="155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40000.0</v>
      </c>
      <c r="I151" s="159"/>
      <c r="J151" s="159"/>
      <c r="K151" s="159"/>
      <c r="L151" s="159"/>
      <c r="M151" s="159"/>
      <c r="N151" s="159"/>
      <c r="O151" s="159"/>
      <c r="P151" s="159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57"/>
      <c r="N152" s="157"/>
      <c r="O152" s="157"/>
      <c r="P152" s="157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57"/>
      <c r="M153" s="157"/>
      <c r="N153" s="157"/>
      <c r="O153" s="157"/>
      <c r="P153" s="157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59"/>
      <c r="N154" s="159"/>
      <c r="O154" s="159"/>
      <c r="P154" s="159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59"/>
      <c r="N155" s="159"/>
      <c r="O155" s="159"/>
      <c r="P155" s="159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62"/>
      <c r="N156" s="162"/>
      <c r="O156" s="162"/>
      <c r="P156" s="162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28</v>
      </c>
      <c r="I157" s="148"/>
      <c r="J157" s="148"/>
      <c r="K157" s="148"/>
      <c r="L157" s="148"/>
      <c r="M157" s="148"/>
      <c r="N157" s="148"/>
      <c r="O157" s="148"/>
      <c r="P157" s="148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1120000</v>
      </c>
      <c r="I158" s="150"/>
      <c r="J158" s="150"/>
      <c r="K158" s="150"/>
      <c r="L158" s="150"/>
      <c r="M158" s="150"/>
      <c r="N158" s="150"/>
      <c r="O158" s="150"/>
      <c r="P158" s="150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6</v>
      </c>
      <c r="I159" s="148"/>
      <c r="J159" s="148"/>
      <c r="K159" s="148"/>
      <c r="L159" s="148"/>
      <c r="M159" s="148"/>
      <c r="N159" s="148"/>
      <c r="O159" s="148"/>
      <c r="P159" s="148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108000</v>
      </c>
      <c r="I160" s="150"/>
      <c r="J160" s="150"/>
      <c r="K160" s="150"/>
      <c r="L160" s="150"/>
      <c r="M160" s="150"/>
      <c r="N160" s="150"/>
      <c r="O160" s="150"/>
      <c r="P160" s="150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48"/>
      <c r="N161" s="148"/>
      <c r="O161" s="148"/>
      <c r="P161" s="148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50"/>
      <c r="N162" s="150"/>
      <c r="O162" s="150"/>
      <c r="P162" s="150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9</v>
      </c>
      <c r="I163" s="148"/>
      <c r="J163" s="148"/>
      <c r="K163" s="148"/>
      <c r="L163" s="148"/>
      <c r="M163" s="148"/>
      <c r="N163" s="148"/>
      <c r="O163" s="148"/>
      <c r="P163" s="148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891000</v>
      </c>
      <c r="I164" s="150"/>
      <c r="J164" s="150"/>
      <c r="K164" s="150"/>
      <c r="L164" s="150"/>
      <c r="M164" s="150"/>
      <c r="N164" s="150"/>
      <c r="O164" s="150"/>
      <c r="P164" s="150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4</v>
      </c>
      <c r="I165" s="148"/>
      <c r="J165" s="148"/>
      <c r="K165" s="148"/>
      <c r="L165" s="148"/>
      <c r="M165" s="148"/>
      <c r="N165" s="148"/>
      <c r="O165" s="148"/>
      <c r="P165" s="148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50"/>
      <c r="N166" s="150"/>
      <c r="O166" s="150"/>
      <c r="P166" s="150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50"/>
      <c r="N167" s="150"/>
      <c r="O167" s="150"/>
      <c r="P167" s="150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43"/>
      <c r="N168" s="143"/>
      <c r="O168" s="143"/>
      <c r="P168" s="143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43"/>
      <c r="N169" s="143"/>
      <c r="O169" s="143"/>
      <c r="P169" s="143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753.75</v>
      </c>
      <c r="I170" s="148"/>
      <c r="J170" s="148"/>
      <c r="K170" s="148"/>
      <c r="L170" s="148"/>
      <c r="M170" s="148"/>
      <c r="N170" s="148"/>
      <c r="O170" s="148"/>
      <c r="P170" s="148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29"/>
      <c r="N171" s="129"/>
      <c r="O171" s="129"/>
      <c r="P171" s="129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0.09649871904</v>
      </c>
      <c r="I172" s="143"/>
      <c r="J172" s="143"/>
      <c r="K172" s="143"/>
      <c r="L172" s="143"/>
      <c r="M172" s="143"/>
      <c r="N172" s="143"/>
      <c r="O172" s="143"/>
      <c r="P172" s="143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226</v>
      </c>
      <c r="I173" s="166"/>
      <c r="J173" s="166"/>
      <c r="K173" s="166"/>
      <c r="L173" s="166"/>
      <c r="M173" s="166"/>
      <c r="N173" s="166"/>
      <c r="O173" s="166"/>
      <c r="P173" s="166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40013.27434</v>
      </c>
      <c r="I174" s="150"/>
      <c r="J174" s="150"/>
      <c r="K174" s="150"/>
      <c r="L174" s="150"/>
      <c r="M174" s="150"/>
      <c r="N174" s="150"/>
      <c r="O174" s="150"/>
      <c r="P174" s="150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9043000</v>
      </c>
      <c r="I175" s="150"/>
      <c r="J175" s="150"/>
      <c r="K175" s="150"/>
      <c r="L175" s="150"/>
      <c r="M175" s="150"/>
      <c r="N175" s="150"/>
      <c r="O175" s="150"/>
      <c r="P175" s="150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53"/>
      <c r="N176" s="153"/>
      <c r="O176" s="153"/>
      <c r="P176" s="153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53"/>
      <c r="N177" s="153"/>
      <c r="O177" s="153"/>
      <c r="P177" s="153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55"/>
      <c r="N178" s="155"/>
      <c r="O178" s="155"/>
      <c r="P178" s="155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55"/>
      <c r="N179" s="155"/>
      <c r="O179" s="155"/>
      <c r="P179" s="155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55"/>
      <c r="N180" s="155"/>
      <c r="O180" s="155"/>
      <c r="P180" s="155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40000.0</v>
      </c>
      <c r="I181" s="157"/>
      <c r="J181" s="157"/>
      <c r="K181" s="157"/>
      <c r="L181" s="157"/>
      <c r="M181" s="157"/>
      <c r="N181" s="157"/>
      <c r="O181" s="157"/>
      <c r="P181" s="157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57"/>
      <c r="N182" s="157"/>
      <c r="O182" s="157"/>
      <c r="P182" s="157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57"/>
      <c r="N183" s="157"/>
      <c r="O183" s="157"/>
      <c r="P183" s="157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59"/>
      <c r="N184" s="159"/>
      <c r="O184" s="159"/>
      <c r="P184" s="159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59"/>
      <c r="N185" s="159"/>
      <c r="O185" s="159"/>
      <c r="P185" s="159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62"/>
      <c r="N186" s="162"/>
      <c r="O186" s="162"/>
      <c r="P186" s="162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135</v>
      </c>
      <c r="I187" s="148"/>
      <c r="J187" s="148"/>
      <c r="K187" s="148"/>
      <c r="L187" s="148"/>
      <c r="M187" s="148"/>
      <c r="N187" s="148"/>
      <c r="O187" s="148"/>
      <c r="P187" s="148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5400000</v>
      </c>
      <c r="I188" s="150"/>
      <c r="J188" s="150"/>
      <c r="K188" s="150"/>
      <c r="L188" s="150"/>
      <c r="M188" s="150"/>
      <c r="N188" s="150"/>
      <c r="O188" s="150"/>
      <c r="P188" s="150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24</v>
      </c>
      <c r="I189" s="148"/>
      <c r="J189" s="148"/>
      <c r="K189" s="148"/>
      <c r="L189" s="148"/>
      <c r="M189" s="148"/>
      <c r="N189" s="148"/>
      <c r="O189" s="148"/>
      <c r="P189" s="148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360000</v>
      </c>
      <c r="I190" s="150"/>
      <c r="J190" s="150"/>
      <c r="K190" s="150"/>
      <c r="L190" s="150"/>
      <c r="M190" s="150"/>
      <c r="N190" s="150"/>
      <c r="O190" s="150"/>
      <c r="P190" s="150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48"/>
      <c r="N191" s="148"/>
      <c r="O191" s="148"/>
      <c r="P191" s="148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50"/>
      <c r="N192" s="150"/>
      <c r="O192" s="150"/>
      <c r="P192" s="150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67</v>
      </c>
      <c r="I193" s="148"/>
      <c r="J193" s="148"/>
      <c r="K193" s="148"/>
      <c r="L193" s="148"/>
      <c r="M193" s="148"/>
      <c r="N193" s="148"/>
      <c r="O193" s="148"/>
      <c r="P193" s="148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3283000</v>
      </c>
      <c r="I194" s="150"/>
      <c r="J194" s="150"/>
      <c r="K194" s="150"/>
      <c r="L194" s="150"/>
      <c r="M194" s="150"/>
      <c r="N194" s="150"/>
      <c r="O194" s="150"/>
      <c r="P194" s="150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48"/>
      <c r="N195" s="148"/>
      <c r="O195" s="148"/>
      <c r="P195" s="148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50"/>
      <c r="N196" s="150"/>
      <c r="O196" s="150"/>
      <c r="P196" s="150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50"/>
      <c r="N197" s="150"/>
      <c r="O197" s="150"/>
      <c r="P197" s="150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43"/>
      <c r="N198" s="143"/>
      <c r="O198" s="143"/>
      <c r="P198" s="143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43"/>
      <c r="N199" s="143"/>
      <c r="O199" s="143"/>
      <c r="P199" s="143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1776.25</v>
      </c>
      <c r="I200" s="148"/>
      <c r="J200" s="148"/>
      <c r="K200" s="148"/>
      <c r="L200" s="148"/>
      <c r="M200" s="148"/>
      <c r="N200" s="148"/>
      <c r="O200" s="148"/>
      <c r="P200" s="148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26"/>
      <c r="N201" s="126"/>
      <c r="O201" s="126"/>
      <c r="P201" s="126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0.09669811321</v>
      </c>
      <c r="I202" s="143"/>
      <c r="J202" s="143"/>
      <c r="K202" s="143"/>
      <c r="L202" s="143"/>
      <c r="M202" s="143"/>
      <c r="N202" s="143"/>
      <c r="O202" s="143"/>
      <c r="P202" s="143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533</v>
      </c>
      <c r="I203" s="148"/>
      <c r="J203" s="148"/>
      <c r="K203" s="148"/>
      <c r="L203" s="148"/>
      <c r="M203" s="148"/>
      <c r="N203" s="148"/>
      <c r="O203" s="148"/>
      <c r="P203" s="148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26286.11632</v>
      </c>
      <c r="I204" s="150"/>
      <c r="J204" s="150"/>
      <c r="K204" s="150"/>
      <c r="L204" s="150"/>
      <c r="M204" s="150"/>
      <c r="N204" s="150"/>
      <c r="O204" s="150"/>
      <c r="P204" s="150"/>
      <c r="Q204" s="1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14010500</v>
      </c>
      <c r="I205" s="150"/>
      <c r="J205" s="150"/>
      <c r="K205" s="150"/>
      <c r="L205" s="150"/>
      <c r="M205" s="150"/>
      <c r="N205" s="150"/>
      <c r="O205" s="150"/>
      <c r="P205" s="150"/>
      <c r="Q205" s="1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55"/>
      <c r="N206" s="155"/>
      <c r="O206" s="155"/>
      <c r="P206" s="155"/>
      <c r="Q206" s="1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55"/>
      <c r="N207" s="155"/>
      <c r="O207" s="155"/>
      <c r="P207" s="155"/>
      <c r="Q207" s="1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55"/>
      <c r="N208" s="155"/>
      <c r="O208" s="155"/>
      <c r="P208" s="155"/>
      <c r="Q208" s="1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53"/>
      <c r="N209" s="153"/>
      <c r="O209" s="153"/>
      <c r="P209" s="153"/>
      <c r="Q209" s="1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55"/>
      <c r="N210" s="155"/>
      <c r="O210" s="155"/>
      <c r="P210" s="155"/>
      <c r="Q210" s="1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30000.0</v>
      </c>
      <c r="I211" s="157"/>
      <c r="J211" s="157"/>
      <c r="K211" s="157"/>
      <c r="L211" s="157"/>
      <c r="M211" s="157"/>
      <c r="N211" s="157"/>
      <c r="O211" s="157"/>
      <c r="P211" s="157"/>
      <c r="Q211" s="1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57"/>
      <c r="N212" s="157"/>
      <c r="O212" s="157"/>
      <c r="P212" s="157"/>
      <c r="Q212" s="1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59"/>
      <c r="N213" s="159"/>
      <c r="O213" s="159"/>
      <c r="P213" s="159"/>
      <c r="Q213" s="1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59"/>
      <c r="N214" s="159"/>
      <c r="O214" s="159"/>
      <c r="P214" s="159"/>
      <c r="Q214" s="1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59"/>
      <c r="N215" s="159"/>
      <c r="O215" s="159"/>
      <c r="P215" s="159"/>
      <c r="Q215" s="1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62"/>
      <c r="N216" s="162"/>
      <c r="O216" s="162"/>
      <c r="P216" s="162"/>
      <c r="Q216" s="1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426</v>
      </c>
      <c r="I217" s="148"/>
      <c r="J217" s="148"/>
      <c r="K217" s="148"/>
      <c r="L217" s="148"/>
      <c r="M217" s="148"/>
      <c r="N217" s="148"/>
      <c r="O217" s="148"/>
      <c r="P217" s="148"/>
      <c r="Q217" s="1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12780000</v>
      </c>
      <c r="I218" s="150"/>
      <c r="J218" s="150"/>
      <c r="K218" s="150"/>
      <c r="L218" s="150"/>
      <c r="M218" s="150"/>
      <c r="N218" s="150"/>
      <c r="O218" s="150"/>
      <c r="P218" s="150"/>
      <c r="Q218" s="1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107</v>
      </c>
      <c r="I219" s="148"/>
      <c r="J219" s="148"/>
      <c r="K219" s="148"/>
      <c r="L219" s="148"/>
      <c r="M219" s="148"/>
      <c r="N219" s="148"/>
      <c r="O219" s="148"/>
      <c r="P219" s="148"/>
      <c r="Q219" s="1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1230500</v>
      </c>
      <c r="I220" s="150"/>
      <c r="J220" s="150"/>
      <c r="K220" s="150"/>
      <c r="L220" s="150"/>
      <c r="M220" s="150"/>
      <c r="N220" s="150"/>
      <c r="O220" s="150"/>
      <c r="P220" s="150"/>
      <c r="Q220" s="1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48"/>
      <c r="N221" s="148"/>
      <c r="O221" s="148"/>
      <c r="P221" s="148"/>
      <c r="Q221" s="1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50"/>
      <c r="N222" s="150"/>
      <c r="O222" s="150"/>
      <c r="P222" s="150"/>
      <c r="Q222" s="1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48"/>
      <c r="N223" s="148"/>
      <c r="O223" s="148"/>
      <c r="P223" s="148"/>
      <c r="Q223" s="1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50"/>
      <c r="N224" s="150"/>
      <c r="O224" s="150"/>
      <c r="P224" s="150"/>
      <c r="Q224" s="1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48"/>
      <c r="N225" s="148"/>
      <c r="O225" s="148"/>
      <c r="P225" s="148"/>
      <c r="Q225" s="1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50"/>
      <c r="N226" s="150"/>
      <c r="O226" s="150"/>
      <c r="P226" s="150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15"/>
      <c r="N227" s="115"/>
      <c r="O227" s="115"/>
      <c r="P227" s="115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43"/>
      <c r="N228" s="143"/>
      <c r="O228" s="143"/>
      <c r="P228" s="143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837.5</v>
      </c>
      <c r="I229" s="148"/>
      <c r="J229" s="148"/>
      <c r="K229" s="148"/>
      <c r="L229" s="148"/>
      <c r="M229" s="148"/>
      <c r="N229" s="148"/>
      <c r="O229" s="148"/>
      <c r="P229" s="148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29"/>
      <c r="N230" s="129"/>
      <c r="O230" s="129"/>
      <c r="P230" s="129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0.09653846154</v>
      </c>
      <c r="I231" s="143"/>
      <c r="J231" s="143"/>
      <c r="K231" s="143"/>
      <c r="L231" s="143"/>
      <c r="M231" s="143"/>
      <c r="N231" s="143"/>
      <c r="O231" s="143"/>
      <c r="P231" s="143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251</v>
      </c>
      <c r="I232" s="148"/>
      <c r="J232" s="148"/>
      <c r="K232" s="148"/>
      <c r="L232" s="148"/>
      <c r="M232" s="148"/>
      <c r="N232" s="148"/>
      <c r="O232" s="148"/>
      <c r="P232" s="148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17460.15936</v>
      </c>
      <c r="I233" s="150"/>
      <c r="J233" s="150"/>
      <c r="K233" s="150"/>
      <c r="L233" s="150"/>
      <c r="M233" s="150"/>
      <c r="N233" s="150"/>
      <c r="O233" s="150"/>
      <c r="P233" s="150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4382500</v>
      </c>
      <c r="I234" s="150"/>
      <c r="J234" s="150"/>
      <c r="K234" s="150"/>
      <c r="L234" s="150"/>
      <c r="M234" s="150"/>
      <c r="N234" s="150"/>
      <c r="O234" s="150"/>
      <c r="P234" s="150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55"/>
      <c r="N235" s="155"/>
      <c r="O235" s="155"/>
      <c r="P235" s="155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55"/>
      <c r="N236" s="155"/>
      <c r="O236" s="155"/>
      <c r="P236" s="155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55"/>
      <c r="N237" s="155"/>
      <c r="O237" s="155"/>
      <c r="P237" s="155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53"/>
      <c r="N238" s="153"/>
      <c r="O238" s="153"/>
      <c r="P238" s="153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55"/>
      <c r="N239" s="155"/>
      <c r="O239" s="155"/>
      <c r="P239" s="155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20000.0</v>
      </c>
      <c r="I240" s="157"/>
      <c r="J240" s="157"/>
      <c r="K240" s="157"/>
      <c r="L240" s="157"/>
      <c r="M240" s="157"/>
      <c r="N240" s="157"/>
      <c r="O240" s="157"/>
      <c r="P240" s="157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57"/>
      <c r="N241" s="157"/>
      <c r="O241" s="157"/>
      <c r="P241" s="157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59"/>
      <c r="N242" s="159"/>
      <c r="O242" s="159"/>
      <c r="P242" s="159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59"/>
      <c r="N243" s="159"/>
      <c r="O243" s="159"/>
      <c r="P243" s="159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59"/>
      <c r="N244" s="159"/>
      <c r="O244" s="159"/>
      <c r="P244" s="159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62"/>
      <c r="N245" s="162"/>
      <c r="O245" s="162"/>
      <c r="P245" s="162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200</v>
      </c>
      <c r="I246" s="148"/>
      <c r="J246" s="148"/>
      <c r="K246" s="148"/>
      <c r="L246" s="148"/>
      <c r="M246" s="148"/>
      <c r="N246" s="148"/>
      <c r="O246" s="148"/>
      <c r="P246" s="148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4000000</v>
      </c>
      <c r="I247" s="150"/>
      <c r="J247" s="150"/>
      <c r="K247" s="150"/>
      <c r="L247" s="150"/>
      <c r="M247" s="150"/>
      <c r="N247" s="150"/>
      <c r="O247" s="150"/>
      <c r="P247" s="150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51</v>
      </c>
      <c r="I248" s="148"/>
      <c r="J248" s="148"/>
      <c r="K248" s="148"/>
      <c r="L248" s="148"/>
      <c r="M248" s="148"/>
      <c r="N248" s="148"/>
      <c r="O248" s="148"/>
      <c r="P248" s="148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382500</v>
      </c>
      <c r="I249" s="150"/>
      <c r="J249" s="150"/>
      <c r="K249" s="150"/>
      <c r="L249" s="150"/>
      <c r="M249" s="150"/>
      <c r="N249" s="150"/>
      <c r="O249" s="150"/>
      <c r="P249" s="150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48"/>
      <c r="N250" s="148"/>
      <c r="O250" s="148"/>
      <c r="P250" s="148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50"/>
      <c r="N251" s="150"/>
      <c r="O251" s="150"/>
      <c r="P251" s="150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48"/>
      <c r="N252" s="148"/>
      <c r="O252" s="148"/>
      <c r="P252" s="148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50"/>
      <c r="N253" s="150"/>
      <c r="O253" s="150"/>
      <c r="P253" s="150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48"/>
      <c r="N254" s="148"/>
      <c r="O254" s="148"/>
      <c r="P254" s="148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50"/>
      <c r="N255" s="150"/>
      <c r="O255" s="150"/>
      <c r="P255" s="150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1091</v>
      </c>
      <c r="I259" s="115"/>
      <c r="J259" s="115"/>
      <c r="K259" s="115"/>
      <c r="L259" s="115"/>
      <c r="M259" s="115"/>
      <c r="N259" s="115"/>
      <c r="O259" s="115"/>
      <c r="P259" s="115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0.9248395967</v>
      </c>
      <c r="I260" s="168"/>
      <c r="J260" s="168"/>
      <c r="K260" s="168"/>
      <c r="L260" s="168"/>
      <c r="M260" s="168"/>
      <c r="N260" s="168"/>
      <c r="O260" s="168"/>
      <c r="P260" s="168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1009</v>
      </c>
      <c r="I261" s="169"/>
      <c r="J261" s="169"/>
      <c r="K261" s="169"/>
      <c r="L261" s="169"/>
      <c r="M261" s="169"/>
      <c r="N261" s="169"/>
      <c r="O261" s="169"/>
      <c r="P261" s="169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31583000</v>
      </c>
      <c r="I263" s="170"/>
      <c r="J263" s="170"/>
      <c r="K263" s="170"/>
      <c r="L263" s="170"/>
      <c r="M263" s="170"/>
      <c r="N263" s="170"/>
      <c r="O263" s="170"/>
      <c r="P263" s="170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68"/>
      <c r="N264" s="168"/>
      <c r="O264" s="168"/>
      <c r="P264" s="168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29372190</v>
      </c>
      <c r="I265" s="150"/>
      <c r="J265" s="150"/>
      <c r="K265" s="150"/>
      <c r="L265" s="150"/>
      <c r="M265" s="150"/>
      <c r="N265" s="150"/>
      <c r="O265" s="150"/>
      <c r="P265" s="150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34</v>
      </c>
      <c r="I268" s="13"/>
      <c r="J268" s="13"/>
      <c r="K268" s="13"/>
      <c r="L268" s="13"/>
      <c r="M268" s="13"/>
      <c r="N268" s="13"/>
      <c r="O268" s="13"/>
      <c r="P268" s="13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0.8823529412</v>
      </c>
      <c r="I269" s="168"/>
      <c r="J269" s="168"/>
      <c r="K269" s="168"/>
      <c r="L269" s="168"/>
      <c r="M269" s="168"/>
      <c r="N269" s="168"/>
      <c r="O269" s="168"/>
      <c r="P269" s="168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30</v>
      </c>
      <c r="I270" s="166"/>
      <c r="J270" s="166"/>
      <c r="K270" s="166"/>
      <c r="L270" s="166"/>
      <c r="M270" s="166"/>
      <c r="N270" s="166"/>
      <c r="O270" s="166"/>
      <c r="P270" s="166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68"/>
      <c r="N271" s="168"/>
      <c r="O271" s="168"/>
      <c r="P271" s="168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1886040</v>
      </c>
      <c r="I272" s="150"/>
      <c r="J272" s="150"/>
      <c r="K272" s="150"/>
      <c r="L272" s="150"/>
      <c r="M272" s="150"/>
      <c r="N272" s="150"/>
      <c r="O272" s="150"/>
      <c r="P272" s="150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55"/>
      <c r="N273" s="155"/>
      <c r="O273" s="155"/>
      <c r="P273" s="155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55"/>
      <c r="N274" s="155"/>
      <c r="O274" s="155"/>
      <c r="P274" s="155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55"/>
      <c r="N275" s="155"/>
      <c r="O275" s="155"/>
      <c r="P275" s="155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55"/>
      <c r="N276" s="155"/>
      <c r="O276" s="155"/>
      <c r="P276" s="155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55"/>
      <c r="N277" s="155"/>
      <c r="O277" s="155"/>
      <c r="P277" s="155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55"/>
      <c r="N278" s="155"/>
      <c r="O278" s="155"/>
      <c r="P278" s="155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55"/>
      <c r="N279" s="155"/>
      <c r="O279" s="155"/>
      <c r="P279" s="155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55"/>
      <c r="N280" s="155"/>
      <c r="O280" s="155"/>
      <c r="P280" s="155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52"/>
      <c r="N281" s="152"/>
      <c r="O281" s="152"/>
      <c r="P281" s="152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52"/>
      <c r="N282" s="152"/>
      <c r="O282" s="152"/>
      <c r="P282" s="152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19</v>
      </c>
      <c r="I283" s="166"/>
      <c r="J283" s="166"/>
      <c r="K283" s="166"/>
      <c r="L283" s="166"/>
      <c r="M283" s="166"/>
      <c r="N283" s="166"/>
      <c r="O283" s="166"/>
      <c r="P283" s="166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930000</v>
      </c>
      <c r="I284" s="150"/>
      <c r="J284" s="150"/>
      <c r="K284" s="150"/>
      <c r="L284" s="150"/>
      <c r="M284" s="150"/>
      <c r="N284" s="150"/>
      <c r="O284" s="150"/>
      <c r="P284" s="150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5</v>
      </c>
      <c r="I285" s="166"/>
      <c r="J285" s="166"/>
      <c r="K285" s="166"/>
      <c r="L285" s="166"/>
      <c r="M285" s="166"/>
      <c r="N285" s="166"/>
      <c r="O285" s="166"/>
      <c r="P285" s="166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146940</v>
      </c>
      <c r="I286" s="150"/>
      <c r="J286" s="150"/>
      <c r="K286" s="150"/>
      <c r="L286" s="150"/>
      <c r="M286" s="150"/>
      <c r="N286" s="150"/>
      <c r="O286" s="150"/>
      <c r="P286" s="150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66"/>
      <c r="N287" s="166"/>
      <c r="O287" s="166"/>
      <c r="P287" s="166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50"/>
      <c r="N288" s="150"/>
      <c r="O288" s="150"/>
      <c r="P288" s="150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6</v>
      </c>
      <c r="I289" s="166"/>
      <c r="J289" s="166"/>
      <c r="K289" s="166"/>
      <c r="L289" s="166"/>
      <c r="M289" s="166"/>
      <c r="N289" s="166"/>
      <c r="O289" s="166"/>
      <c r="P289" s="166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809100</v>
      </c>
      <c r="I290" s="150"/>
      <c r="J290" s="150"/>
      <c r="K290" s="150"/>
      <c r="L290" s="150"/>
      <c r="M290" s="150"/>
      <c r="N290" s="150"/>
      <c r="O290" s="150"/>
      <c r="P290" s="150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66"/>
      <c r="N291" s="166"/>
      <c r="O291" s="166"/>
      <c r="P291" s="166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50"/>
      <c r="N292" s="150"/>
      <c r="O292" s="150"/>
      <c r="P292" s="150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47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0.8510638298</v>
      </c>
      <c r="I296" s="168"/>
      <c r="J296" s="168"/>
      <c r="K296" s="168"/>
      <c r="L296" s="168"/>
      <c r="M296" s="168"/>
      <c r="N296" s="168"/>
      <c r="O296" s="168"/>
      <c r="P296" s="168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40</v>
      </c>
      <c r="I297" s="148"/>
      <c r="J297" s="148"/>
      <c r="K297" s="148"/>
      <c r="L297" s="148"/>
      <c r="M297" s="148"/>
      <c r="N297" s="148"/>
      <c r="O297" s="148"/>
      <c r="P297" s="148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68"/>
      <c r="N298" s="168"/>
      <c r="O298" s="168"/>
      <c r="P298" s="168"/>
      <c r="Q298" s="1"/>
      <c r="R298" s="1"/>
      <c r="S298" s="1"/>
    </row>
    <row r="299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1970670</v>
      </c>
      <c r="I299" s="173"/>
      <c r="J299" s="173"/>
      <c r="K299" s="173"/>
      <c r="L299" s="173"/>
      <c r="M299" s="173"/>
      <c r="N299" s="173"/>
      <c r="O299" s="173"/>
      <c r="P299" s="173"/>
      <c r="Q299" s="1"/>
      <c r="R299" s="1"/>
      <c r="S299" s="1"/>
    </row>
    <row r="300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55"/>
      <c r="N300" s="155"/>
      <c r="O300" s="155"/>
      <c r="P300" s="155"/>
      <c r="Q300" s="1"/>
      <c r="R300" s="1"/>
      <c r="S300" s="1"/>
    </row>
    <row r="30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55"/>
      <c r="N301" s="155"/>
      <c r="O301" s="155"/>
      <c r="P301" s="155"/>
      <c r="Q301" s="1"/>
      <c r="R301" s="1"/>
      <c r="S301" s="1"/>
    </row>
    <row r="302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55"/>
      <c r="N302" s="155"/>
      <c r="O302" s="155"/>
      <c r="P302" s="155"/>
      <c r="Q302" s="1"/>
      <c r="R302" s="1"/>
      <c r="S302" s="1"/>
    </row>
    <row r="303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55"/>
      <c r="N303" s="155"/>
      <c r="O303" s="155"/>
      <c r="P303" s="155"/>
      <c r="Q303" s="1"/>
      <c r="R303" s="1"/>
      <c r="S303" s="1"/>
    </row>
    <row r="304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55"/>
      <c r="N304" s="155"/>
      <c r="O304" s="155"/>
      <c r="P304" s="155"/>
      <c r="Q304" s="1"/>
      <c r="R304" s="1"/>
      <c r="S304" s="1"/>
    </row>
    <row r="305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55"/>
      <c r="N305" s="155"/>
      <c r="O305" s="155"/>
      <c r="P305" s="155"/>
      <c r="Q305" s="1"/>
      <c r="R305" s="1"/>
      <c r="S305" s="1"/>
    </row>
    <row r="306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55"/>
      <c r="N306" s="155"/>
      <c r="O306" s="155"/>
      <c r="P306" s="155"/>
      <c r="Q306" s="1"/>
      <c r="R306" s="1"/>
      <c r="S306" s="1"/>
    </row>
    <row r="307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55"/>
      <c r="N307" s="155"/>
      <c r="O307" s="155"/>
      <c r="P307" s="155"/>
      <c r="Q307" s="1"/>
      <c r="R307" s="1"/>
      <c r="S307" s="1"/>
    </row>
    <row r="308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55"/>
      <c r="N308" s="155"/>
      <c r="O308" s="155"/>
      <c r="P308" s="155"/>
      <c r="Q308" s="1"/>
      <c r="R308" s="1"/>
      <c r="S308" s="1"/>
    </row>
    <row r="309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55"/>
      <c r="N309" s="155"/>
      <c r="O309" s="155"/>
      <c r="P309" s="155"/>
      <c r="Q309" s="1"/>
      <c r="R309" s="1"/>
      <c r="S309" s="1"/>
    </row>
    <row r="310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26</v>
      </c>
      <c r="I310" s="148"/>
      <c r="J310" s="148"/>
      <c r="K310" s="148"/>
      <c r="L310" s="148"/>
      <c r="M310" s="148"/>
      <c r="N310" s="148"/>
      <c r="O310" s="148"/>
      <c r="P310" s="148"/>
      <c r="Q310" s="1"/>
      <c r="R310" s="1"/>
      <c r="S310" s="1"/>
    </row>
    <row r="31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1041600</v>
      </c>
      <c r="I311" s="150"/>
      <c r="J311" s="150"/>
      <c r="K311" s="150"/>
      <c r="L311" s="150"/>
      <c r="M311" s="150"/>
      <c r="N311" s="150"/>
      <c r="O311" s="150"/>
      <c r="P311" s="150"/>
      <c r="Q311" s="1"/>
      <c r="R311" s="1"/>
      <c r="S311" s="1"/>
    </row>
    <row r="312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6</v>
      </c>
      <c r="I312" s="148"/>
      <c r="J312" s="148"/>
      <c r="K312" s="148"/>
      <c r="L312" s="148"/>
      <c r="M312" s="148"/>
      <c r="N312" s="148"/>
      <c r="O312" s="148"/>
      <c r="P312" s="148"/>
      <c r="Q312" s="1"/>
      <c r="R312" s="1"/>
      <c r="S312" s="1"/>
    </row>
    <row r="313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100440</v>
      </c>
      <c r="I313" s="150"/>
      <c r="J313" s="150"/>
      <c r="K313" s="150"/>
      <c r="L313" s="150"/>
      <c r="M313" s="150"/>
      <c r="N313" s="150"/>
      <c r="O313" s="150"/>
      <c r="P313" s="150"/>
      <c r="Q313" s="1"/>
      <c r="R313" s="1"/>
      <c r="S313" s="1"/>
    </row>
    <row r="314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48"/>
      <c r="N314" s="148"/>
      <c r="O314" s="148"/>
      <c r="P314" s="148"/>
      <c r="Q314" s="1"/>
      <c r="R314" s="1"/>
      <c r="S314" s="1"/>
    </row>
    <row r="315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50"/>
      <c r="N315" s="150"/>
      <c r="O315" s="150"/>
      <c r="P315" s="150"/>
      <c r="Q315" s="1"/>
      <c r="R315" s="1"/>
      <c r="S315" s="1"/>
    </row>
    <row r="316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8</v>
      </c>
      <c r="I316" s="148"/>
      <c r="J316" s="148"/>
      <c r="K316" s="148"/>
      <c r="L316" s="148"/>
      <c r="M316" s="148"/>
      <c r="N316" s="148"/>
      <c r="O316" s="148"/>
      <c r="P316" s="148"/>
      <c r="Q316" s="1"/>
      <c r="R316" s="1"/>
      <c r="S316" s="1"/>
    </row>
    <row r="317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828630</v>
      </c>
      <c r="I317" s="150"/>
      <c r="J317" s="150"/>
      <c r="K317" s="150"/>
      <c r="L317" s="150"/>
      <c r="M317" s="150"/>
      <c r="N317" s="150"/>
      <c r="O317" s="150"/>
      <c r="P317" s="150"/>
      <c r="Q317" s="1"/>
      <c r="R317" s="1"/>
      <c r="S317" s="1"/>
    </row>
    <row r="318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4</v>
      </c>
      <c r="I318" s="166"/>
      <c r="J318" s="166"/>
      <c r="K318" s="166"/>
      <c r="L318" s="166"/>
      <c r="M318" s="166"/>
      <c r="N318" s="166"/>
      <c r="O318" s="166"/>
      <c r="P318" s="166"/>
      <c r="Q318" s="1"/>
      <c r="R318" s="1"/>
      <c r="S318" s="1"/>
    </row>
    <row r="319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50"/>
      <c r="N319" s="150"/>
      <c r="O319" s="150"/>
      <c r="P319" s="150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226</v>
      </c>
      <c r="I322" s="163"/>
      <c r="J322" s="163"/>
      <c r="K322" s="163"/>
      <c r="L322" s="163"/>
      <c r="M322" s="163"/>
      <c r="N322" s="163"/>
      <c r="O322" s="163"/>
      <c r="P322" s="163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0.9292035398</v>
      </c>
      <c r="I323" s="168"/>
      <c r="J323" s="168"/>
      <c r="K323" s="168"/>
      <c r="L323" s="168"/>
      <c r="M323" s="168"/>
      <c r="N323" s="168"/>
      <c r="O323" s="168"/>
      <c r="P323" s="168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210</v>
      </c>
      <c r="I324" s="148"/>
      <c r="J324" s="148"/>
      <c r="K324" s="148"/>
      <c r="L324" s="148"/>
      <c r="M324" s="148"/>
      <c r="N324" s="148"/>
      <c r="O324" s="148"/>
      <c r="P324" s="148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68"/>
      <c r="N325" s="168"/>
      <c r="O325" s="168"/>
      <c r="P325" s="168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8409990</v>
      </c>
      <c r="I326" s="150"/>
      <c r="J326" s="150"/>
      <c r="K326" s="150"/>
      <c r="L326" s="150"/>
      <c r="M326" s="150"/>
      <c r="N326" s="150"/>
      <c r="O326" s="150"/>
      <c r="P326" s="150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55"/>
      <c r="N327" s="155"/>
      <c r="O327" s="155"/>
      <c r="P327" s="155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55"/>
      <c r="N328" s="155"/>
      <c r="O328" s="155"/>
      <c r="P328" s="155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55"/>
      <c r="N329" s="155"/>
      <c r="O329" s="155"/>
      <c r="P329" s="155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55"/>
      <c r="N330" s="155"/>
      <c r="O330" s="155"/>
      <c r="P330" s="155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55"/>
      <c r="N331" s="155"/>
      <c r="O331" s="155"/>
      <c r="P331" s="155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55"/>
      <c r="N332" s="155"/>
      <c r="O332" s="155"/>
      <c r="P332" s="155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55"/>
      <c r="N333" s="155"/>
      <c r="O333" s="155"/>
      <c r="P333" s="155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55"/>
      <c r="N334" s="155"/>
      <c r="O334" s="155"/>
      <c r="P334" s="155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55"/>
      <c r="N335" s="155"/>
      <c r="O335" s="155"/>
      <c r="P335" s="155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55"/>
      <c r="N336" s="155"/>
      <c r="O336" s="155"/>
      <c r="P336" s="155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126</v>
      </c>
      <c r="I337" s="148"/>
      <c r="J337" s="148"/>
      <c r="K337" s="148"/>
      <c r="L337" s="148"/>
      <c r="M337" s="148"/>
      <c r="N337" s="148"/>
      <c r="O337" s="148"/>
      <c r="P337" s="148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5022000</v>
      </c>
      <c r="I338" s="150"/>
      <c r="J338" s="150"/>
      <c r="K338" s="150"/>
      <c r="L338" s="150"/>
      <c r="M338" s="150"/>
      <c r="N338" s="150"/>
      <c r="O338" s="150"/>
      <c r="P338" s="150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22</v>
      </c>
      <c r="I339" s="148"/>
      <c r="J339" s="148"/>
      <c r="K339" s="148"/>
      <c r="L339" s="148"/>
      <c r="M339" s="148"/>
      <c r="N339" s="148"/>
      <c r="O339" s="148"/>
      <c r="P339" s="148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334800</v>
      </c>
      <c r="I340" s="150"/>
      <c r="J340" s="150"/>
      <c r="K340" s="150"/>
      <c r="L340" s="150"/>
      <c r="M340" s="150"/>
      <c r="N340" s="150"/>
      <c r="O340" s="150"/>
      <c r="P340" s="150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48"/>
      <c r="N341" s="148"/>
      <c r="O341" s="148"/>
      <c r="P341" s="148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50"/>
      <c r="N342" s="150"/>
      <c r="O342" s="150"/>
      <c r="P342" s="150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62</v>
      </c>
      <c r="I343" s="148"/>
      <c r="J343" s="148"/>
      <c r="K343" s="148"/>
      <c r="L343" s="148"/>
      <c r="M343" s="148"/>
      <c r="N343" s="148"/>
      <c r="O343" s="148"/>
      <c r="P343" s="148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3053190</v>
      </c>
      <c r="I344" s="150"/>
      <c r="J344" s="150"/>
      <c r="K344" s="150"/>
      <c r="L344" s="150"/>
      <c r="M344" s="150"/>
      <c r="N344" s="150"/>
      <c r="O344" s="150"/>
      <c r="P344" s="150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66"/>
      <c r="N345" s="166"/>
      <c r="O345" s="166"/>
      <c r="P345" s="166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50"/>
      <c r="N346" s="150"/>
      <c r="O346" s="150"/>
      <c r="P346" s="150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533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0.9305816135</v>
      </c>
      <c r="I350" s="168"/>
      <c r="J350" s="168"/>
      <c r="K350" s="168"/>
      <c r="L350" s="168"/>
      <c r="M350" s="168"/>
      <c r="N350" s="168"/>
      <c r="O350" s="168"/>
      <c r="P350" s="168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496</v>
      </c>
      <c r="I351" s="148"/>
      <c r="J351" s="148"/>
      <c r="K351" s="148"/>
      <c r="L351" s="148"/>
      <c r="M351" s="148"/>
      <c r="N351" s="148"/>
      <c r="O351" s="148"/>
      <c r="P351" s="148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68"/>
      <c r="N352" s="168"/>
      <c r="O352" s="168"/>
      <c r="P352" s="168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13029765</v>
      </c>
      <c r="I353" s="150"/>
      <c r="J353" s="150"/>
      <c r="K353" s="150"/>
      <c r="L353" s="150"/>
      <c r="M353" s="150"/>
      <c r="N353" s="150"/>
      <c r="O353" s="150"/>
      <c r="P353" s="150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55"/>
      <c r="N354" s="155"/>
      <c r="O354" s="155"/>
      <c r="P354" s="155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55"/>
      <c r="N355" s="155"/>
      <c r="O355" s="155"/>
      <c r="P355" s="155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55"/>
      <c r="N356" s="155"/>
      <c r="O356" s="155"/>
      <c r="P356" s="155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55"/>
      <c r="N357" s="155"/>
      <c r="O357" s="155"/>
      <c r="P357" s="155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53"/>
      <c r="N358" s="153"/>
      <c r="O358" s="153"/>
      <c r="P358" s="153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53"/>
      <c r="N359" s="153"/>
      <c r="O359" s="153"/>
      <c r="P359" s="153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53"/>
      <c r="N360" s="153"/>
      <c r="O360" s="153"/>
      <c r="P360" s="153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53"/>
      <c r="N361" s="153"/>
      <c r="O361" s="153"/>
      <c r="P361" s="153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55"/>
      <c r="N362" s="155"/>
      <c r="O362" s="155"/>
      <c r="P362" s="155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55"/>
      <c r="N363" s="155"/>
      <c r="O363" s="155"/>
      <c r="P363" s="155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396</v>
      </c>
      <c r="I364" s="148"/>
      <c r="J364" s="148"/>
      <c r="K364" s="148"/>
      <c r="L364" s="148"/>
      <c r="M364" s="148"/>
      <c r="N364" s="148"/>
      <c r="O364" s="148"/>
      <c r="P364" s="148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11885400</v>
      </c>
      <c r="I365" s="150"/>
      <c r="J365" s="150"/>
      <c r="K365" s="150"/>
      <c r="L365" s="150"/>
      <c r="M365" s="150"/>
      <c r="N365" s="150"/>
      <c r="O365" s="150"/>
      <c r="P365" s="150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100</v>
      </c>
      <c r="I366" s="148"/>
      <c r="J366" s="148"/>
      <c r="K366" s="148"/>
      <c r="L366" s="148"/>
      <c r="M366" s="148"/>
      <c r="N366" s="148"/>
      <c r="O366" s="148"/>
      <c r="P366" s="148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1144365</v>
      </c>
      <c r="I367" s="150"/>
      <c r="J367" s="150"/>
      <c r="K367" s="150"/>
      <c r="L367" s="150"/>
      <c r="M367" s="150"/>
      <c r="N367" s="150"/>
      <c r="O367" s="150"/>
      <c r="P367" s="150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48"/>
      <c r="N368" s="148"/>
      <c r="O368" s="148"/>
      <c r="P368" s="148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50"/>
      <c r="N369" s="150"/>
      <c r="O369" s="150"/>
      <c r="P369" s="150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48"/>
      <c r="N370" s="148"/>
      <c r="O370" s="148"/>
      <c r="P370" s="148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50"/>
      <c r="N371" s="150"/>
      <c r="O371" s="150"/>
      <c r="P371" s="150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66"/>
      <c r="N372" s="166"/>
      <c r="O372" s="166"/>
      <c r="P372" s="166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50"/>
      <c r="N373" s="150"/>
      <c r="O373" s="150"/>
      <c r="P373" s="150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251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0.9282868526</v>
      </c>
      <c r="I377" s="168"/>
      <c r="J377" s="168"/>
      <c r="K377" s="168"/>
      <c r="L377" s="168"/>
      <c r="M377" s="168"/>
      <c r="N377" s="168"/>
      <c r="O377" s="168"/>
      <c r="P377" s="168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233</v>
      </c>
      <c r="I378" s="148"/>
      <c r="J378" s="148"/>
      <c r="K378" s="148"/>
      <c r="L378" s="148"/>
      <c r="M378" s="148"/>
      <c r="N378" s="148"/>
      <c r="O378" s="148"/>
      <c r="P378" s="148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34"/>
      <c r="N379" s="134"/>
      <c r="O379" s="134"/>
      <c r="P379" s="134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4075725</v>
      </c>
      <c r="I380" s="150"/>
      <c r="J380" s="150"/>
      <c r="K380" s="150"/>
      <c r="L380" s="150"/>
      <c r="M380" s="150"/>
      <c r="N380" s="150"/>
      <c r="O380" s="150"/>
      <c r="P380" s="150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55"/>
      <c r="N381" s="155"/>
      <c r="O381" s="155"/>
      <c r="P381" s="155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55"/>
      <c r="N382" s="155"/>
      <c r="O382" s="155"/>
      <c r="P382" s="155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55"/>
      <c r="N383" s="155"/>
      <c r="O383" s="155"/>
      <c r="P383" s="155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55"/>
      <c r="N384" s="155"/>
      <c r="O384" s="155"/>
      <c r="P384" s="155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53"/>
      <c r="N385" s="153"/>
      <c r="O385" s="153"/>
      <c r="P385" s="153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53"/>
      <c r="N386" s="153"/>
      <c r="O386" s="153"/>
      <c r="P386" s="153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53"/>
      <c r="N387" s="153"/>
      <c r="O387" s="153"/>
      <c r="P387" s="153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53"/>
      <c r="N388" s="153"/>
      <c r="O388" s="153"/>
      <c r="P388" s="153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55"/>
      <c r="N389" s="155"/>
      <c r="O389" s="155"/>
      <c r="P389" s="155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55"/>
      <c r="N390" s="155"/>
      <c r="O390" s="155"/>
      <c r="P390" s="155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186</v>
      </c>
      <c r="I391" s="148"/>
      <c r="J391" s="148"/>
      <c r="K391" s="148"/>
      <c r="L391" s="148"/>
      <c r="M391" s="148"/>
      <c r="N391" s="148"/>
      <c r="O391" s="148"/>
      <c r="P391" s="148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3720000</v>
      </c>
      <c r="I392" s="150"/>
      <c r="J392" s="150"/>
      <c r="K392" s="150"/>
      <c r="L392" s="150"/>
      <c r="M392" s="150"/>
      <c r="N392" s="150"/>
      <c r="O392" s="150"/>
      <c r="P392" s="150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47</v>
      </c>
      <c r="I393" s="148"/>
      <c r="J393" s="148"/>
      <c r="K393" s="148"/>
      <c r="L393" s="148"/>
      <c r="M393" s="148"/>
      <c r="N393" s="148"/>
      <c r="O393" s="148"/>
      <c r="P393" s="148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355725</v>
      </c>
      <c r="I394" s="150"/>
      <c r="J394" s="150"/>
      <c r="K394" s="150"/>
      <c r="L394" s="150"/>
      <c r="M394" s="150"/>
      <c r="N394" s="150"/>
      <c r="O394" s="150"/>
      <c r="P394" s="150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48"/>
      <c r="N395" s="148"/>
      <c r="O395" s="148"/>
      <c r="P395" s="148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50"/>
      <c r="N396" s="150"/>
      <c r="O396" s="150"/>
      <c r="P396" s="150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48"/>
      <c r="N397" s="148"/>
      <c r="O397" s="148"/>
      <c r="P397" s="148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50"/>
      <c r="N398" s="150"/>
      <c r="O398" s="150"/>
      <c r="P398" s="150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48"/>
      <c r="N399" s="148"/>
      <c r="O399" s="148"/>
      <c r="P399" s="148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50"/>
      <c r="N400" s="150"/>
      <c r="O400" s="150"/>
      <c r="P400" s="150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1009</v>
      </c>
      <c r="I404" s="123"/>
      <c r="J404" s="123"/>
      <c r="K404" s="123"/>
      <c r="L404" s="123"/>
      <c r="M404" s="123"/>
      <c r="N404" s="123"/>
      <c r="O404" s="123"/>
      <c r="P404" s="123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68"/>
      <c r="N405" s="168"/>
      <c r="O405" s="168"/>
      <c r="P405" s="168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1009</v>
      </c>
      <c r="I406" s="148"/>
      <c r="J406" s="148"/>
      <c r="K406" s="148"/>
      <c r="L406" s="148"/>
      <c r="M406" s="148"/>
      <c r="N406" s="148"/>
      <c r="O406" s="148"/>
      <c r="P406" s="148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29372190</v>
      </c>
      <c r="I408" s="150"/>
      <c r="J408" s="150"/>
      <c r="K408" s="150"/>
      <c r="L408" s="150"/>
      <c r="M408" s="150"/>
      <c r="N408" s="150"/>
      <c r="O408" s="150"/>
      <c r="P408" s="150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68"/>
      <c r="N409" s="168"/>
      <c r="O409" s="168"/>
      <c r="P409" s="168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29372190</v>
      </c>
      <c r="I410" s="150"/>
      <c r="J410" s="150"/>
      <c r="K410" s="150"/>
      <c r="L410" s="150"/>
      <c r="M410" s="150"/>
      <c r="N410" s="150"/>
      <c r="O410" s="150"/>
      <c r="P410" s="150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15"/>
      <c r="N411" s="115"/>
      <c r="O411" s="115"/>
      <c r="P411" s="115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68"/>
      <c r="N413" s="168"/>
      <c r="O413" s="168"/>
      <c r="P413" s="168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30</v>
      </c>
      <c r="I414" s="148"/>
      <c r="J414" s="148"/>
      <c r="K414" s="148"/>
      <c r="L414" s="148"/>
      <c r="M414" s="148"/>
      <c r="N414" s="148"/>
      <c r="O414" s="148"/>
      <c r="P414" s="148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68"/>
      <c r="N415" s="168"/>
      <c r="O415" s="168"/>
      <c r="P415" s="168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1886040</v>
      </c>
      <c r="I416" s="150"/>
      <c r="J416" s="150"/>
      <c r="K416" s="150"/>
      <c r="L416" s="150"/>
      <c r="M416" s="150"/>
      <c r="N416" s="150"/>
      <c r="O416" s="150"/>
      <c r="P416" s="150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53"/>
      <c r="N417" s="153"/>
      <c r="O417" s="153"/>
      <c r="P417" s="153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53"/>
      <c r="N418" s="153"/>
      <c r="O418" s="153"/>
      <c r="P418" s="153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53"/>
      <c r="N419" s="153"/>
      <c r="O419" s="153"/>
      <c r="P419" s="153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53"/>
      <c r="N420" s="153"/>
      <c r="O420" s="153"/>
      <c r="P420" s="153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53"/>
      <c r="N421" s="153"/>
      <c r="O421" s="153"/>
      <c r="P421" s="153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53"/>
      <c r="N422" s="153"/>
      <c r="O422" s="153"/>
      <c r="P422" s="153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53"/>
      <c r="N423" s="153"/>
      <c r="O423" s="153"/>
      <c r="P423" s="153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53"/>
      <c r="N424" s="153"/>
      <c r="O424" s="153"/>
      <c r="P424" s="153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53"/>
      <c r="N425" s="153"/>
      <c r="O425" s="153"/>
      <c r="P425" s="153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53"/>
      <c r="N426" s="153"/>
      <c r="O426" s="153"/>
      <c r="P426" s="153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19</v>
      </c>
      <c r="I427" s="148"/>
      <c r="J427" s="148"/>
      <c r="K427" s="148"/>
      <c r="L427" s="148"/>
      <c r="M427" s="148"/>
      <c r="N427" s="148"/>
      <c r="O427" s="148"/>
      <c r="P427" s="148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930000</v>
      </c>
      <c r="I428" s="173"/>
      <c r="J428" s="173"/>
      <c r="K428" s="173"/>
      <c r="L428" s="173"/>
      <c r="M428" s="173"/>
      <c r="N428" s="173"/>
      <c r="O428" s="173"/>
      <c r="P428" s="173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5</v>
      </c>
      <c r="I429" s="148"/>
      <c r="J429" s="148"/>
      <c r="K429" s="148"/>
      <c r="L429" s="148"/>
      <c r="M429" s="148"/>
      <c r="N429" s="148"/>
      <c r="O429" s="148"/>
      <c r="P429" s="148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146940</v>
      </c>
      <c r="I430" s="148"/>
      <c r="J430" s="148"/>
      <c r="K430" s="148"/>
      <c r="L430" s="148"/>
      <c r="M430" s="148"/>
      <c r="N430" s="148"/>
      <c r="O430" s="148"/>
      <c r="P430" s="148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74"/>
      <c r="N431" s="174"/>
      <c r="O431" s="174"/>
      <c r="P431" s="174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74"/>
      <c r="N432" s="174"/>
      <c r="O432" s="174"/>
      <c r="P432" s="174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6</v>
      </c>
      <c r="I433" s="174"/>
      <c r="J433" s="174"/>
      <c r="K433" s="174"/>
      <c r="L433" s="174"/>
      <c r="M433" s="174"/>
      <c r="N433" s="174"/>
      <c r="O433" s="174"/>
      <c r="P433" s="174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809100</v>
      </c>
      <c r="I434" s="174"/>
      <c r="J434" s="174"/>
      <c r="K434" s="174"/>
      <c r="L434" s="174"/>
      <c r="M434" s="174"/>
      <c r="N434" s="174"/>
      <c r="O434" s="174"/>
      <c r="P434" s="174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74"/>
      <c r="N435" s="174"/>
      <c r="O435" s="174"/>
      <c r="P435" s="174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74"/>
      <c r="N436" s="174"/>
      <c r="O436" s="174"/>
      <c r="P436" s="174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68"/>
      <c r="N439" s="168"/>
      <c r="O439" s="168"/>
      <c r="P439" s="168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40</v>
      </c>
      <c r="I440" s="148"/>
      <c r="J440" s="148"/>
      <c r="K440" s="148"/>
      <c r="L440" s="148"/>
      <c r="M440" s="148"/>
      <c r="N440" s="148"/>
      <c r="O440" s="148"/>
      <c r="P440" s="148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68"/>
      <c r="N441" s="168"/>
      <c r="O441" s="168"/>
      <c r="P441" s="168"/>
      <c r="Q441" s="1"/>
      <c r="R441" s="1"/>
      <c r="S441" s="1"/>
    </row>
    <row r="442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1970670</v>
      </c>
      <c r="I442" s="150"/>
      <c r="J442" s="150"/>
      <c r="K442" s="150"/>
      <c r="L442" s="150"/>
      <c r="M442" s="150"/>
      <c r="N442" s="150"/>
      <c r="O442" s="150"/>
      <c r="P442" s="150"/>
      <c r="Q442" s="1"/>
      <c r="R442" s="1"/>
      <c r="S442" s="1"/>
    </row>
    <row r="443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55"/>
      <c r="N443" s="155"/>
      <c r="O443" s="155"/>
      <c r="P443" s="155"/>
      <c r="Q443" s="1"/>
      <c r="R443" s="1"/>
      <c r="S443" s="1"/>
    </row>
    <row r="444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55"/>
      <c r="N444" s="155"/>
      <c r="O444" s="155"/>
      <c r="P444" s="155"/>
      <c r="Q444" s="1"/>
      <c r="R444" s="1"/>
      <c r="S444" s="1"/>
    </row>
    <row r="445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55"/>
      <c r="N445" s="155"/>
      <c r="O445" s="155"/>
      <c r="P445" s="155"/>
      <c r="Q445" s="1"/>
      <c r="R445" s="1"/>
      <c r="S445" s="1"/>
    </row>
    <row r="446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55"/>
      <c r="N446" s="155"/>
      <c r="O446" s="155"/>
      <c r="P446" s="155"/>
      <c r="Q446" s="1"/>
      <c r="R446" s="1"/>
      <c r="S446" s="1"/>
    </row>
    <row r="447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55"/>
      <c r="N447" s="155"/>
      <c r="O447" s="155"/>
      <c r="P447" s="155"/>
      <c r="Q447" s="1"/>
      <c r="R447" s="1"/>
      <c r="S447" s="1"/>
    </row>
    <row r="448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55"/>
      <c r="N448" s="155"/>
      <c r="O448" s="155"/>
      <c r="P448" s="155"/>
      <c r="Q448" s="1"/>
      <c r="R448" s="1"/>
      <c r="S448" s="1"/>
    </row>
    <row r="449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53"/>
      <c r="N449" s="153"/>
      <c r="O449" s="153"/>
      <c r="P449" s="153"/>
      <c r="Q449" s="1"/>
      <c r="R449" s="1"/>
      <c r="S449" s="1"/>
    </row>
    <row r="450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53"/>
      <c r="N450" s="153"/>
      <c r="O450" s="153"/>
      <c r="P450" s="153"/>
      <c r="Q450" s="1"/>
      <c r="R450" s="1"/>
      <c r="S450" s="1"/>
    </row>
    <row r="45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53"/>
      <c r="N451" s="153"/>
      <c r="O451" s="153"/>
      <c r="P451" s="153"/>
      <c r="Q451" s="1"/>
      <c r="R451" s="1"/>
      <c r="S451" s="1"/>
    </row>
    <row r="452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53"/>
      <c r="N452" s="153"/>
      <c r="O452" s="153"/>
      <c r="P452" s="153"/>
      <c r="Q452" s="1"/>
      <c r="R452" s="1"/>
      <c r="S452" s="1"/>
    </row>
    <row r="453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26</v>
      </c>
      <c r="I453" s="148"/>
      <c r="J453" s="148"/>
      <c r="K453" s="148"/>
      <c r="L453" s="148"/>
      <c r="M453" s="148"/>
      <c r="N453" s="148"/>
      <c r="O453" s="148"/>
      <c r="P453" s="148"/>
      <c r="Q453" s="1"/>
      <c r="R453" s="1"/>
      <c r="S453" s="1"/>
    </row>
    <row r="454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1041600</v>
      </c>
      <c r="I454" s="148"/>
      <c r="J454" s="148"/>
      <c r="K454" s="148"/>
      <c r="L454" s="148"/>
      <c r="M454" s="148"/>
      <c r="N454" s="148"/>
      <c r="O454" s="148"/>
      <c r="P454" s="148"/>
      <c r="Q454" s="1"/>
      <c r="R454" s="1"/>
      <c r="S454" s="1"/>
    </row>
    <row r="455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6</v>
      </c>
      <c r="I455" s="148"/>
      <c r="J455" s="148"/>
      <c r="K455" s="148"/>
      <c r="L455" s="148"/>
      <c r="M455" s="148"/>
      <c r="N455" s="148"/>
      <c r="O455" s="148"/>
      <c r="P455" s="148"/>
      <c r="Q455" s="1"/>
      <c r="R455" s="1"/>
      <c r="S455" s="1"/>
    </row>
    <row r="456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100440</v>
      </c>
      <c r="I456" s="148"/>
      <c r="J456" s="148"/>
      <c r="K456" s="148"/>
      <c r="L456" s="148"/>
      <c r="M456" s="148"/>
      <c r="N456" s="148"/>
      <c r="O456" s="148"/>
      <c r="P456" s="148"/>
      <c r="Q456" s="1"/>
      <c r="R456" s="1"/>
      <c r="S456" s="1"/>
    </row>
    <row r="457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48"/>
      <c r="N457" s="148"/>
      <c r="O457" s="148"/>
      <c r="P457" s="148"/>
      <c r="Q457" s="1"/>
      <c r="R457" s="1"/>
      <c r="S457" s="1"/>
    </row>
    <row r="458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48"/>
      <c r="N458" s="148"/>
      <c r="O458" s="148"/>
      <c r="P458" s="148"/>
      <c r="Q458" s="1"/>
      <c r="R458" s="1"/>
      <c r="S458" s="1"/>
    </row>
    <row r="459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8</v>
      </c>
      <c r="I459" s="148"/>
      <c r="J459" s="148"/>
      <c r="K459" s="148"/>
      <c r="L459" s="148"/>
      <c r="M459" s="148"/>
      <c r="N459" s="148"/>
      <c r="O459" s="148"/>
      <c r="P459" s="148"/>
      <c r="Q459" s="1"/>
      <c r="R459" s="1"/>
      <c r="S459" s="1"/>
    </row>
    <row r="460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828630</v>
      </c>
      <c r="I460" s="148"/>
      <c r="J460" s="148"/>
      <c r="K460" s="148"/>
      <c r="L460" s="148"/>
      <c r="M460" s="148"/>
      <c r="N460" s="148"/>
      <c r="O460" s="148"/>
      <c r="P460" s="148"/>
      <c r="Q460" s="1"/>
      <c r="R460" s="1"/>
      <c r="S460" s="1"/>
    </row>
    <row r="46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4</v>
      </c>
      <c r="I461" s="148"/>
      <c r="J461" s="148"/>
      <c r="K461" s="148"/>
      <c r="L461" s="148"/>
      <c r="M461" s="148"/>
      <c r="N461" s="148"/>
      <c r="O461" s="148"/>
      <c r="P461" s="148"/>
      <c r="Q461" s="1"/>
      <c r="R461" s="1"/>
      <c r="S461" s="1"/>
    </row>
    <row r="462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48"/>
      <c r="N462" s="148"/>
      <c r="O462" s="148"/>
      <c r="P462" s="148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68"/>
      <c r="N465" s="168"/>
      <c r="O465" s="168"/>
      <c r="P465" s="168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210</v>
      </c>
      <c r="I466" s="148"/>
      <c r="J466" s="148"/>
      <c r="K466" s="148"/>
      <c r="L466" s="148"/>
      <c r="M466" s="148"/>
      <c r="N466" s="148"/>
      <c r="O466" s="148"/>
      <c r="P466" s="148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68"/>
      <c r="N467" s="168"/>
      <c r="O467" s="168"/>
      <c r="P467" s="168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8409990</v>
      </c>
      <c r="I468" s="150"/>
      <c r="J468" s="150"/>
      <c r="K468" s="150"/>
      <c r="L468" s="150"/>
      <c r="M468" s="150"/>
      <c r="N468" s="150"/>
      <c r="O468" s="150"/>
      <c r="P468" s="150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55"/>
      <c r="N469" s="155"/>
      <c r="O469" s="155"/>
      <c r="P469" s="155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55"/>
      <c r="N470" s="155"/>
      <c r="O470" s="155"/>
      <c r="P470" s="155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55"/>
      <c r="N471" s="155"/>
      <c r="O471" s="155"/>
      <c r="P471" s="155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55"/>
      <c r="N472" s="155"/>
      <c r="O472" s="155"/>
      <c r="P472" s="155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55"/>
      <c r="N473" s="155"/>
      <c r="O473" s="155"/>
      <c r="P473" s="155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55"/>
      <c r="N474" s="155"/>
      <c r="O474" s="155"/>
      <c r="P474" s="155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55"/>
      <c r="N475" s="155"/>
      <c r="O475" s="155"/>
      <c r="P475" s="155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55"/>
      <c r="N476" s="155"/>
      <c r="O476" s="155"/>
      <c r="P476" s="155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55"/>
      <c r="N477" s="155"/>
      <c r="O477" s="155"/>
      <c r="P477" s="155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55"/>
      <c r="N478" s="155"/>
      <c r="O478" s="155"/>
      <c r="P478" s="155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126</v>
      </c>
      <c r="I479" s="148"/>
      <c r="J479" s="148"/>
      <c r="K479" s="148"/>
      <c r="L479" s="148"/>
      <c r="M479" s="148"/>
      <c r="N479" s="148"/>
      <c r="O479" s="148"/>
      <c r="P479" s="148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5022000</v>
      </c>
      <c r="I480" s="148"/>
      <c r="J480" s="148"/>
      <c r="K480" s="148"/>
      <c r="L480" s="148"/>
      <c r="M480" s="148"/>
      <c r="N480" s="148"/>
      <c r="O480" s="148"/>
      <c r="P480" s="148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22</v>
      </c>
      <c r="I481" s="148"/>
      <c r="J481" s="148"/>
      <c r="K481" s="148"/>
      <c r="L481" s="148"/>
      <c r="M481" s="148"/>
      <c r="N481" s="148"/>
      <c r="O481" s="148"/>
      <c r="P481" s="148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334800</v>
      </c>
      <c r="I482" s="148"/>
      <c r="J482" s="148"/>
      <c r="K482" s="148"/>
      <c r="L482" s="148"/>
      <c r="M482" s="148"/>
      <c r="N482" s="148"/>
      <c r="O482" s="148"/>
      <c r="P482" s="148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48"/>
      <c r="N483" s="148"/>
      <c r="O483" s="148"/>
      <c r="P483" s="148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48"/>
      <c r="N484" s="148"/>
      <c r="O484" s="148"/>
      <c r="P484" s="148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62</v>
      </c>
      <c r="I485" s="148"/>
      <c r="J485" s="148"/>
      <c r="K485" s="148"/>
      <c r="L485" s="148"/>
      <c r="M485" s="148"/>
      <c r="N485" s="148"/>
      <c r="O485" s="148"/>
      <c r="P485" s="148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3053190</v>
      </c>
      <c r="I486" s="148"/>
      <c r="J486" s="148"/>
      <c r="K486" s="148"/>
      <c r="L486" s="148"/>
      <c r="M486" s="148"/>
      <c r="N486" s="148"/>
      <c r="O486" s="148"/>
      <c r="P486" s="148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48"/>
      <c r="N487" s="148"/>
      <c r="O487" s="148"/>
      <c r="P487" s="148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48"/>
      <c r="N488" s="148"/>
      <c r="O488" s="148"/>
      <c r="P488" s="148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68"/>
      <c r="N491" s="168"/>
      <c r="O491" s="168"/>
      <c r="P491" s="168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496</v>
      </c>
      <c r="I492" s="148"/>
      <c r="J492" s="148"/>
      <c r="K492" s="148"/>
      <c r="L492" s="148"/>
      <c r="M492" s="148"/>
      <c r="N492" s="148"/>
      <c r="O492" s="148"/>
      <c r="P492" s="148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68"/>
      <c r="N493" s="168"/>
      <c r="O493" s="168"/>
      <c r="P493" s="168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13029765</v>
      </c>
      <c r="I494" s="150"/>
      <c r="J494" s="150"/>
      <c r="K494" s="150"/>
      <c r="L494" s="150"/>
      <c r="M494" s="150"/>
      <c r="N494" s="150"/>
      <c r="O494" s="150"/>
      <c r="P494" s="150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55"/>
      <c r="N495" s="155"/>
      <c r="O495" s="155"/>
      <c r="P495" s="155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55"/>
      <c r="N496" s="155"/>
      <c r="O496" s="155"/>
      <c r="P496" s="155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55"/>
      <c r="N497" s="155"/>
      <c r="O497" s="155"/>
      <c r="P497" s="155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55"/>
      <c r="N498" s="155"/>
      <c r="O498" s="155"/>
      <c r="P498" s="155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53"/>
      <c r="N499" s="153"/>
      <c r="O499" s="153"/>
      <c r="P499" s="153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53"/>
      <c r="N500" s="153"/>
      <c r="O500" s="153"/>
      <c r="P500" s="153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53"/>
      <c r="N501" s="153"/>
      <c r="O501" s="153"/>
      <c r="P501" s="153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53"/>
      <c r="N502" s="153"/>
      <c r="O502" s="153"/>
      <c r="P502" s="153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53"/>
      <c r="N503" s="153"/>
      <c r="O503" s="153"/>
      <c r="P503" s="153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53"/>
      <c r="N504" s="153"/>
      <c r="O504" s="153"/>
      <c r="P504" s="153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396</v>
      </c>
      <c r="I505" s="148"/>
      <c r="J505" s="148"/>
      <c r="K505" s="148"/>
      <c r="L505" s="148"/>
      <c r="M505" s="148"/>
      <c r="N505" s="148"/>
      <c r="O505" s="148"/>
      <c r="P505" s="148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11885400</v>
      </c>
      <c r="I506" s="148"/>
      <c r="J506" s="148"/>
      <c r="K506" s="148"/>
      <c r="L506" s="148"/>
      <c r="M506" s="148"/>
      <c r="N506" s="148"/>
      <c r="O506" s="148"/>
      <c r="P506" s="148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100</v>
      </c>
      <c r="I507" s="148"/>
      <c r="J507" s="148"/>
      <c r="K507" s="148"/>
      <c r="L507" s="148"/>
      <c r="M507" s="148"/>
      <c r="N507" s="148"/>
      <c r="O507" s="148"/>
      <c r="P507" s="148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1144365</v>
      </c>
      <c r="I508" s="148"/>
      <c r="J508" s="148"/>
      <c r="K508" s="148"/>
      <c r="L508" s="148"/>
      <c r="M508" s="148"/>
      <c r="N508" s="148"/>
      <c r="O508" s="148"/>
      <c r="P508" s="148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48"/>
      <c r="N509" s="148"/>
      <c r="O509" s="148"/>
      <c r="P509" s="148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48"/>
      <c r="N510" s="148"/>
      <c r="O510" s="148"/>
      <c r="P510" s="148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48"/>
      <c r="N511" s="148"/>
      <c r="O511" s="148"/>
      <c r="P511" s="148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48"/>
      <c r="N512" s="148"/>
      <c r="O512" s="148"/>
      <c r="P512" s="148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48"/>
      <c r="N513" s="148"/>
      <c r="O513" s="148"/>
      <c r="P513" s="148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48"/>
      <c r="N514" s="148"/>
      <c r="O514" s="148"/>
      <c r="P514" s="148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68"/>
      <c r="N517" s="168"/>
      <c r="O517" s="168"/>
      <c r="P517" s="168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233</v>
      </c>
      <c r="I518" s="148"/>
      <c r="J518" s="148"/>
      <c r="K518" s="148"/>
      <c r="L518" s="148"/>
      <c r="M518" s="148"/>
      <c r="N518" s="148"/>
      <c r="O518" s="148"/>
      <c r="P518" s="148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68"/>
      <c r="N519" s="168"/>
      <c r="O519" s="168"/>
      <c r="P519" s="168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4075725</v>
      </c>
      <c r="I520" s="150"/>
      <c r="J520" s="150"/>
      <c r="K520" s="150"/>
      <c r="L520" s="150"/>
      <c r="M520" s="150"/>
      <c r="N520" s="150"/>
      <c r="O520" s="150"/>
      <c r="P520" s="150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55"/>
      <c r="N521" s="155"/>
      <c r="O521" s="155"/>
      <c r="P521" s="155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55"/>
      <c r="N522" s="155"/>
      <c r="O522" s="155"/>
      <c r="P522" s="155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55"/>
      <c r="N523" s="155"/>
      <c r="O523" s="155"/>
      <c r="P523" s="155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55"/>
      <c r="N524" s="155"/>
      <c r="O524" s="155"/>
      <c r="P524" s="155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53"/>
      <c r="N525" s="153"/>
      <c r="O525" s="153"/>
      <c r="P525" s="153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53"/>
      <c r="N526" s="153"/>
      <c r="O526" s="153"/>
      <c r="P526" s="153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53"/>
      <c r="N527" s="153"/>
      <c r="O527" s="153"/>
      <c r="P527" s="153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53"/>
      <c r="N528" s="153"/>
      <c r="O528" s="153"/>
      <c r="P528" s="153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53"/>
      <c r="N529" s="153"/>
      <c r="O529" s="153"/>
      <c r="P529" s="153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53"/>
      <c r="N530" s="153"/>
      <c r="O530" s="153"/>
      <c r="P530" s="153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186</v>
      </c>
      <c r="I531" s="148"/>
      <c r="J531" s="148"/>
      <c r="K531" s="148"/>
      <c r="L531" s="148"/>
      <c r="M531" s="148"/>
      <c r="N531" s="148"/>
      <c r="O531" s="148"/>
      <c r="P531" s="148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3720000</v>
      </c>
      <c r="I532" s="148"/>
      <c r="J532" s="148"/>
      <c r="K532" s="148"/>
      <c r="L532" s="148"/>
      <c r="M532" s="148"/>
      <c r="N532" s="148"/>
      <c r="O532" s="148"/>
      <c r="P532" s="148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47</v>
      </c>
      <c r="I533" s="148"/>
      <c r="J533" s="148"/>
      <c r="K533" s="148"/>
      <c r="L533" s="148"/>
      <c r="M533" s="148"/>
      <c r="N533" s="148"/>
      <c r="O533" s="148"/>
      <c r="P533" s="148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355725</v>
      </c>
      <c r="I534" s="148"/>
      <c r="J534" s="148"/>
      <c r="K534" s="148"/>
      <c r="L534" s="148"/>
      <c r="M534" s="148"/>
      <c r="N534" s="148"/>
      <c r="O534" s="148"/>
      <c r="P534" s="148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48"/>
      <c r="N535" s="148"/>
      <c r="O535" s="148"/>
      <c r="P535" s="148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48"/>
      <c r="N536" s="148"/>
      <c r="O536" s="148"/>
      <c r="P536" s="148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48"/>
      <c r="N537" s="148"/>
      <c r="O537" s="148"/>
      <c r="P537" s="148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48"/>
      <c r="N538" s="148"/>
      <c r="O538" s="148"/>
      <c r="P538" s="148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48"/>
      <c r="N539" s="148"/>
      <c r="O539" s="148"/>
      <c r="P539" s="148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48"/>
      <c r="N540" s="148"/>
      <c r="O540" s="148"/>
      <c r="P540" s="148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P545" si="13">SUM(H554,H588,H629,H663,H703,H737)</f>
        <v>4690920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78">
        <f t="shared" si="13"/>
        <v>0</v>
      </c>
      <c r="N545" s="178">
        <f t="shared" si="13"/>
        <v>0</v>
      </c>
      <c r="O545" s="178">
        <f t="shared" si="13"/>
        <v>0</v>
      </c>
      <c r="P545" s="178">
        <f t="shared" si="13"/>
        <v>0</v>
      </c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P546" si="14">SUM(H553,H587,H628,H662,H702,H735)</f>
        <v>0</v>
      </c>
      <c r="I546" s="180">
        <f t="shared" si="14"/>
        <v>186000</v>
      </c>
      <c r="J546" s="180">
        <f t="shared" si="14"/>
        <v>204000</v>
      </c>
      <c r="K546" s="180">
        <f t="shared" si="14"/>
        <v>90000</v>
      </c>
      <c r="L546" s="180">
        <f t="shared" si="14"/>
        <v>66000</v>
      </c>
      <c r="M546" s="180">
        <f t="shared" si="14"/>
        <v>476000</v>
      </c>
      <c r="N546" s="180">
        <f t="shared" si="14"/>
        <v>48000</v>
      </c>
      <c r="O546" s="180">
        <f t="shared" si="14"/>
        <v>646638</v>
      </c>
      <c r="P546" s="180">
        <f t="shared" si="14"/>
        <v>695600</v>
      </c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P549" si="15">SUM(H571,H605,H624,H646,H679,H698,H720,H754,H774)</f>
        <v>31500</v>
      </c>
      <c r="I549" s="178">
        <f t="shared" si="15"/>
        <v>34650</v>
      </c>
      <c r="J549" s="178">
        <f t="shared" si="15"/>
        <v>38115</v>
      </c>
      <c r="K549" s="178">
        <f t="shared" si="15"/>
        <v>190726.5</v>
      </c>
      <c r="L549" s="178">
        <f t="shared" si="15"/>
        <v>151719.15</v>
      </c>
      <c r="M549" s="178">
        <f t="shared" si="15"/>
        <v>241771.065</v>
      </c>
      <c r="N549" s="178">
        <f t="shared" si="15"/>
        <v>193084.1715</v>
      </c>
      <c r="O549" s="178">
        <f t="shared" si="15"/>
        <v>917654.5887</v>
      </c>
      <c r="P549" s="178">
        <f t="shared" si="15"/>
        <v>459347.0475</v>
      </c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81"/>
      <c r="M550" s="18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P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70">
        <f t="shared" si="16"/>
        <v>0</v>
      </c>
      <c r="N553" s="170">
        <f t="shared" si="16"/>
        <v>0</v>
      </c>
      <c r="O553" s="170">
        <f t="shared" si="16"/>
        <v>0</v>
      </c>
      <c r="P553" s="170">
        <f t="shared" si="16"/>
        <v>0</v>
      </c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P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84" t="str">
        <f t="shared" si="17"/>
        <v/>
      </c>
      <c r="N554" s="184" t="str">
        <f t="shared" si="17"/>
        <v/>
      </c>
      <c r="O554" s="184" t="str">
        <f t="shared" si="17"/>
        <v/>
      </c>
      <c r="P554" s="184" t="str">
        <f t="shared" si="17"/>
        <v/>
      </c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P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84">
        <f t="shared" si="18"/>
        <v>0</v>
      </c>
      <c r="N555" s="184">
        <f t="shared" si="18"/>
        <v>0</v>
      </c>
      <c r="O555" s="184">
        <f t="shared" si="18"/>
        <v>0</v>
      </c>
      <c r="P555" s="184">
        <f t="shared" si="18"/>
        <v>0</v>
      </c>
      <c r="Q555" s="1"/>
      <c r="R555" s="1"/>
      <c r="S555" s="1"/>
    </row>
    <row r="556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86"/>
      <c r="N556" s="186"/>
      <c r="O556" s="186"/>
      <c r="P556" s="186"/>
      <c r="Q556" s="1"/>
      <c r="R556" s="1"/>
      <c r="S556" s="1"/>
    </row>
    <row r="557" outlineLevel="1">
      <c r="A557" s="1"/>
      <c r="B557" s="1"/>
      <c r="C557" s="1"/>
      <c r="D557" s="1"/>
      <c r="E557" s="127"/>
      <c r="F557" s="13"/>
      <c r="G557" s="185"/>
      <c r="H557" s="186">
        <f t="shared" ref="H557:P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86">
        <f t="shared" si="19"/>
        <v>1</v>
      </c>
      <c r="N557" s="186">
        <f t="shared" si="19"/>
        <v>0</v>
      </c>
      <c r="O557" s="186">
        <f t="shared" si="19"/>
        <v>1</v>
      </c>
      <c r="P557" s="186">
        <f t="shared" si="19"/>
        <v>0</v>
      </c>
      <c r="Q557" s="1"/>
      <c r="R557" s="1"/>
      <c r="S557" s="1"/>
    </row>
    <row r="558" outlineLevel="1">
      <c r="A558" s="1"/>
      <c r="B558" s="1"/>
      <c r="C558" s="1"/>
      <c r="D558" s="1"/>
      <c r="E558" s="127"/>
      <c r="F558" s="13"/>
      <c r="G558" s="185"/>
      <c r="H558" s="186">
        <f t="shared" ref="H558:P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86">
        <f t="shared" si="20"/>
        <v>0</v>
      </c>
      <c r="N558" s="186">
        <f t="shared" si="20"/>
        <v>1</v>
      </c>
      <c r="O558" s="186">
        <f t="shared" si="20"/>
        <v>0</v>
      </c>
      <c r="P558" s="186">
        <f t="shared" si="20"/>
        <v>1</v>
      </c>
      <c r="Q558" s="1"/>
      <c r="R558" s="1"/>
      <c r="S558" s="1"/>
    </row>
    <row r="559" outlineLevel="1">
      <c r="A559" s="1"/>
      <c r="B559" s="1"/>
      <c r="C559" s="1"/>
      <c r="D559" s="1"/>
      <c r="E559" s="127"/>
      <c r="F559" s="13"/>
      <c r="G559" s="185"/>
      <c r="H559" s="186">
        <f t="shared" ref="H559:P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86">
        <f t="shared" si="21"/>
        <v>1</v>
      </c>
      <c r="N559" s="186">
        <f t="shared" si="21"/>
        <v>0</v>
      </c>
      <c r="O559" s="186">
        <f t="shared" si="21"/>
        <v>1</v>
      </c>
      <c r="P559" s="186">
        <f t="shared" si="21"/>
        <v>0</v>
      </c>
      <c r="Q559" s="1"/>
      <c r="R559" s="1"/>
      <c r="S559" s="1"/>
    </row>
    <row r="560" outlineLevel="1">
      <c r="A560" s="1"/>
      <c r="B560" s="1"/>
      <c r="C560" s="1"/>
      <c r="D560" s="1"/>
      <c r="E560" s="127"/>
      <c r="F560" s="13"/>
      <c r="G560" s="185"/>
      <c r="H560" s="186">
        <f t="shared" ref="H560:P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86">
        <f t="shared" si="22"/>
        <v>0</v>
      </c>
      <c r="N560" s="186">
        <f t="shared" si="22"/>
        <v>1</v>
      </c>
      <c r="O560" s="186">
        <f t="shared" si="22"/>
        <v>0</v>
      </c>
      <c r="P560" s="186">
        <f t="shared" si="22"/>
        <v>1</v>
      </c>
      <c r="Q560" s="1"/>
      <c r="R560" s="1"/>
      <c r="S560" s="1"/>
    </row>
    <row r="561" outlineLevel="1">
      <c r="A561" s="1"/>
      <c r="B561" s="1"/>
      <c r="C561" s="1"/>
      <c r="D561" s="1"/>
      <c r="E561" s="127"/>
      <c r="F561" s="13"/>
      <c r="G561" s="185"/>
      <c r="H561" s="186">
        <f t="shared" ref="H561:P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86">
        <f t="shared" si="23"/>
        <v>1</v>
      </c>
      <c r="N561" s="186">
        <f t="shared" si="23"/>
        <v>0</v>
      </c>
      <c r="O561" s="186">
        <f t="shared" si="23"/>
        <v>1</v>
      </c>
      <c r="P561" s="186">
        <f t="shared" si="23"/>
        <v>0</v>
      </c>
      <c r="Q561" s="1"/>
      <c r="R561" s="1"/>
      <c r="S561" s="1"/>
    </row>
    <row r="562" outlineLevel="1">
      <c r="A562" s="1"/>
      <c r="B562" s="1"/>
      <c r="C562" s="1"/>
      <c r="D562" s="1"/>
      <c r="E562" s="127"/>
      <c r="F562" s="13"/>
      <c r="G562" s="185"/>
      <c r="H562" s="186">
        <f t="shared" ref="H562:P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86">
        <f t="shared" si="24"/>
        <v>2</v>
      </c>
      <c r="N562" s="186">
        <f t="shared" si="24"/>
        <v>1</v>
      </c>
      <c r="O562" s="186">
        <f t="shared" si="24"/>
        <v>0</v>
      </c>
      <c r="P562" s="186">
        <f t="shared" si="24"/>
        <v>1</v>
      </c>
      <c r="Q562" s="1"/>
      <c r="R562" s="1"/>
      <c r="S562" s="1"/>
    </row>
    <row r="563" outlineLevel="1">
      <c r="A563" s="1"/>
      <c r="B563" s="1"/>
      <c r="C563" s="1"/>
      <c r="D563" s="1"/>
      <c r="E563" s="127"/>
      <c r="F563" s="13"/>
      <c r="G563" s="185"/>
      <c r="H563" s="186">
        <f t="shared" ref="H563:P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86">
        <f t="shared" si="25"/>
        <v>0</v>
      </c>
      <c r="N563" s="186">
        <f t="shared" si="25"/>
        <v>2</v>
      </c>
      <c r="O563" s="186">
        <f t="shared" si="25"/>
        <v>1</v>
      </c>
      <c r="P563" s="186">
        <f t="shared" si="25"/>
        <v>0</v>
      </c>
      <c r="Q563" s="1"/>
      <c r="R563" s="1"/>
      <c r="S563" s="1"/>
    </row>
    <row r="564" outlineLevel="1">
      <c r="A564" s="1"/>
      <c r="B564" s="1"/>
      <c r="C564" s="1"/>
      <c r="D564" s="1"/>
      <c r="E564" s="127"/>
      <c r="F564" s="13"/>
      <c r="G564" s="185"/>
      <c r="H564" s="186">
        <f t="shared" ref="H564:P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86">
        <f t="shared" si="26"/>
        <v>0</v>
      </c>
      <c r="N564" s="186">
        <f t="shared" si="26"/>
        <v>0</v>
      </c>
      <c r="O564" s="186">
        <f t="shared" si="26"/>
        <v>2</v>
      </c>
      <c r="P564" s="186">
        <f t="shared" si="26"/>
        <v>1</v>
      </c>
      <c r="Q564" s="1"/>
      <c r="R564" s="1"/>
      <c r="S564" s="1"/>
    </row>
    <row r="565" outlineLevel="1">
      <c r="A565" s="1"/>
      <c r="B565" s="1"/>
      <c r="C565" s="1"/>
      <c r="D565" s="1"/>
      <c r="E565" s="127"/>
      <c r="F565" s="13"/>
      <c r="G565" s="185"/>
      <c r="H565" s="186">
        <f t="shared" ref="H565:P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86">
        <f t="shared" si="27"/>
        <v>0</v>
      </c>
      <c r="N565" s="186">
        <f t="shared" si="27"/>
        <v>0</v>
      </c>
      <c r="O565" s="186">
        <f t="shared" si="27"/>
        <v>0</v>
      </c>
      <c r="P565" s="186">
        <f t="shared" si="27"/>
        <v>2</v>
      </c>
      <c r="Q565" s="1"/>
      <c r="R565" s="1"/>
      <c r="S565" s="1"/>
    </row>
    <row r="566" outlineLevel="1">
      <c r="A566" s="1"/>
      <c r="B566" s="1"/>
      <c r="C566" s="1"/>
      <c r="D566" s="1"/>
      <c r="E566" s="127"/>
      <c r="F566" s="13"/>
      <c r="G566" s="185"/>
      <c r="H566" s="186">
        <f t="shared" ref="H566:P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86">
        <f t="shared" si="28"/>
        <v>0</v>
      </c>
      <c r="N566" s="186">
        <f t="shared" si="28"/>
        <v>0</v>
      </c>
      <c r="O566" s="186">
        <f t="shared" si="28"/>
        <v>0</v>
      </c>
      <c r="P566" s="186">
        <f t="shared" si="28"/>
        <v>0</v>
      </c>
      <c r="Q566" s="1"/>
      <c r="R566" s="1"/>
      <c r="S566" s="1"/>
    </row>
    <row r="567" outlineLevel="1">
      <c r="A567" s="1"/>
      <c r="B567" s="1"/>
      <c r="C567" s="1"/>
      <c r="D567" s="1"/>
      <c r="E567" s="127"/>
      <c r="F567" s="13"/>
      <c r="G567" s="185"/>
      <c r="H567" s="186">
        <f t="shared" ref="H567:P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86">
        <f t="shared" si="29"/>
        <v>0</v>
      </c>
      <c r="N567" s="186">
        <f t="shared" si="29"/>
        <v>0</v>
      </c>
      <c r="O567" s="186">
        <f t="shared" si="29"/>
        <v>0</v>
      </c>
      <c r="P567" s="186">
        <f t="shared" si="29"/>
        <v>0</v>
      </c>
      <c r="Q567" s="1"/>
      <c r="R567" s="1"/>
      <c r="S567" s="1"/>
    </row>
    <row r="568" outlineLevel="1">
      <c r="A568" s="1"/>
      <c r="B568" s="1"/>
      <c r="C568" s="1"/>
      <c r="D568" s="1"/>
      <c r="E568" s="127"/>
      <c r="F568" s="13"/>
      <c r="G568" s="185"/>
      <c r="H568" s="186">
        <f t="shared" ref="H568:P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86">
        <f t="shared" si="30"/>
        <v>0</v>
      </c>
      <c r="N568" s="186">
        <f t="shared" si="30"/>
        <v>0</v>
      </c>
      <c r="O568" s="186">
        <f t="shared" si="30"/>
        <v>0</v>
      </c>
      <c r="P568" s="186">
        <f t="shared" si="30"/>
        <v>0</v>
      </c>
      <c r="Q568" s="1"/>
      <c r="R568" s="1"/>
      <c r="S568" s="1"/>
    </row>
    <row r="569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86"/>
      <c r="N569" s="186"/>
      <c r="O569" s="186"/>
      <c r="P569" s="186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55">
        <v>0.8</v>
      </c>
      <c r="N570" s="155">
        <v>0.8</v>
      </c>
      <c r="O570" s="155">
        <v>0.8</v>
      </c>
      <c r="P570" s="155">
        <v>0.8</v>
      </c>
      <c r="Q570" s="1"/>
      <c r="R570" s="1"/>
      <c r="S570" s="1"/>
    </row>
    <row r="57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P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84">
        <f t="shared" si="31"/>
        <v>0</v>
      </c>
      <c r="N571" s="184">
        <f t="shared" si="31"/>
        <v>0</v>
      </c>
      <c r="O571" s="184">
        <f t="shared" si="31"/>
        <v>0</v>
      </c>
      <c r="P571" s="184">
        <f t="shared" si="31"/>
        <v>0</v>
      </c>
      <c r="Q571" s="1"/>
      <c r="R571" s="1"/>
      <c r="S571" s="1"/>
    </row>
    <row r="572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P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84">
        <f t="shared" si="32"/>
        <v>0</v>
      </c>
      <c r="N572" s="184">
        <f t="shared" si="32"/>
        <v>0</v>
      </c>
      <c r="O572" s="184">
        <f t="shared" si="32"/>
        <v>0</v>
      </c>
      <c r="P572" s="184">
        <f t="shared" si="32"/>
        <v>0</v>
      </c>
      <c r="Q572" s="1"/>
      <c r="R572" s="1"/>
      <c r="S572" s="1"/>
    </row>
    <row r="573" outlineLevel="1">
      <c r="A573" s="1"/>
      <c r="B573" s="1"/>
      <c r="C573" s="1"/>
      <c r="D573" s="1"/>
      <c r="E573" s="127"/>
      <c r="F573" s="13"/>
      <c r="G573" s="185"/>
      <c r="H573" s="186">
        <f t="shared" ref="H573:P573" si="33">IF(COLUMN() &lt; (COLUMN($H$573) + (ROW()-ROW($H$573))), 0, IF(COLUMN() = (COLUMN($H$573) + (ROW()-ROW($H$573))), INDEX($H$555:$P$555,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86">
        <f t="shared" si="33"/>
        <v>0</v>
      </c>
      <c r="N573" s="186">
        <f t="shared" si="33"/>
        <v>0</v>
      </c>
      <c r="O573" s="186">
        <f t="shared" si="33"/>
        <v>0</v>
      </c>
      <c r="P573" s="186">
        <f t="shared" si="33"/>
        <v>0</v>
      </c>
      <c r="Q573" s="1"/>
      <c r="R573" s="1"/>
      <c r="S573" s="1"/>
    </row>
    <row r="574" outlineLevel="1">
      <c r="A574" s="1"/>
      <c r="B574" s="1"/>
      <c r="C574" s="1"/>
      <c r="D574" s="1"/>
      <c r="E574" s="127"/>
      <c r="F574" s="13"/>
      <c r="G574" s="185"/>
      <c r="H574" s="186">
        <f t="shared" ref="H574:P574" si="34">IF(COLUMN() &lt; (COLUMN($H$573) + (ROW()-ROW($H$573))), 0, IF(COLUMN() = (COLUMN($H$573) + (ROW()-ROW($H$573))), INDEX($H$555:$P$555,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86">
        <f t="shared" si="34"/>
        <v>0</v>
      </c>
      <c r="N574" s="186">
        <f t="shared" si="34"/>
        <v>0</v>
      </c>
      <c r="O574" s="186">
        <f t="shared" si="34"/>
        <v>0</v>
      </c>
      <c r="P574" s="186">
        <f t="shared" si="34"/>
        <v>0</v>
      </c>
      <c r="Q574" s="1"/>
      <c r="R574" s="1"/>
      <c r="S574" s="1"/>
    </row>
    <row r="575" outlineLevel="1">
      <c r="A575" s="1"/>
      <c r="B575" s="1"/>
      <c r="C575" s="1"/>
      <c r="D575" s="1"/>
      <c r="E575" s="127"/>
      <c r="F575" s="13"/>
      <c r="G575" s="185"/>
      <c r="H575" s="186">
        <f t="shared" ref="H575:P575" si="35">IF(COLUMN() &lt; (COLUMN($H$573) + (ROW()-ROW($H$573))), 0, IF(COLUMN() = (COLUMN($H$573) + (ROW()-ROW($H$573))), INDEX($H$555:$P$555,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86">
        <f t="shared" si="35"/>
        <v>0</v>
      </c>
      <c r="N575" s="186">
        <f t="shared" si="35"/>
        <v>0</v>
      </c>
      <c r="O575" s="186">
        <f t="shared" si="35"/>
        <v>0</v>
      </c>
      <c r="P575" s="186">
        <f t="shared" si="35"/>
        <v>0</v>
      </c>
      <c r="Q575" s="1"/>
      <c r="R575" s="1"/>
      <c r="S575" s="1"/>
    </row>
    <row r="576" outlineLevel="1">
      <c r="A576" s="1"/>
      <c r="B576" s="1"/>
      <c r="C576" s="1"/>
      <c r="D576" s="1"/>
      <c r="E576" s="127"/>
      <c r="F576" s="13"/>
      <c r="G576" s="185"/>
      <c r="H576" s="186">
        <f t="shared" ref="H576:P576" si="36">IF(COLUMN() &lt; (COLUMN($H$573) + (ROW()-ROW($H$573))), 0, IF(COLUMN() = (COLUMN($H$573) + (ROW()-ROW($H$573))), INDEX($H$555:$P$555,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86">
        <f t="shared" si="36"/>
        <v>0</v>
      </c>
      <c r="N576" s="186">
        <f t="shared" si="36"/>
        <v>0</v>
      </c>
      <c r="O576" s="186">
        <f t="shared" si="36"/>
        <v>0</v>
      </c>
      <c r="P576" s="186">
        <f t="shared" si="36"/>
        <v>0</v>
      </c>
      <c r="Q576" s="1"/>
      <c r="R576" s="1"/>
      <c r="S576" s="1"/>
    </row>
    <row r="577" outlineLevel="1">
      <c r="A577" s="1"/>
      <c r="B577" s="1"/>
      <c r="C577" s="1"/>
      <c r="D577" s="1"/>
      <c r="E577" s="127"/>
      <c r="F577" s="13"/>
      <c r="G577" s="185"/>
      <c r="H577" s="186">
        <f t="shared" ref="H577:P577" si="37">IF(COLUMN() &lt; (COLUMN($H$573) + (ROW()-ROW($H$573))), 0, IF(COLUMN() = (COLUMN($H$573) + (ROW()-ROW($H$573))), INDEX($H$555:$P$555,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86">
        <f t="shared" si="37"/>
        <v>0</v>
      </c>
      <c r="N577" s="186">
        <f t="shared" si="37"/>
        <v>0</v>
      </c>
      <c r="O577" s="186">
        <f t="shared" si="37"/>
        <v>0</v>
      </c>
      <c r="P577" s="186">
        <f t="shared" si="37"/>
        <v>0</v>
      </c>
      <c r="Q577" s="1"/>
      <c r="R577" s="1"/>
      <c r="S577" s="1"/>
    </row>
    <row r="578" outlineLevel="1">
      <c r="A578" s="1"/>
      <c r="B578" s="1"/>
      <c r="C578" s="1"/>
      <c r="D578" s="1"/>
      <c r="E578" s="127"/>
      <c r="F578" s="13"/>
      <c r="G578" s="185"/>
      <c r="H578" s="186">
        <f t="shared" ref="H578:P578" si="38">IF(COLUMN() &lt; (COLUMN($H$573) + (ROW()-ROW($H$573))), 0, IF(COLUMN() = (COLUMN($H$573) + (ROW()-ROW($H$573))), INDEX($H$555:$P$555,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86">
        <f t="shared" si="38"/>
        <v>0</v>
      </c>
      <c r="N578" s="186">
        <f t="shared" si="38"/>
        <v>0</v>
      </c>
      <c r="O578" s="186">
        <f t="shared" si="38"/>
        <v>0</v>
      </c>
      <c r="P578" s="186">
        <f t="shared" si="38"/>
        <v>0</v>
      </c>
      <c r="Q578" s="1"/>
      <c r="R578" s="1"/>
      <c r="S578" s="1"/>
    </row>
    <row r="579" outlineLevel="1">
      <c r="A579" s="1"/>
      <c r="B579" s="1"/>
      <c r="C579" s="1"/>
      <c r="D579" s="1"/>
      <c r="E579" s="127"/>
      <c r="F579" s="13"/>
      <c r="G579" s="185"/>
      <c r="H579" s="186">
        <f t="shared" ref="H579:P579" si="39">IF(COLUMN() &lt; (COLUMN($H$573) + (ROW()-ROW($H$573))), 0, IF(COLUMN() = (COLUMN($H$573) + (ROW()-ROW($H$573))), INDEX($H$555:$P$555,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86">
        <f t="shared" si="39"/>
        <v>0</v>
      </c>
      <c r="N579" s="186">
        <f t="shared" si="39"/>
        <v>0</v>
      </c>
      <c r="O579" s="186">
        <f t="shared" si="39"/>
        <v>0</v>
      </c>
      <c r="P579" s="186">
        <f t="shared" si="39"/>
        <v>0</v>
      </c>
      <c r="Q579" s="1"/>
      <c r="R579" s="1"/>
      <c r="S579" s="1"/>
    </row>
    <row r="580" outlineLevel="1">
      <c r="A580" s="1"/>
      <c r="B580" s="1"/>
      <c r="C580" s="1"/>
      <c r="D580" s="1"/>
      <c r="E580" s="127"/>
      <c r="F580" s="13"/>
      <c r="G580" s="185"/>
      <c r="H580" s="186">
        <f t="shared" ref="H580:P580" si="40">IF(COLUMN() &lt; (COLUMN($H$573) + (ROW()-ROW($H$573))), 0, IF(COLUMN() = (COLUMN($H$573) + (ROW()-ROW($H$573))), INDEX($H$555:$P$555,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86">
        <f t="shared" si="40"/>
        <v>0</v>
      </c>
      <c r="N580" s="186">
        <f t="shared" si="40"/>
        <v>0</v>
      </c>
      <c r="O580" s="186">
        <f t="shared" si="40"/>
        <v>0</v>
      </c>
      <c r="P580" s="186">
        <f t="shared" si="40"/>
        <v>0</v>
      </c>
      <c r="Q580" s="1"/>
      <c r="R580" s="1"/>
      <c r="S580" s="1"/>
    </row>
    <row r="581" outlineLevel="1">
      <c r="A581" s="1"/>
      <c r="B581" s="1"/>
      <c r="C581" s="1"/>
      <c r="D581" s="1"/>
      <c r="E581" s="127"/>
      <c r="F581" s="13"/>
      <c r="G581" s="185"/>
      <c r="H581" s="186">
        <f t="shared" ref="H581:P581" si="41">IF(COLUMN() &lt; (COLUMN($H$573) + (ROW()-ROW($H$573))), 0, IF(COLUMN() = (COLUMN($H$573) + (ROW()-ROW($H$573))), INDEX($H$555:$P$555,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86">
        <f t="shared" si="41"/>
        <v>0</v>
      </c>
      <c r="N581" s="186">
        <f t="shared" si="41"/>
        <v>0</v>
      </c>
      <c r="O581" s="186">
        <f t="shared" si="41"/>
        <v>0</v>
      </c>
      <c r="P581" s="186">
        <f t="shared" si="41"/>
        <v>0</v>
      </c>
      <c r="Q581" s="1"/>
      <c r="R581" s="1"/>
      <c r="S581" s="1"/>
    </row>
    <row r="582" outlineLevel="1">
      <c r="A582" s="1"/>
      <c r="B582" s="1"/>
      <c r="C582" s="1"/>
      <c r="D582" s="1"/>
      <c r="E582" s="127"/>
      <c r="F582" s="13"/>
      <c r="G582" s="185"/>
      <c r="H582" s="186">
        <f t="shared" ref="H582:P582" si="42">IF(COLUMN() &lt; (COLUMN($H$573) + (ROW()-ROW($H$573))), 0, IF(COLUMN() = (COLUMN($H$573) + (ROW()-ROW($H$573))), INDEX($H$555:$P$555,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86">
        <f t="shared" si="42"/>
        <v>0</v>
      </c>
      <c r="N582" s="186">
        <f t="shared" si="42"/>
        <v>0</v>
      </c>
      <c r="O582" s="186">
        <f t="shared" si="42"/>
        <v>0</v>
      </c>
      <c r="P582" s="186">
        <f t="shared" si="42"/>
        <v>0</v>
      </c>
      <c r="Q582" s="1"/>
      <c r="R582" s="1"/>
      <c r="S582" s="1"/>
    </row>
    <row r="583" outlineLevel="1">
      <c r="A583" s="1"/>
      <c r="B583" s="1"/>
      <c r="C583" s="1"/>
      <c r="D583" s="1"/>
      <c r="E583" s="127"/>
      <c r="F583" s="13"/>
      <c r="G583" s="185"/>
      <c r="H583" s="186">
        <f t="shared" ref="H583:P583" si="43">IF(COLUMN() &lt; (COLUMN($H$573) + (ROW()-ROW($H$573))), 0, IF(COLUMN() = (COLUMN($H$573) + (ROW()-ROW($H$573))), INDEX($H$555:$P$555,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86">
        <f t="shared" si="43"/>
        <v>0</v>
      </c>
      <c r="N583" s="186">
        <f t="shared" si="43"/>
        <v>0</v>
      </c>
      <c r="O583" s="186">
        <f t="shared" si="43"/>
        <v>0</v>
      </c>
      <c r="P583" s="186">
        <f t="shared" si="43"/>
        <v>0</v>
      </c>
      <c r="Q583" s="1"/>
      <c r="R583" s="1"/>
      <c r="S583" s="1"/>
    </row>
    <row r="584" outlineLevel="1">
      <c r="A584" s="1"/>
      <c r="B584" s="1"/>
      <c r="C584" s="1"/>
      <c r="D584" s="1"/>
      <c r="E584" s="127"/>
      <c r="F584" s="13"/>
      <c r="G584" s="185"/>
      <c r="H584" s="186">
        <f t="shared" ref="H584:P584" si="44">IF(COLUMN() &lt; (COLUMN($H$573) + (ROW()-ROW($H$573))), 0, IF(COLUMN() = (COLUMN($H$573) + (ROW()-ROW($H$573))), INDEX($H$555:$P$555,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86">
        <f t="shared" si="44"/>
        <v>0</v>
      </c>
      <c r="N584" s="186">
        <f t="shared" si="44"/>
        <v>0</v>
      </c>
      <c r="O584" s="186">
        <f t="shared" si="44"/>
        <v>0</v>
      </c>
      <c r="P584" s="186">
        <f t="shared" si="44"/>
        <v>0</v>
      </c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55"/>
      <c r="N585" s="155"/>
      <c r="O585" s="155"/>
      <c r="P585" s="155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P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70">
        <f t="shared" si="45"/>
        <v>0</v>
      </c>
      <c r="N587" s="170">
        <f t="shared" si="45"/>
        <v>0</v>
      </c>
      <c r="O587" s="170">
        <f t="shared" si="45"/>
        <v>0</v>
      </c>
      <c r="P587" s="170">
        <f t="shared" si="45"/>
        <v>0</v>
      </c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P588" si="46">H434</f>
        <v>809100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84" t="str">
        <f t="shared" si="46"/>
        <v/>
      </c>
      <c r="N588" s="184" t="str">
        <f t="shared" si="46"/>
        <v/>
      </c>
      <c r="O588" s="184" t="str">
        <f t="shared" si="46"/>
        <v/>
      </c>
      <c r="P588" s="184" t="str">
        <f t="shared" si="46"/>
        <v/>
      </c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P589" si="47">SUM(H587:H588)</f>
        <v>809100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84">
        <f t="shared" si="47"/>
        <v>0</v>
      </c>
      <c r="N589" s="184">
        <f t="shared" si="47"/>
        <v>0</v>
      </c>
      <c r="O589" s="184">
        <f t="shared" si="47"/>
        <v>0</v>
      </c>
      <c r="P589" s="184">
        <f t="shared" si="47"/>
        <v>0</v>
      </c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86"/>
      <c r="N590" s="186"/>
      <c r="O590" s="186"/>
      <c r="P590" s="186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P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86">
        <f t="shared" si="48"/>
        <v>5</v>
      </c>
      <c r="N591" s="186">
        <f t="shared" si="48"/>
        <v>4</v>
      </c>
      <c r="O591" s="186">
        <f t="shared" si="48"/>
        <v>3</v>
      </c>
      <c r="P591" s="186">
        <f t="shared" si="48"/>
        <v>2</v>
      </c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P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86">
        <f t="shared" si="49"/>
        <v>6</v>
      </c>
      <c r="N592" s="186">
        <f t="shared" si="49"/>
        <v>5</v>
      </c>
      <c r="O592" s="186">
        <f t="shared" si="49"/>
        <v>4</v>
      </c>
      <c r="P592" s="186">
        <f t="shared" si="49"/>
        <v>3</v>
      </c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P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86">
        <f t="shared" si="50"/>
        <v>7</v>
      </c>
      <c r="N593" s="186">
        <f t="shared" si="50"/>
        <v>6</v>
      </c>
      <c r="O593" s="186">
        <f t="shared" si="50"/>
        <v>5</v>
      </c>
      <c r="P593" s="186">
        <f t="shared" si="50"/>
        <v>4</v>
      </c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P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86">
        <f t="shared" si="51"/>
        <v>8</v>
      </c>
      <c r="N594" s="186">
        <f t="shared" si="51"/>
        <v>7</v>
      </c>
      <c r="O594" s="186">
        <f t="shared" si="51"/>
        <v>6</v>
      </c>
      <c r="P594" s="186">
        <f t="shared" si="51"/>
        <v>5</v>
      </c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P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86">
        <f t="shared" si="52"/>
        <v>9</v>
      </c>
      <c r="N595" s="186">
        <f t="shared" si="52"/>
        <v>8</v>
      </c>
      <c r="O595" s="186">
        <f t="shared" si="52"/>
        <v>7</v>
      </c>
      <c r="P595" s="186">
        <f t="shared" si="52"/>
        <v>6</v>
      </c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P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86">
        <f t="shared" si="53"/>
        <v>10</v>
      </c>
      <c r="N596" s="186">
        <f t="shared" si="53"/>
        <v>9</v>
      </c>
      <c r="O596" s="186">
        <f t="shared" si="53"/>
        <v>8</v>
      </c>
      <c r="P596" s="186">
        <f t="shared" si="53"/>
        <v>7</v>
      </c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P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86">
        <f t="shared" si="54"/>
        <v>0</v>
      </c>
      <c r="N597" s="186">
        <f t="shared" si="54"/>
        <v>10</v>
      </c>
      <c r="O597" s="186">
        <f t="shared" si="54"/>
        <v>9</v>
      </c>
      <c r="P597" s="186">
        <f t="shared" si="54"/>
        <v>8</v>
      </c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P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86">
        <f t="shared" si="55"/>
        <v>0</v>
      </c>
      <c r="N598" s="186">
        <f t="shared" si="55"/>
        <v>0</v>
      </c>
      <c r="O598" s="186">
        <f t="shared" si="55"/>
        <v>10</v>
      </c>
      <c r="P598" s="186">
        <f t="shared" si="55"/>
        <v>9</v>
      </c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P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86">
        <f t="shared" si="56"/>
        <v>0</v>
      </c>
      <c r="N599" s="186">
        <f t="shared" si="56"/>
        <v>0</v>
      </c>
      <c r="O599" s="186">
        <f t="shared" si="56"/>
        <v>0</v>
      </c>
      <c r="P599" s="186">
        <f t="shared" si="56"/>
        <v>10</v>
      </c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P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86">
        <f t="shared" si="57"/>
        <v>0</v>
      </c>
      <c r="N600" s="186">
        <f t="shared" si="57"/>
        <v>0</v>
      </c>
      <c r="O600" s="186">
        <f t="shared" si="57"/>
        <v>0</v>
      </c>
      <c r="P600" s="186">
        <f t="shared" si="57"/>
        <v>0</v>
      </c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P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86">
        <f t="shared" si="58"/>
        <v>0</v>
      </c>
      <c r="N601" s="186">
        <f t="shared" si="58"/>
        <v>0</v>
      </c>
      <c r="O601" s="186">
        <f t="shared" si="58"/>
        <v>0</v>
      </c>
      <c r="P601" s="186">
        <f t="shared" si="58"/>
        <v>0</v>
      </c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P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86">
        <f t="shared" si="59"/>
        <v>0</v>
      </c>
      <c r="N602" s="186">
        <f t="shared" si="59"/>
        <v>0</v>
      </c>
      <c r="O602" s="186">
        <f t="shared" si="59"/>
        <v>0</v>
      </c>
      <c r="P602" s="186">
        <f t="shared" si="59"/>
        <v>0</v>
      </c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86"/>
      <c r="N603" s="186"/>
      <c r="O603" s="186"/>
      <c r="P603" s="186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55"/>
      <c r="N604" s="155"/>
      <c r="O604" s="155"/>
      <c r="P604" s="155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P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84">
        <f t="shared" si="60"/>
        <v>0</v>
      </c>
      <c r="N605" s="184">
        <f t="shared" si="60"/>
        <v>0</v>
      </c>
      <c r="O605" s="184">
        <f t="shared" si="60"/>
        <v>0</v>
      </c>
      <c r="P605" s="184">
        <f t="shared" si="60"/>
        <v>0</v>
      </c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P606" si="61">SUM(H607:H618)</f>
        <v>809100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84">
        <f t="shared" si="61"/>
        <v>0</v>
      </c>
      <c r="N606" s="184">
        <f t="shared" si="61"/>
        <v>0</v>
      </c>
      <c r="O606" s="184">
        <f t="shared" si="61"/>
        <v>0</v>
      </c>
      <c r="P606" s="184">
        <f t="shared" si="61"/>
        <v>0</v>
      </c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P607" si="62">IF(COLUMN() &lt; (COLUMN($H$607) + (ROW()-ROW($H$607))), 0, IF(COLUMN() = (COLUMN($H$607) + (ROW()-ROW($H$607))), INDEX($H$589:$P$589, 1, COLUMN()-COLUMN($H$589)+1), IF(H591=0, OFFSET(H607, 0, -$H$590) * $H$604, 0)))</f>
        <v>809100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86">
        <f t="shared" si="62"/>
        <v>0</v>
      </c>
      <c r="N607" s="186">
        <f t="shared" si="62"/>
        <v>0</v>
      </c>
      <c r="O607" s="186">
        <f t="shared" si="62"/>
        <v>0</v>
      </c>
      <c r="P607" s="186">
        <f t="shared" si="62"/>
        <v>0</v>
      </c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P608" si="63">IF(COLUMN() &lt; (COLUMN($H$607) + (ROW()-ROW($H$607))), 0, IF(COLUMN() = (COLUMN($H$607) + (ROW()-ROW($H$607))), INDEX($H$589:$P$589,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86">
        <f t="shared" si="63"/>
        <v>0</v>
      </c>
      <c r="N608" s="186">
        <f t="shared" si="63"/>
        <v>0</v>
      </c>
      <c r="O608" s="186">
        <f t="shared" si="63"/>
        <v>0</v>
      </c>
      <c r="P608" s="186">
        <f t="shared" si="63"/>
        <v>0</v>
      </c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P609" si="64">IF(COLUMN() &lt; (COLUMN($H$607) + (ROW()-ROW($H$607))), 0, IF(COLUMN() = (COLUMN($H$607) + (ROW()-ROW($H$607))), INDEX($H$589:$P$589,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86">
        <f t="shared" si="64"/>
        <v>0</v>
      </c>
      <c r="N609" s="186">
        <f t="shared" si="64"/>
        <v>0</v>
      </c>
      <c r="O609" s="186">
        <f t="shared" si="64"/>
        <v>0</v>
      </c>
      <c r="P609" s="186">
        <f t="shared" si="64"/>
        <v>0</v>
      </c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P610" si="65">IF(COLUMN() &lt; (COLUMN($H$607) + (ROW()-ROW($H$607))), 0, IF(COLUMN() = (COLUMN($H$607) + (ROW()-ROW($H$607))), INDEX($H$589:$P$589,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86">
        <f t="shared" si="65"/>
        <v>0</v>
      </c>
      <c r="N610" s="186">
        <f t="shared" si="65"/>
        <v>0</v>
      </c>
      <c r="O610" s="186">
        <f t="shared" si="65"/>
        <v>0</v>
      </c>
      <c r="P610" s="186">
        <f t="shared" si="65"/>
        <v>0</v>
      </c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P611" si="66">IF(COLUMN() &lt; (COLUMN($H$607) + (ROW()-ROW($H$607))), 0, IF(COLUMN() = (COLUMN($H$607) + (ROW()-ROW($H$607))), INDEX($H$589:$P$589,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86">
        <f t="shared" si="66"/>
        <v>0</v>
      </c>
      <c r="N611" s="186">
        <f t="shared" si="66"/>
        <v>0</v>
      </c>
      <c r="O611" s="186">
        <f t="shared" si="66"/>
        <v>0</v>
      </c>
      <c r="P611" s="186">
        <f t="shared" si="66"/>
        <v>0</v>
      </c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P612" si="67">IF(COLUMN() &lt; (COLUMN($H$607) + (ROW()-ROW($H$607))), 0, IF(COLUMN() = (COLUMN($H$607) + (ROW()-ROW($H$607))), INDEX($H$589:$P$589,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86">
        <f t="shared" si="67"/>
        <v>0</v>
      </c>
      <c r="N612" s="186">
        <f t="shared" si="67"/>
        <v>0</v>
      </c>
      <c r="O612" s="186">
        <f t="shared" si="67"/>
        <v>0</v>
      </c>
      <c r="P612" s="186">
        <f t="shared" si="67"/>
        <v>0</v>
      </c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P613" si="68">IF(COLUMN() &lt; (COLUMN($H$607) + (ROW()-ROW($H$607))), 0, IF(COLUMN() = (COLUMN($H$607) + (ROW()-ROW($H$607))), INDEX($H$589:$P$589,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86">
        <f t="shared" si="68"/>
        <v>0</v>
      </c>
      <c r="N613" s="186">
        <f t="shared" si="68"/>
        <v>0</v>
      </c>
      <c r="O613" s="186">
        <f t="shared" si="68"/>
        <v>0</v>
      </c>
      <c r="P613" s="186">
        <f t="shared" si="68"/>
        <v>0</v>
      </c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P614" si="69">IF(COLUMN() &lt; (COLUMN($H$607) + (ROW()-ROW($H$607))), 0, IF(COLUMN() = (COLUMN($H$607) + (ROW()-ROW($H$607))), INDEX($H$589:$P$589,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86">
        <f t="shared" si="69"/>
        <v>0</v>
      </c>
      <c r="N614" s="186">
        <f t="shared" si="69"/>
        <v>0</v>
      </c>
      <c r="O614" s="186">
        <f t="shared" si="69"/>
        <v>0</v>
      </c>
      <c r="P614" s="186">
        <f t="shared" si="69"/>
        <v>0</v>
      </c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P615" si="70">IF(COLUMN() &lt; (COLUMN($H$607) + (ROW()-ROW($H$607))), 0, IF(COLUMN() = (COLUMN($H$607) + (ROW()-ROW($H$607))), INDEX($H$589:$P$589,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86">
        <f t="shared" si="70"/>
        <v>0</v>
      </c>
      <c r="N615" s="186">
        <f t="shared" si="70"/>
        <v>0</v>
      </c>
      <c r="O615" s="186">
        <f t="shared" si="70"/>
        <v>0</v>
      </c>
      <c r="P615" s="186">
        <f t="shared" si="70"/>
        <v>0</v>
      </c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P616" si="71">IF(COLUMN() &lt; (COLUMN($H$607) + (ROW()-ROW($H$607))), 0, IF(COLUMN() = (COLUMN($H$607) + (ROW()-ROW($H$607))), INDEX($H$589:$P$589,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86">
        <f t="shared" si="71"/>
        <v>0</v>
      </c>
      <c r="N616" s="186">
        <f t="shared" si="71"/>
        <v>0</v>
      </c>
      <c r="O616" s="186">
        <f t="shared" si="71"/>
        <v>0</v>
      </c>
      <c r="P616" s="186">
        <f t="shared" si="71"/>
        <v>0</v>
      </c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P617" si="72">IF(COLUMN() &lt; (COLUMN($H$607) + (ROW()-ROW($H$607))), 0, IF(COLUMN() = (COLUMN($H$607) + (ROW()-ROW($H$607))), INDEX($H$589:$P$589,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86">
        <f t="shared" si="72"/>
        <v>0</v>
      </c>
      <c r="N617" s="186">
        <f t="shared" si="72"/>
        <v>0</v>
      </c>
      <c r="O617" s="186">
        <f t="shared" si="72"/>
        <v>0</v>
      </c>
      <c r="P617" s="186">
        <f t="shared" si="72"/>
        <v>0</v>
      </c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P618" si="73">IF(COLUMN() &lt; (COLUMN($H$607) + (ROW()-ROW($H$607))), 0, IF(COLUMN() = (COLUMN($H$607) + (ROW()-ROW($H$607))), INDEX($H$589:$P$589,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86">
        <f t="shared" si="73"/>
        <v>0</v>
      </c>
      <c r="N618" s="186">
        <f t="shared" si="73"/>
        <v>0</v>
      </c>
      <c r="O618" s="186">
        <f t="shared" si="73"/>
        <v>0</v>
      </c>
      <c r="P618" s="186">
        <f t="shared" si="73"/>
        <v>0</v>
      </c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P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86">
        <f t="shared" si="74"/>
        <v>3</v>
      </c>
      <c r="N621" s="186">
        <f t="shared" si="74"/>
        <v>3</v>
      </c>
      <c r="O621" s="186">
        <f t="shared" si="74"/>
        <v>3</v>
      </c>
      <c r="P621" s="186">
        <f t="shared" si="74"/>
        <v>3</v>
      </c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P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84">
        <f t="shared" si="75"/>
        <v>7247.295</v>
      </c>
      <c r="N622" s="184">
        <f t="shared" si="75"/>
        <v>7972.0245</v>
      </c>
      <c r="O622" s="184">
        <f t="shared" si="75"/>
        <v>8769.22695</v>
      </c>
      <c r="P622" s="184">
        <f t="shared" si="75"/>
        <v>9646.149645</v>
      </c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55">
        <v>1.1</v>
      </c>
      <c r="N623" s="155">
        <v>1.1</v>
      </c>
      <c r="O623" s="155">
        <v>1.1</v>
      </c>
      <c r="P623" s="155">
        <v>1.1</v>
      </c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P624" si="76">H621*H622</f>
        <v>13500</v>
      </c>
      <c r="I624" s="184">
        <f t="shared" si="76"/>
        <v>14850</v>
      </c>
      <c r="J624" s="184">
        <f t="shared" si="76"/>
        <v>16335</v>
      </c>
      <c r="K624" s="184">
        <f t="shared" si="76"/>
        <v>17968.5</v>
      </c>
      <c r="L624" s="184">
        <f t="shared" si="76"/>
        <v>19765.35</v>
      </c>
      <c r="M624" s="184">
        <f t="shared" si="76"/>
        <v>21741.885</v>
      </c>
      <c r="N624" s="184">
        <f t="shared" si="76"/>
        <v>23916.0735</v>
      </c>
      <c r="O624" s="184">
        <f t="shared" si="76"/>
        <v>26307.68085</v>
      </c>
      <c r="P624" s="184">
        <f t="shared" si="76"/>
        <v>28938.44894</v>
      </c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63"/>
      <c r="N625" s="163"/>
      <c r="O625" s="163"/>
      <c r="P625" s="163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P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24000</v>
      </c>
      <c r="K628" s="178">
        <f t="shared" si="77"/>
        <v>0</v>
      </c>
      <c r="L628" s="178">
        <f t="shared" si="77"/>
        <v>0</v>
      </c>
      <c r="M628" s="178">
        <f t="shared" si="77"/>
        <v>56000</v>
      </c>
      <c r="N628" s="178">
        <f t="shared" si="77"/>
        <v>0</v>
      </c>
      <c r="O628" s="178">
        <f t="shared" si="77"/>
        <v>0</v>
      </c>
      <c r="P628" s="178">
        <f t="shared" si="77"/>
        <v>56000</v>
      </c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P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84" t="str">
        <f t="shared" si="78"/>
        <v/>
      </c>
      <c r="N629" s="184" t="str">
        <f t="shared" si="78"/>
        <v/>
      </c>
      <c r="O629" s="184" t="str">
        <f t="shared" si="78"/>
        <v/>
      </c>
      <c r="P629" s="184" t="str">
        <f t="shared" si="78"/>
        <v/>
      </c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P630" si="79">SUM(H628:H629)</f>
        <v>0</v>
      </c>
      <c r="I630" s="184">
        <f t="shared" si="79"/>
        <v>0</v>
      </c>
      <c r="J630" s="184">
        <f t="shared" si="79"/>
        <v>24000</v>
      </c>
      <c r="K630" s="184">
        <f t="shared" si="79"/>
        <v>0</v>
      </c>
      <c r="L630" s="184">
        <f t="shared" si="79"/>
        <v>0</v>
      </c>
      <c r="M630" s="184">
        <f t="shared" si="79"/>
        <v>56000</v>
      </c>
      <c r="N630" s="184">
        <f t="shared" si="79"/>
        <v>0</v>
      </c>
      <c r="O630" s="184">
        <f t="shared" si="79"/>
        <v>0</v>
      </c>
      <c r="P630" s="184">
        <f t="shared" si="79"/>
        <v>56000</v>
      </c>
      <c r="Q630" s="1"/>
      <c r="R630" s="1"/>
      <c r="S630" s="1"/>
    </row>
    <row r="63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86"/>
      <c r="N631" s="186"/>
      <c r="O631" s="186"/>
      <c r="P631" s="186"/>
      <c r="Q631" s="1"/>
      <c r="R631" s="1"/>
      <c r="S631" s="1"/>
    </row>
    <row r="632" outlineLevel="1">
      <c r="A632" s="1"/>
      <c r="B632" s="1"/>
      <c r="C632" s="1"/>
      <c r="D632" s="1"/>
      <c r="E632" s="127"/>
      <c r="F632" s="13"/>
      <c r="G632" s="185"/>
      <c r="H632" s="186">
        <f t="shared" ref="H632:P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86">
        <f t="shared" si="80"/>
        <v>1</v>
      </c>
      <c r="N632" s="186">
        <f t="shared" si="80"/>
        <v>0</v>
      </c>
      <c r="O632" s="186">
        <f t="shared" si="80"/>
        <v>1</v>
      </c>
      <c r="P632" s="186">
        <f t="shared" si="80"/>
        <v>0</v>
      </c>
      <c r="Q632" s="1"/>
      <c r="R632" s="1"/>
      <c r="S632" s="1"/>
    </row>
    <row r="633" outlineLevel="1">
      <c r="A633" s="1"/>
      <c r="B633" s="1"/>
      <c r="C633" s="1"/>
      <c r="D633" s="1"/>
      <c r="E633" s="127"/>
      <c r="F633" s="13"/>
      <c r="G633" s="185"/>
      <c r="H633" s="186">
        <f t="shared" ref="H633:P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86">
        <f t="shared" si="81"/>
        <v>0</v>
      </c>
      <c r="N633" s="186">
        <f t="shared" si="81"/>
        <v>1</v>
      </c>
      <c r="O633" s="186">
        <f t="shared" si="81"/>
        <v>0</v>
      </c>
      <c r="P633" s="186">
        <f t="shared" si="81"/>
        <v>1</v>
      </c>
      <c r="Q633" s="1"/>
      <c r="R633" s="1"/>
      <c r="S633" s="1"/>
    </row>
    <row r="634" outlineLevel="1">
      <c r="A634" s="1"/>
      <c r="B634" s="1"/>
      <c r="C634" s="1"/>
      <c r="D634" s="1"/>
      <c r="E634" s="127"/>
      <c r="F634" s="13"/>
      <c r="G634" s="185"/>
      <c r="H634" s="186">
        <f t="shared" ref="H634:P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86">
        <f t="shared" si="82"/>
        <v>1</v>
      </c>
      <c r="N634" s="186">
        <f t="shared" si="82"/>
        <v>0</v>
      </c>
      <c r="O634" s="186">
        <f t="shared" si="82"/>
        <v>1</v>
      </c>
      <c r="P634" s="186">
        <f t="shared" si="82"/>
        <v>0</v>
      </c>
      <c r="Q634" s="1"/>
      <c r="R634" s="1"/>
      <c r="S634" s="1"/>
    </row>
    <row r="635" outlineLevel="1">
      <c r="A635" s="1"/>
      <c r="B635" s="1"/>
      <c r="C635" s="1"/>
      <c r="D635" s="1"/>
      <c r="E635" s="127"/>
      <c r="F635" s="13"/>
      <c r="G635" s="185"/>
      <c r="H635" s="186">
        <f t="shared" ref="H635:P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86">
        <f t="shared" si="83"/>
        <v>0</v>
      </c>
      <c r="N635" s="186">
        <f t="shared" si="83"/>
        <v>1</v>
      </c>
      <c r="O635" s="186">
        <f t="shared" si="83"/>
        <v>0</v>
      </c>
      <c r="P635" s="186">
        <f t="shared" si="83"/>
        <v>1</v>
      </c>
      <c r="Q635" s="1"/>
      <c r="R635" s="1"/>
      <c r="S635" s="1"/>
    </row>
    <row r="636" outlineLevel="1">
      <c r="A636" s="1"/>
      <c r="B636" s="1"/>
      <c r="C636" s="1"/>
      <c r="D636" s="1"/>
      <c r="E636" s="127"/>
      <c r="F636" s="13"/>
      <c r="G636" s="185"/>
      <c r="H636" s="186">
        <f t="shared" ref="H636:P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86">
        <f t="shared" si="84"/>
        <v>1</v>
      </c>
      <c r="N636" s="186">
        <f t="shared" si="84"/>
        <v>0</v>
      </c>
      <c r="O636" s="186">
        <f t="shared" si="84"/>
        <v>1</v>
      </c>
      <c r="P636" s="186">
        <f t="shared" si="84"/>
        <v>0</v>
      </c>
      <c r="Q636" s="1"/>
      <c r="R636" s="1"/>
      <c r="S636" s="1"/>
    </row>
    <row r="637" outlineLevel="1">
      <c r="A637" s="1"/>
      <c r="B637" s="1"/>
      <c r="C637" s="1"/>
      <c r="D637" s="1"/>
      <c r="E637" s="127"/>
      <c r="F637" s="13"/>
      <c r="G637" s="185"/>
      <c r="H637" s="186">
        <f t="shared" ref="H637:P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86">
        <f t="shared" si="85"/>
        <v>2</v>
      </c>
      <c r="N637" s="186">
        <f t="shared" si="85"/>
        <v>1</v>
      </c>
      <c r="O637" s="186">
        <f t="shared" si="85"/>
        <v>0</v>
      </c>
      <c r="P637" s="186">
        <f t="shared" si="85"/>
        <v>1</v>
      </c>
      <c r="Q637" s="1"/>
      <c r="R637" s="1"/>
      <c r="S637" s="1"/>
    </row>
    <row r="638" outlineLevel="1">
      <c r="A638" s="1"/>
      <c r="B638" s="1"/>
      <c r="C638" s="1"/>
      <c r="D638" s="1"/>
      <c r="E638" s="127"/>
      <c r="F638" s="13"/>
      <c r="G638" s="185"/>
      <c r="H638" s="186">
        <f t="shared" ref="H638:P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86">
        <f t="shared" si="86"/>
        <v>0</v>
      </c>
      <c r="N638" s="186">
        <f t="shared" si="86"/>
        <v>2</v>
      </c>
      <c r="O638" s="186">
        <f t="shared" si="86"/>
        <v>1</v>
      </c>
      <c r="P638" s="186">
        <f t="shared" si="86"/>
        <v>0</v>
      </c>
      <c r="Q638" s="1"/>
      <c r="R638" s="1"/>
      <c r="S638" s="1"/>
    </row>
    <row r="639" outlineLevel="1">
      <c r="A639" s="1"/>
      <c r="B639" s="1"/>
      <c r="C639" s="1"/>
      <c r="D639" s="1"/>
      <c r="E639" s="127"/>
      <c r="F639" s="13"/>
      <c r="G639" s="185"/>
      <c r="H639" s="186">
        <f t="shared" ref="H639:P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86">
        <f t="shared" si="87"/>
        <v>0</v>
      </c>
      <c r="N639" s="186">
        <f t="shared" si="87"/>
        <v>0</v>
      </c>
      <c r="O639" s="186">
        <f t="shared" si="87"/>
        <v>2</v>
      </c>
      <c r="P639" s="186">
        <f t="shared" si="87"/>
        <v>1</v>
      </c>
      <c r="Q639" s="1"/>
      <c r="R639" s="1"/>
      <c r="S639" s="1"/>
    </row>
    <row r="640" outlineLevel="1">
      <c r="A640" s="1"/>
      <c r="B640" s="1"/>
      <c r="C640" s="1"/>
      <c r="D640" s="1"/>
      <c r="E640" s="127"/>
      <c r="F640" s="13"/>
      <c r="G640" s="185"/>
      <c r="H640" s="186">
        <f t="shared" ref="H640:P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86">
        <f t="shared" si="88"/>
        <v>0</v>
      </c>
      <c r="N640" s="186">
        <f t="shared" si="88"/>
        <v>0</v>
      </c>
      <c r="O640" s="186">
        <f t="shared" si="88"/>
        <v>0</v>
      </c>
      <c r="P640" s="186">
        <f t="shared" si="88"/>
        <v>2</v>
      </c>
      <c r="Q640" s="1"/>
      <c r="R640" s="1"/>
      <c r="S640" s="1"/>
    </row>
    <row r="641" outlineLevel="1">
      <c r="A641" s="1"/>
      <c r="B641" s="1"/>
      <c r="C641" s="1"/>
      <c r="D641" s="1"/>
      <c r="E641" s="127"/>
      <c r="F641" s="13"/>
      <c r="G641" s="185"/>
      <c r="H641" s="186">
        <f t="shared" ref="H641:P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86">
        <f t="shared" si="89"/>
        <v>0</v>
      </c>
      <c r="N641" s="186">
        <f t="shared" si="89"/>
        <v>0</v>
      </c>
      <c r="O641" s="186">
        <f t="shared" si="89"/>
        <v>0</v>
      </c>
      <c r="P641" s="186">
        <f t="shared" si="89"/>
        <v>0</v>
      </c>
      <c r="Q641" s="1"/>
      <c r="R641" s="1"/>
      <c r="S641" s="1"/>
    </row>
    <row r="642" outlineLevel="1">
      <c r="A642" s="1"/>
      <c r="B642" s="1"/>
      <c r="C642" s="1"/>
      <c r="D642" s="1"/>
      <c r="E642" s="127"/>
      <c r="F642" s="13"/>
      <c r="G642" s="185"/>
      <c r="H642" s="186">
        <f t="shared" ref="H642:P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86">
        <f t="shared" si="90"/>
        <v>0</v>
      </c>
      <c r="N642" s="186">
        <f t="shared" si="90"/>
        <v>0</v>
      </c>
      <c r="O642" s="186">
        <f t="shared" si="90"/>
        <v>0</v>
      </c>
      <c r="P642" s="186">
        <f t="shared" si="90"/>
        <v>0</v>
      </c>
      <c r="Q642" s="1"/>
      <c r="R642" s="1"/>
      <c r="S642" s="1"/>
    </row>
    <row r="643" outlineLevel="1">
      <c r="A643" s="1"/>
      <c r="B643" s="1"/>
      <c r="C643" s="1"/>
      <c r="D643" s="1"/>
      <c r="E643" s="127"/>
      <c r="F643" s="13"/>
      <c r="G643" s="185"/>
      <c r="H643" s="186">
        <f t="shared" ref="H643:P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86">
        <f t="shared" si="91"/>
        <v>0</v>
      </c>
      <c r="N643" s="186">
        <f t="shared" si="91"/>
        <v>0</v>
      </c>
      <c r="O643" s="186">
        <f t="shared" si="91"/>
        <v>0</v>
      </c>
      <c r="P643" s="186">
        <f t="shared" si="91"/>
        <v>0</v>
      </c>
      <c r="Q643" s="1"/>
      <c r="R643" s="1"/>
      <c r="S643" s="1"/>
    </row>
    <row r="644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86"/>
      <c r="N644" s="186"/>
      <c r="O644" s="186"/>
      <c r="P644" s="186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55">
        <v>0.8</v>
      </c>
      <c r="N645" s="155">
        <v>0.8</v>
      </c>
      <c r="O645" s="155">
        <v>0.8</v>
      </c>
      <c r="P645" s="155">
        <v>0.8</v>
      </c>
      <c r="Q645" s="1"/>
      <c r="R645" s="1"/>
      <c r="S645" s="1"/>
    </row>
    <row r="646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P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19200</v>
      </c>
      <c r="M646" s="184">
        <f t="shared" si="92"/>
        <v>0</v>
      </c>
      <c r="N646" s="184">
        <f t="shared" si="92"/>
        <v>15360</v>
      </c>
      <c r="O646" s="184">
        <f t="shared" si="92"/>
        <v>44800</v>
      </c>
      <c r="P646" s="184">
        <f t="shared" si="92"/>
        <v>12288</v>
      </c>
      <c r="Q646" s="1"/>
      <c r="R646" s="1"/>
      <c r="S646" s="1"/>
    </row>
    <row r="647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P647" si="93">SUM(H648:H659)</f>
        <v>0</v>
      </c>
      <c r="I647" s="184">
        <f t="shared" si="93"/>
        <v>0</v>
      </c>
      <c r="J647" s="184">
        <f t="shared" si="93"/>
        <v>24000</v>
      </c>
      <c r="K647" s="184">
        <f t="shared" si="93"/>
        <v>0</v>
      </c>
      <c r="L647" s="184">
        <f t="shared" si="93"/>
        <v>19200</v>
      </c>
      <c r="M647" s="184">
        <f t="shared" si="93"/>
        <v>56000</v>
      </c>
      <c r="N647" s="184">
        <f t="shared" si="93"/>
        <v>15360</v>
      </c>
      <c r="O647" s="184">
        <f t="shared" si="93"/>
        <v>44800</v>
      </c>
      <c r="P647" s="184">
        <f t="shared" si="93"/>
        <v>68288</v>
      </c>
      <c r="Q647" s="1"/>
      <c r="R647" s="1"/>
      <c r="S647" s="1"/>
    </row>
    <row r="648" outlineLevel="1">
      <c r="A648" s="1"/>
      <c r="B648" s="1"/>
      <c r="C648" s="1"/>
      <c r="D648" s="1"/>
      <c r="E648" s="127"/>
      <c r="F648" s="13"/>
      <c r="G648" s="185"/>
      <c r="H648" s="186">
        <f t="shared" ref="H648:P648" si="94">IF(COLUMN() &lt; (COLUMN($H$648) + (ROW()-ROW($H$648))), 0, IF(COLUMN() = (COLUMN($H$648) + (ROW()-ROW($H$648))), INDEX($H$630:$P$630,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86">
        <f t="shared" si="94"/>
        <v>0</v>
      </c>
      <c r="N648" s="186">
        <f t="shared" si="94"/>
        <v>0</v>
      </c>
      <c r="O648" s="186">
        <f t="shared" si="94"/>
        <v>0</v>
      </c>
      <c r="P648" s="186">
        <f t="shared" si="94"/>
        <v>0</v>
      </c>
      <c r="Q648" s="1"/>
      <c r="R648" s="1"/>
      <c r="S648" s="1"/>
    </row>
    <row r="649" outlineLevel="1">
      <c r="A649" s="1"/>
      <c r="B649" s="1"/>
      <c r="C649" s="1"/>
      <c r="D649" s="1"/>
      <c r="E649" s="127"/>
      <c r="F649" s="13"/>
      <c r="G649" s="185"/>
      <c r="H649" s="186">
        <f t="shared" ref="H649:P649" si="95">IF(COLUMN() &lt; (COLUMN($H$648) + (ROW()-ROW($H$648))), 0, IF(COLUMN() = (COLUMN($H$648) + (ROW()-ROW($H$648))), INDEX($H$630:$P$630,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86">
        <f t="shared" si="95"/>
        <v>0</v>
      </c>
      <c r="N649" s="186">
        <f t="shared" si="95"/>
        <v>0</v>
      </c>
      <c r="O649" s="186">
        <f t="shared" si="95"/>
        <v>0</v>
      </c>
      <c r="P649" s="186">
        <f t="shared" si="95"/>
        <v>0</v>
      </c>
      <c r="Q649" s="1"/>
      <c r="R649" s="1"/>
      <c r="S649" s="1"/>
    </row>
    <row r="650" outlineLevel="1">
      <c r="A650" s="1"/>
      <c r="B650" s="1"/>
      <c r="C650" s="1"/>
      <c r="D650" s="1"/>
      <c r="E650" s="127"/>
      <c r="F650" s="13"/>
      <c r="G650" s="185"/>
      <c r="H650" s="186">
        <f t="shared" ref="H650:P650" si="96">IF(COLUMN() &lt; (COLUMN($H$648) + (ROW()-ROW($H$648))), 0, IF(COLUMN() = (COLUMN($H$648) + (ROW()-ROW($H$648))), INDEX($H$630:$P$630, 1, COLUMN()-COLUMN($H$630)+1), IF(H634=0, OFFSET(H650, 0, -$H$631) * $H$645, 0)))</f>
        <v>0</v>
      </c>
      <c r="I650" s="186">
        <f t="shared" si="96"/>
        <v>0</v>
      </c>
      <c r="J650" s="186">
        <f t="shared" si="96"/>
        <v>24000</v>
      </c>
      <c r="K650" s="186">
        <f t="shared" si="96"/>
        <v>0</v>
      </c>
      <c r="L650" s="186">
        <f t="shared" si="96"/>
        <v>19200</v>
      </c>
      <c r="M650" s="186">
        <f t="shared" si="96"/>
        <v>0</v>
      </c>
      <c r="N650" s="186">
        <f t="shared" si="96"/>
        <v>15360</v>
      </c>
      <c r="O650" s="186">
        <f t="shared" si="96"/>
        <v>0</v>
      </c>
      <c r="P650" s="186">
        <f t="shared" si="96"/>
        <v>12288</v>
      </c>
      <c r="Q650" s="1"/>
      <c r="R650" s="1"/>
      <c r="S650" s="1"/>
    </row>
    <row r="651" outlineLevel="1">
      <c r="A651" s="1"/>
      <c r="B651" s="1"/>
      <c r="C651" s="1"/>
      <c r="D651" s="1"/>
      <c r="E651" s="127"/>
      <c r="F651" s="13"/>
      <c r="G651" s="185"/>
      <c r="H651" s="186">
        <f t="shared" ref="H651:P651" si="97">IF(COLUMN() &lt; (COLUMN($H$648) + (ROW()-ROW($H$648))), 0, IF(COLUMN() = (COLUMN($H$648) + (ROW()-ROW($H$648))), INDEX($H$630:$P$630,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86">
        <f t="shared" si="97"/>
        <v>0</v>
      </c>
      <c r="N651" s="186">
        <f t="shared" si="97"/>
        <v>0</v>
      </c>
      <c r="O651" s="186">
        <f t="shared" si="97"/>
        <v>0</v>
      </c>
      <c r="P651" s="186">
        <f t="shared" si="97"/>
        <v>0</v>
      </c>
      <c r="Q651" s="1"/>
      <c r="R651" s="1"/>
      <c r="S651" s="1"/>
    </row>
    <row r="652" outlineLevel="1">
      <c r="A652" s="1"/>
      <c r="B652" s="1"/>
      <c r="C652" s="1"/>
      <c r="D652" s="1"/>
      <c r="E652" s="127"/>
      <c r="F652" s="13"/>
      <c r="G652" s="185"/>
      <c r="H652" s="186">
        <f t="shared" ref="H652:P652" si="98">IF(COLUMN() &lt; (COLUMN($H$648) + (ROW()-ROW($H$648))), 0, IF(COLUMN() = (COLUMN($H$648) + (ROW()-ROW($H$648))), INDEX($H$630:$P$630,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86">
        <f t="shared" si="98"/>
        <v>0</v>
      </c>
      <c r="N652" s="186">
        <f t="shared" si="98"/>
        <v>0</v>
      </c>
      <c r="O652" s="186">
        <f t="shared" si="98"/>
        <v>0</v>
      </c>
      <c r="P652" s="186">
        <f t="shared" si="98"/>
        <v>0</v>
      </c>
      <c r="Q652" s="1"/>
      <c r="R652" s="1"/>
      <c r="S652" s="1"/>
    </row>
    <row r="653" outlineLevel="1">
      <c r="A653" s="1"/>
      <c r="B653" s="1"/>
      <c r="C653" s="1"/>
      <c r="D653" s="1"/>
      <c r="E653" s="127"/>
      <c r="F653" s="13"/>
      <c r="G653" s="185"/>
      <c r="H653" s="186">
        <f t="shared" ref="H653:P653" si="99">IF(COLUMN() &lt; (COLUMN($H$648) + (ROW()-ROW($H$648))), 0, IF(COLUMN() = (COLUMN($H$648) + (ROW()-ROW($H$648))), INDEX($H$630:$P$630,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86">
        <f t="shared" si="99"/>
        <v>56000</v>
      </c>
      <c r="N653" s="186">
        <f t="shared" si="99"/>
        <v>0</v>
      </c>
      <c r="O653" s="186">
        <f t="shared" si="99"/>
        <v>44800</v>
      </c>
      <c r="P653" s="186">
        <f t="shared" si="99"/>
        <v>0</v>
      </c>
      <c r="Q653" s="1"/>
      <c r="R653" s="1"/>
      <c r="S653" s="1"/>
    </row>
    <row r="654" outlineLevel="1">
      <c r="A654" s="1"/>
      <c r="B654" s="1"/>
      <c r="C654" s="1"/>
      <c r="D654" s="1"/>
      <c r="E654" s="127"/>
      <c r="F654" s="13"/>
      <c r="G654" s="185"/>
      <c r="H654" s="186">
        <f t="shared" ref="H654:P654" si="100">IF(COLUMN() &lt; (COLUMN($H$648) + (ROW()-ROW($H$648))), 0, IF(COLUMN() = (COLUMN($H$648) + (ROW()-ROW($H$648))), INDEX($H$630:$P$630,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86">
        <f t="shared" si="100"/>
        <v>0</v>
      </c>
      <c r="N654" s="186">
        <f t="shared" si="100"/>
        <v>0</v>
      </c>
      <c r="O654" s="186">
        <f t="shared" si="100"/>
        <v>0</v>
      </c>
      <c r="P654" s="186">
        <f t="shared" si="100"/>
        <v>0</v>
      </c>
      <c r="Q654" s="1"/>
      <c r="R654" s="1"/>
      <c r="S654" s="1"/>
    </row>
    <row r="655" outlineLevel="1">
      <c r="A655" s="1"/>
      <c r="B655" s="1"/>
      <c r="C655" s="1"/>
      <c r="D655" s="1"/>
      <c r="E655" s="127"/>
      <c r="F655" s="13"/>
      <c r="G655" s="185"/>
      <c r="H655" s="186">
        <f t="shared" ref="H655:P655" si="101">IF(COLUMN() &lt; (COLUMN($H$648) + (ROW()-ROW($H$648))), 0, IF(COLUMN() = (COLUMN($H$648) + (ROW()-ROW($H$648))), INDEX($H$630:$P$630,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86">
        <f t="shared" si="101"/>
        <v>0</v>
      </c>
      <c r="N655" s="186">
        <f t="shared" si="101"/>
        <v>0</v>
      </c>
      <c r="O655" s="186">
        <f t="shared" si="101"/>
        <v>0</v>
      </c>
      <c r="P655" s="186">
        <f t="shared" si="101"/>
        <v>0</v>
      </c>
      <c r="Q655" s="1"/>
      <c r="R655" s="1"/>
      <c r="S655" s="1"/>
    </row>
    <row r="656" outlineLevel="1">
      <c r="A656" s="1"/>
      <c r="B656" s="1"/>
      <c r="C656" s="1"/>
      <c r="D656" s="1"/>
      <c r="E656" s="127"/>
      <c r="F656" s="13"/>
      <c r="G656" s="185"/>
      <c r="H656" s="186">
        <f t="shared" ref="H656:P656" si="102">IF(COLUMN() &lt; (COLUMN($H$648) + (ROW()-ROW($H$648))), 0, IF(COLUMN() = (COLUMN($H$648) + (ROW()-ROW($H$648))), INDEX($H$630:$P$630,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86">
        <f t="shared" si="102"/>
        <v>0</v>
      </c>
      <c r="N656" s="186">
        <f t="shared" si="102"/>
        <v>0</v>
      </c>
      <c r="O656" s="186">
        <f t="shared" si="102"/>
        <v>0</v>
      </c>
      <c r="P656" s="186">
        <f t="shared" si="102"/>
        <v>56000</v>
      </c>
      <c r="Q656" s="1"/>
      <c r="R656" s="1"/>
      <c r="S656" s="1"/>
    </row>
    <row r="657" outlineLevel="1">
      <c r="A657" s="1"/>
      <c r="B657" s="1"/>
      <c r="C657" s="1"/>
      <c r="D657" s="1"/>
      <c r="E657" s="127"/>
      <c r="F657" s="13"/>
      <c r="G657" s="185"/>
      <c r="H657" s="186">
        <f t="shared" ref="H657:P657" si="103">IF(COLUMN() &lt; (COLUMN($H$648) + (ROW()-ROW($H$648))), 0, IF(COLUMN() = (COLUMN($H$648) + (ROW()-ROW($H$648))), INDEX($H$630:$P$630,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86">
        <f t="shared" si="103"/>
        <v>0</v>
      </c>
      <c r="N657" s="186">
        <f t="shared" si="103"/>
        <v>0</v>
      </c>
      <c r="O657" s="186">
        <f t="shared" si="103"/>
        <v>0</v>
      </c>
      <c r="P657" s="186">
        <f t="shared" si="103"/>
        <v>0</v>
      </c>
      <c r="Q657" s="1"/>
      <c r="R657" s="1"/>
      <c r="S657" s="1"/>
    </row>
    <row r="658" outlineLevel="1">
      <c r="A658" s="1"/>
      <c r="B658" s="1"/>
      <c r="C658" s="1"/>
      <c r="D658" s="1"/>
      <c r="E658" s="127"/>
      <c r="F658" s="13"/>
      <c r="G658" s="185"/>
      <c r="H658" s="186">
        <f t="shared" ref="H658:P658" si="104">IF(COLUMN() &lt; (COLUMN($H$648) + (ROW()-ROW($H$648))), 0, IF(COLUMN() = (COLUMN($H$648) + (ROW()-ROW($H$648))), INDEX($H$630:$P$630,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86">
        <f t="shared" si="104"/>
        <v>0</v>
      </c>
      <c r="N658" s="186">
        <f t="shared" si="104"/>
        <v>0</v>
      </c>
      <c r="O658" s="186">
        <f t="shared" si="104"/>
        <v>0</v>
      </c>
      <c r="P658" s="186">
        <f t="shared" si="104"/>
        <v>0</v>
      </c>
      <c r="Q658" s="1"/>
      <c r="R658" s="1"/>
      <c r="S658" s="1"/>
    </row>
    <row r="659" outlineLevel="1">
      <c r="A659" s="1"/>
      <c r="B659" s="1"/>
      <c r="C659" s="1"/>
      <c r="D659" s="1"/>
      <c r="E659" s="127"/>
      <c r="F659" s="13"/>
      <c r="G659" s="185"/>
      <c r="H659" s="186">
        <f t="shared" ref="H659:P659" si="105">IF(COLUMN() &lt; (COLUMN($H$648) + (ROW()-ROW($H$648))), 0, IF(COLUMN() = (COLUMN($H$648) + (ROW()-ROW($H$648))), INDEX($H$630:$P$630,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86">
        <f t="shared" si="105"/>
        <v>0</v>
      </c>
      <c r="N659" s="186">
        <f t="shared" si="105"/>
        <v>0</v>
      </c>
      <c r="O659" s="186">
        <f t="shared" si="105"/>
        <v>0</v>
      </c>
      <c r="P659" s="186">
        <f t="shared" si="105"/>
        <v>0</v>
      </c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P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72000</v>
      </c>
      <c r="K662" s="178">
        <f t="shared" si="106"/>
        <v>0</v>
      </c>
      <c r="L662" s="178">
        <f t="shared" si="106"/>
        <v>0</v>
      </c>
      <c r="M662" s="178">
        <f t="shared" si="106"/>
        <v>360000</v>
      </c>
      <c r="N662" s="178">
        <f t="shared" si="106"/>
        <v>0</v>
      </c>
      <c r="O662" s="178">
        <f t="shared" si="106"/>
        <v>0</v>
      </c>
      <c r="P662" s="178">
        <f t="shared" si="106"/>
        <v>360000</v>
      </c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P663" si="107">H460</f>
        <v>828630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84" t="str">
        <f t="shared" si="107"/>
        <v/>
      </c>
      <c r="N663" s="184" t="str">
        <f t="shared" si="107"/>
        <v/>
      </c>
      <c r="O663" s="184" t="str">
        <f t="shared" si="107"/>
        <v/>
      </c>
      <c r="P663" s="184" t="str">
        <f t="shared" si="107"/>
        <v/>
      </c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P664" si="108">SUM(H662:H663)</f>
        <v>828630</v>
      </c>
      <c r="I664" s="184">
        <f t="shared" si="108"/>
        <v>0</v>
      </c>
      <c r="J664" s="184">
        <f t="shared" si="108"/>
        <v>72000</v>
      </c>
      <c r="K664" s="184">
        <f t="shared" si="108"/>
        <v>0</v>
      </c>
      <c r="L664" s="184">
        <f t="shared" si="108"/>
        <v>0</v>
      </c>
      <c r="M664" s="184">
        <f t="shared" si="108"/>
        <v>360000</v>
      </c>
      <c r="N664" s="184">
        <f t="shared" si="108"/>
        <v>0</v>
      </c>
      <c r="O664" s="184">
        <f t="shared" si="108"/>
        <v>0</v>
      </c>
      <c r="P664" s="184">
        <f t="shared" si="108"/>
        <v>360000</v>
      </c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86"/>
      <c r="N665" s="186"/>
      <c r="O665" s="186"/>
      <c r="P665" s="186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P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86">
        <f t="shared" si="109"/>
        <v>4</v>
      </c>
      <c r="N666" s="186">
        <f t="shared" si="109"/>
        <v>3</v>
      </c>
      <c r="O666" s="186">
        <f t="shared" si="109"/>
        <v>2</v>
      </c>
      <c r="P666" s="186">
        <f t="shared" si="109"/>
        <v>1</v>
      </c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P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86">
        <f t="shared" si="110"/>
        <v>5</v>
      </c>
      <c r="N667" s="186">
        <f t="shared" si="110"/>
        <v>4</v>
      </c>
      <c r="O667" s="186">
        <f t="shared" si="110"/>
        <v>3</v>
      </c>
      <c r="P667" s="186">
        <f t="shared" si="110"/>
        <v>2</v>
      </c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P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86">
        <f t="shared" si="111"/>
        <v>6</v>
      </c>
      <c r="N668" s="186">
        <f t="shared" si="111"/>
        <v>5</v>
      </c>
      <c r="O668" s="186">
        <f t="shared" si="111"/>
        <v>4</v>
      </c>
      <c r="P668" s="186">
        <f t="shared" si="111"/>
        <v>3</v>
      </c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P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86">
        <f t="shared" si="112"/>
        <v>7</v>
      </c>
      <c r="N669" s="186">
        <f t="shared" si="112"/>
        <v>6</v>
      </c>
      <c r="O669" s="186">
        <f t="shared" si="112"/>
        <v>5</v>
      </c>
      <c r="P669" s="186">
        <f t="shared" si="112"/>
        <v>4</v>
      </c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P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86">
        <f t="shared" si="113"/>
        <v>8</v>
      </c>
      <c r="N670" s="186">
        <f t="shared" si="113"/>
        <v>7</v>
      </c>
      <c r="O670" s="186">
        <f t="shared" si="113"/>
        <v>6</v>
      </c>
      <c r="P670" s="186">
        <f t="shared" si="113"/>
        <v>5</v>
      </c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P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86">
        <f t="shared" si="114"/>
        <v>9</v>
      </c>
      <c r="N671" s="186">
        <f t="shared" si="114"/>
        <v>8</v>
      </c>
      <c r="O671" s="186">
        <f t="shared" si="114"/>
        <v>7</v>
      </c>
      <c r="P671" s="186">
        <f t="shared" si="114"/>
        <v>6</v>
      </c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P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86">
        <f t="shared" si="115"/>
        <v>0</v>
      </c>
      <c r="N672" s="186">
        <f t="shared" si="115"/>
        <v>9</v>
      </c>
      <c r="O672" s="186">
        <f t="shared" si="115"/>
        <v>8</v>
      </c>
      <c r="P672" s="186">
        <f t="shared" si="115"/>
        <v>7</v>
      </c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P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86">
        <f t="shared" si="116"/>
        <v>0</v>
      </c>
      <c r="N673" s="186">
        <f t="shared" si="116"/>
        <v>0</v>
      </c>
      <c r="O673" s="186">
        <f t="shared" si="116"/>
        <v>9</v>
      </c>
      <c r="P673" s="186">
        <f t="shared" si="116"/>
        <v>8</v>
      </c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P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86">
        <f t="shared" si="117"/>
        <v>0</v>
      </c>
      <c r="N674" s="186">
        <f t="shared" si="117"/>
        <v>0</v>
      </c>
      <c r="O674" s="186">
        <f t="shared" si="117"/>
        <v>0</v>
      </c>
      <c r="P674" s="186">
        <f t="shared" si="117"/>
        <v>9</v>
      </c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P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86">
        <f t="shared" si="118"/>
        <v>0</v>
      </c>
      <c r="N675" s="186">
        <f t="shared" si="118"/>
        <v>0</v>
      </c>
      <c r="O675" s="186">
        <f t="shared" si="118"/>
        <v>0</v>
      </c>
      <c r="P675" s="186">
        <f t="shared" si="118"/>
        <v>0</v>
      </c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P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86">
        <f t="shared" si="119"/>
        <v>0</v>
      </c>
      <c r="N676" s="186">
        <f t="shared" si="119"/>
        <v>0</v>
      </c>
      <c r="O676" s="186">
        <f t="shared" si="119"/>
        <v>0</v>
      </c>
      <c r="P676" s="186">
        <f t="shared" si="119"/>
        <v>0</v>
      </c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P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86">
        <f t="shared" si="120"/>
        <v>0</v>
      </c>
      <c r="N677" s="186">
        <f t="shared" si="120"/>
        <v>0</v>
      </c>
      <c r="O677" s="186">
        <f t="shared" si="120"/>
        <v>0</v>
      </c>
      <c r="P677" s="186">
        <f t="shared" si="120"/>
        <v>0</v>
      </c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55"/>
      <c r="N678" s="155"/>
      <c r="O678" s="155"/>
      <c r="P678" s="155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P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84">
        <f t="shared" si="121"/>
        <v>0</v>
      </c>
      <c r="N679" s="184">
        <f t="shared" si="121"/>
        <v>0</v>
      </c>
      <c r="O679" s="184">
        <f t="shared" si="121"/>
        <v>0</v>
      </c>
      <c r="P679" s="184">
        <f t="shared" si="121"/>
        <v>0</v>
      </c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P680" si="122">SUM(H681:H692)</f>
        <v>828630</v>
      </c>
      <c r="I680" s="184">
        <f t="shared" si="122"/>
        <v>0</v>
      </c>
      <c r="J680" s="184">
        <f t="shared" si="122"/>
        <v>72000</v>
      </c>
      <c r="K680" s="184">
        <f t="shared" si="122"/>
        <v>0</v>
      </c>
      <c r="L680" s="184">
        <f t="shared" si="122"/>
        <v>0</v>
      </c>
      <c r="M680" s="184">
        <f t="shared" si="122"/>
        <v>360000</v>
      </c>
      <c r="N680" s="184">
        <f t="shared" si="122"/>
        <v>0</v>
      </c>
      <c r="O680" s="184">
        <f t="shared" si="122"/>
        <v>0</v>
      </c>
      <c r="P680" s="184">
        <f t="shared" si="122"/>
        <v>360000</v>
      </c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P681" si="123">IF(COLUMN() &lt; (COLUMN($H681) + (ROW()-ROW($H$681))), 0, IF(COLUMN() = (COLUMN($H$681) + (ROW()-ROW($H$681))), INDEX($H$664:$P$664, 1, COLUMN()-COLUMN($H$664)+1), IF(H666=0, OFFSET(H681, 0, -$H$665) * $H$678, 0)))</f>
        <v>828630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86">
        <f t="shared" si="123"/>
        <v>0</v>
      </c>
      <c r="N681" s="186">
        <f t="shared" si="123"/>
        <v>0</v>
      </c>
      <c r="O681" s="186">
        <f t="shared" si="123"/>
        <v>0</v>
      </c>
      <c r="P681" s="186">
        <f t="shared" si="123"/>
        <v>0</v>
      </c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P682" si="124">IF(COLUMN() &lt; (COLUMN($H682) + (ROW()-ROW($H$681))), 0, IF(COLUMN() = (COLUMN($H$681) + (ROW()-ROW($H$681))), INDEX($H$664:$P$664,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86">
        <f t="shared" si="124"/>
        <v>0</v>
      </c>
      <c r="N682" s="186">
        <f t="shared" si="124"/>
        <v>0</v>
      </c>
      <c r="O682" s="186">
        <f t="shared" si="124"/>
        <v>0</v>
      </c>
      <c r="P682" s="186">
        <f t="shared" si="124"/>
        <v>0</v>
      </c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P683" si="125">IF(COLUMN() &lt; (COLUMN($H683) + (ROW()-ROW($H$681))), 0, IF(COLUMN() = (COLUMN($H$681) + (ROW()-ROW($H$681))), INDEX($H$664:$P$664, 1, COLUMN()-COLUMN($H$664)+1), IF(H668=0, OFFSET(H683, 0, -$H$665) * $H$678, 0)))</f>
        <v>0</v>
      </c>
      <c r="I683" s="186">
        <f t="shared" si="125"/>
        <v>0</v>
      </c>
      <c r="J683" s="186">
        <f t="shared" si="125"/>
        <v>72000</v>
      </c>
      <c r="K683" s="186">
        <f t="shared" si="125"/>
        <v>0</v>
      </c>
      <c r="L683" s="186">
        <f t="shared" si="125"/>
        <v>0</v>
      </c>
      <c r="M683" s="186">
        <f t="shared" si="125"/>
        <v>0</v>
      </c>
      <c r="N683" s="186">
        <f t="shared" si="125"/>
        <v>0</v>
      </c>
      <c r="O683" s="186">
        <f t="shared" si="125"/>
        <v>0</v>
      </c>
      <c r="P683" s="186">
        <f t="shared" si="125"/>
        <v>0</v>
      </c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P684" si="126">IF(COLUMN() &lt; (COLUMN($H684) + (ROW()-ROW($H$681))), 0, IF(COLUMN() = (COLUMN($H$681) + (ROW()-ROW($H$681))), INDEX($H$664:$P$664,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86">
        <f t="shared" si="126"/>
        <v>0</v>
      </c>
      <c r="N684" s="186">
        <f t="shared" si="126"/>
        <v>0</v>
      </c>
      <c r="O684" s="186">
        <f t="shared" si="126"/>
        <v>0</v>
      </c>
      <c r="P684" s="186">
        <f t="shared" si="126"/>
        <v>0</v>
      </c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P685" si="127">IF(COLUMN() &lt; (COLUMN($H685) + (ROW()-ROW($H$681))), 0, IF(COLUMN() = (COLUMN($H$681) + (ROW()-ROW($H$681))), INDEX($H$664:$P$664,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86">
        <f t="shared" si="127"/>
        <v>0</v>
      </c>
      <c r="N685" s="186">
        <f t="shared" si="127"/>
        <v>0</v>
      </c>
      <c r="O685" s="186">
        <f t="shared" si="127"/>
        <v>0</v>
      </c>
      <c r="P685" s="186">
        <f t="shared" si="127"/>
        <v>0</v>
      </c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P686" si="128">IF(COLUMN() &lt; (COLUMN($H686) + (ROW()-ROW($H$681))), 0, IF(COLUMN() = (COLUMN($H$681) + (ROW()-ROW($H$681))), INDEX($H$664:$P$664,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86">
        <f t="shared" si="128"/>
        <v>360000</v>
      </c>
      <c r="N686" s="186">
        <f t="shared" si="128"/>
        <v>0</v>
      </c>
      <c r="O686" s="186">
        <f t="shared" si="128"/>
        <v>0</v>
      </c>
      <c r="P686" s="186">
        <f t="shared" si="128"/>
        <v>0</v>
      </c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P687" si="129">IF(COLUMN() &lt; (COLUMN($H687) + (ROW()-ROW($H$681))), 0, IF(COLUMN() = (COLUMN($H$681) + (ROW()-ROW($H$681))), INDEX($H$664:$P$664,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86">
        <f t="shared" si="129"/>
        <v>0</v>
      </c>
      <c r="N687" s="186">
        <f t="shared" si="129"/>
        <v>0</v>
      </c>
      <c r="O687" s="186">
        <f t="shared" si="129"/>
        <v>0</v>
      </c>
      <c r="P687" s="186">
        <f t="shared" si="129"/>
        <v>0</v>
      </c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P688" si="130">IF(COLUMN() &lt; (COLUMN($H688) + (ROW()-ROW($H$681))), 0, IF(COLUMN() = (COLUMN($H$681) + (ROW()-ROW($H$681))), INDEX($H$664:$P$664,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86">
        <f t="shared" si="130"/>
        <v>0</v>
      </c>
      <c r="N688" s="186">
        <f t="shared" si="130"/>
        <v>0</v>
      </c>
      <c r="O688" s="186">
        <f t="shared" si="130"/>
        <v>0</v>
      </c>
      <c r="P688" s="186">
        <f t="shared" si="130"/>
        <v>0</v>
      </c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P689" si="131">IF(COLUMN() &lt; (COLUMN($H689) + (ROW()-ROW($H$681))), 0, IF(COLUMN() = (COLUMN($H$681) + (ROW()-ROW($H$681))), INDEX($H$664:$P$664,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86">
        <f t="shared" si="131"/>
        <v>0</v>
      </c>
      <c r="N689" s="186">
        <f t="shared" si="131"/>
        <v>0</v>
      </c>
      <c r="O689" s="186">
        <f t="shared" si="131"/>
        <v>0</v>
      </c>
      <c r="P689" s="186">
        <f t="shared" si="131"/>
        <v>360000</v>
      </c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P690" si="132">IF(COLUMN() &lt; (COLUMN($H690) + (ROW()-ROW($H$681))), 0, IF(COLUMN() = (COLUMN($H$681) + (ROW()-ROW($H$681))), INDEX($H$664:$P$664,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86">
        <f t="shared" si="132"/>
        <v>0</v>
      </c>
      <c r="N690" s="186">
        <f t="shared" si="132"/>
        <v>0</v>
      </c>
      <c r="O690" s="186">
        <f t="shared" si="132"/>
        <v>0</v>
      </c>
      <c r="P690" s="186">
        <f t="shared" si="132"/>
        <v>0</v>
      </c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P691" si="133">IF(COLUMN() &lt; (COLUMN($H691) + (ROW()-ROW($H$681))), 0, IF(COLUMN() = (COLUMN($H$681) + (ROW()-ROW($H$681))), INDEX($H$664:$P$664,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86">
        <f t="shared" si="133"/>
        <v>0</v>
      </c>
      <c r="N691" s="186">
        <f t="shared" si="133"/>
        <v>0</v>
      </c>
      <c r="O691" s="186">
        <f t="shared" si="133"/>
        <v>0</v>
      </c>
      <c r="P691" s="186">
        <f t="shared" si="133"/>
        <v>0</v>
      </c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P692" si="134">IF(COLUMN() &lt; (COLUMN($H692) + (ROW()-ROW($H$681))), 0, IF(COLUMN() = (COLUMN($H$681) + (ROW()-ROW($H$681))), INDEX($H$664:$P$664,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86">
        <f t="shared" si="134"/>
        <v>0</v>
      </c>
      <c r="N692" s="186">
        <f t="shared" si="134"/>
        <v>0</v>
      </c>
      <c r="O692" s="186">
        <f t="shared" si="134"/>
        <v>0</v>
      </c>
      <c r="P692" s="186">
        <f t="shared" si="134"/>
        <v>0</v>
      </c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P694" si="135">H698</f>
        <v>18000</v>
      </c>
      <c r="I694" s="188">
        <f t="shared" si="135"/>
        <v>19800</v>
      </c>
      <c r="J694" s="188">
        <f t="shared" si="135"/>
        <v>21780</v>
      </c>
      <c r="K694" s="188">
        <f t="shared" si="135"/>
        <v>23958</v>
      </c>
      <c r="L694" s="188">
        <f t="shared" si="135"/>
        <v>26353.8</v>
      </c>
      <c r="M694" s="188">
        <f t="shared" si="135"/>
        <v>28989.18</v>
      </c>
      <c r="N694" s="188">
        <f t="shared" si="135"/>
        <v>31888.098</v>
      </c>
      <c r="O694" s="188">
        <f t="shared" si="135"/>
        <v>35076.9078</v>
      </c>
      <c r="P694" s="188">
        <f t="shared" si="135"/>
        <v>38584.59858</v>
      </c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4</v>
      </c>
      <c r="I695" s="190">
        <f t="shared" ref="I695:P695" si="136">H695</f>
        <v>4</v>
      </c>
      <c r="J695" s="190">
        <f t="shared" si="136"/>
        <v>4</v>
      </c>
      <c r="K695" s="190">
        <f t="shared" si="136"/>
        <v>4</v>
      </c>
      <c r="L695" s="190">
        <f t="shared" si="136"/>
        <v>4</v>
      </c>
      <c r="M695" s="190">
        <f t="shared" si="136"/>
        <v>4</v>
      </c>
      <c r="N695" s="190">
        <f t="shared" si="136"/>
        <v>4</v>
      </c>
      <c r="O695" s="190">
        <f t="shared" si="136"/>
        <v>4</v>
      </c>
      <c r="P695" s="190">
        <f t="shared" si="136"/>
        <v>4</v>
      </c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P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88">
        <f t="shared" si="137"/>
        <v>7247.295</v>
      </c>
      <c r="N696" s="188">
        <f t="shared" si="137"/>
        <v>7972.0245</v>
      </c>
      <c r="O696" s="188">
        <f t="shared" si="137"/>
        <v>8769.22695</v>
      </c>
      <c r="P696" s="188">
        <f t="shared" si="137"/>
        <v>9646.149645</v>
      </c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54">
        <v>1.1</v>
      </c>
      <c r="N697" s="154">
        <v>1.1</v>
      </c>
      <c r="O697" s="154">
        <v>1.1</v>
      </c>
      <c r="P697" s="154">
        <v>1.1</v>
      </c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P698" si="138">H695*H696</f>
        <v>18000</v>
      </c>
      <c r="I698" s="188">
        <f t="shared" si="138"/>
        <v>19800</v>
      </c>
      <c r="J698" s="188">
        <f t="shared" si="138"/>
        <v>21780</v>
      </c>
      <c r="K698" s="188">
        <f t="shared" si="138"/>
        <v>23958</v>
      </c>
      <c r="L698" s="188">
        <f t="shared" si="138"/>
        <v>26353.8</v>
      </c>
      <c r="M698" s="188">
        <f t="shared" si="138"/>
        <v>28989.18</v>
      </c>
      <c r="N698" s="188">
        <f t="shared" si="138"/>
        <v>31888.098</v>
      </c>
      <c r="O698" s="188">
        <f t="shared" si="138"/>
        <v>35076.9078</v>
      </c>
      <c r="P698" s="188">
        <f t="shared" si="138"/>
        <v>38584.59858</v>
      </c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P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186000</v>
      </c>
      <c r="J702" s="180">
        <f t="shared" si="139"/>
        <v>108000</v>
      </c>
      <c r="K702" s="180">
        <f t="shared" si="139"/>
        <v>90000</v>
      </c>
      <c r="L702" s="180">
        <f t="shared" si="139"/>
        <v>66000</v>
      </c>
      <c r="M702" s="180">
        <f t="shared" si="139"/>
        <v>60000</v>
      </c>
      <c r="N702" s="180">
        <f t="shared" si="139"/>
        <v>48000</v>
      </c>
      <c r="O702" s="180">
        <f t="shared" si="139"/>
        <v>36000</v>
      </c>
      <c r="P702" s="180">
        <f t="shared" si="139"/>
        <v>36000</v>
      </c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P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84" t="str">
        <f t="shared" si="140"/>
        <v/>
      </c>
      <c r="N703" s="184" t="str">
        <f t="shared" si="140"/>
        <v/>
      </c>
      <c r="O703" s="184" t="str">
        <f t="shared" si="140"/>
        <v/>
      </c>
      <c r="P703" s="184" t="str">
        <f t="shared" si="140"/>
        <v/>
      </c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P704" si="141">SUM(H702:H703)</f>
        <v>0</v>
      </c>
      <c r="I704" s="184">
        <f t="shared" si="141"/>
        <v>186000</v>
      </c>
      <c r="J704" s="184">
        <f t="shared" si="141"/>
        <v>108000</v>
      </c>
      <c r="K704" s="184">
        <f t="shared" si="141"/>
        <v>90000</v>
      </c>
      <c r="L704" s="184">
        <f t="shared" si="141"/>
        <v>66000</v>
      </c>
      <c r="M704" s="184">
        <f t="shared" si="141"/>
        <v>60000</v>
      </c>
      <c r="N704" s="184">
        <f t="shared" si="141"/>
        <v>48000</v>
      </c>
      <c r="O704" s="184">
        <f t="shared" si="141"/>
        <v>36000</v>
      </c>
      <c r="P704" s="184">
        <f t="shared" si="141"/>
        <v>36000</v>
      </c>
      <c r="Q704" s="1"/>
      <c r="R704" s="1"/>
      <c r="S704" s="1"/>
    </row>
    <row r="705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86"/>
      <c r="N705" s="186"/>
      <c r="O705" s="186"/>
      <c r="P705" s="186"/>
      <c r="Q705" s="1"/>
      <c r="R705" s="1"/>
      <c r="S705" s="1"/>
    </row>
    <row r="706" outlineLevel="1">
      <c r="A706" s="1"/>
      <c r="B706" s="1"/>
      <c r="C706" s="1"/>
      <c r="D706" s="1"/>
      <c r="E706" s="127"/>
      <c r="F706" s="13"/>
      <c r="G706" s="184"/>
      <c r="H706" s="186">
        <f t="shared" ref="H706:P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86">
        <f t="shared" si="142"/>
        <v>1</v>
      </c>
      <c r="N706" s="186">
        <f t="shared" si="142"/>
        <v>0</v>
      </c>
      <c r="O706" s="186">
        <f t="shared" si="142"/>
        <v>1</v>
      </c>
      <c r="P706" s="186">
        <f t="shared" si="142"/>
        <v>0</v>
      </c>
      <c r="Q706" s="1"/>
      <c r="R706" s="1"/>
      <c r="S706" s="1"/>
    </row>
    <row r="707" outlineLevel="1">
      <c r="A707" s="1"/>
      <c r="B707" s="1"/>
      <c r="C707" s="1"/>
      <c r="D707" s="1"/>
      <c r="E707" s="127"/>
      <c r="F707" s="13"/>
      <c r="G707" s="184"/>
      <c r="H707" s="186">
        <f t="shared" ref="H707:P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86">
        <f t="shared" si="143"/>
        <v>0</v>
      </c>
      <c r="N707" s="186">
        <f t="shared" si="143"/>
        <v>1</v>
      </c>
      <c r="O707" s="186">
        <f t="shared" si="143"/>
        <v>0</v>
      </c>
      <c r="P707" s="186">
        <f t="shared" si="143"/>
        <v>1</v>
      </c>
      <c r="Q707" s="1"/>
      <c r="R707" s="1"/>
      <c r="S707" s="1"/>
    </row>
    <row r="708" outlineLevel="1">
      <c r="A708" s="1"/>
      <c r="B708" s="1"/>
      <c r="C708" s="1"/>
      <c r="D708" s="1"/>
      <c r="E708" s="127"/>
      <c r="F708" s="13"/>
      <c r="G708" s="184"/>
      <c r="H708" s="186">
        <f t="shared" ref="H708:P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86">
        <f t="shared" si="144"/>
        <v>1</v>
      </c>
      <c r="N708" s="186">
        <f t="shared" si="144"/>
        <v>0</v>
      </c>
      <c r="O708" s="186">
        <f t="shared" si="144"/>
        <v>1</v>
      </c>
      <c r="P708" s="186">
        <f t="shared" si="144"/>
        <v>0</v>
      </c>
      <c r="Q708" s="1"/>
      <c r="R708" s="1"/>
      <c r="S708" s="1"/>
    </row>
    <row r="709" outlineLevel="1">
      <c r="A709" s="1"/>
      <c r="B709" s="1"/>
      <c r="C709" s="1"/>
      <c r="D709" s="1"/>
      <c r="E709" s="1"/>
      <c r="F709" s="13"/>
      <c r="G709" s="155"/>
      <c r="H709" s="186">
        <f t="shared" ref="H709:P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86">
        <f t="shared" si="145"/>
        <v>0</v>
      </c>
      <c r="N709" s="186">
        <f t="shared" si="145"/>
        <v>1</v>
      </c>
      <c r="O709" s="186">
        <f t="shared" si="145"/>
        <v>0</v>
      </c>
      <c r="P709" s="186">
        <f t="shared" si="145"/>
        <v>1</v>
      </c>
      <c r="Q709" s="1"/>
      <c r="R709" s="1"/>
      <c r="S709" s="1"/>
    </row>
    <row r="710" outlineLevel="1">
      <c r="A710" s="1"/>
      <c r="B710" s="1"/>
      <c r="C710" s="1"/>
      <c r="D710" s="1"/>
      <c r="E710" s="1"/>
      <c r="F710" s="13"/>
      <c r="G710" s="155"/>
      <c r="H710" s="186">
        <f t="shared" ref="H710:P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86">
        <f t="shared" si="146"/>
        <v>1</v>
      </c>
      <c r="N710" s="186">
        <f t="shared" si="146"/>
        <v>0</v>
      </c>
      <c r="O710" s="186">
        <f t="shared" si="146"/>
        <v>1</v>
      </c>
      <c r="P710" s="186">
        <f t="shared" si="146"/>
        <v>0</v>
      </c>
      <c r="Q710" s="1"/>
      <c r="R710" s="1"/>
      <c r="S710" s="1"/>
    </row>
    <row r="711" outlineLevel="1">
      <c r="A711" s="1"/>
      <c r="B711" s="1"/>
      <c r="C711" s="1"/>
      <c r="D711" s="1"/>
      <c r="E711" s="1"/>
      <c r="F711" s="13"/>
      <c r="G711" s="155"/>
      <c r="H711" s="186">
        <f t="shared" ref="H711:P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86">
        <f t="shared" si="147"/>
        <v>2</v>
      </c>
      <c r="N711" s="186">
        <f t="shared" si="147"/>
        <v>1</v>
      </c>
      <c r="O711" s="186">
        <f t="shared" si="147"/>
        <v>0</v>
      </c>
      <c r="P711" s="186">
        <f t="shared" si="147"/>
        <v>1</v>
      </c>
      <c r="Q711" s="1"/>
      <c r="R711" s="1"/>
      <c r="S711" s="1"/>
    </row>
    <row r="712" outlineLevel="1">
      <c r="A712" s="1"/>
      <c r="B712" s="1"/>
      <c r="C712" s="1"/>
      <c r="D712" s="1"/>
      <c r="E712" s="1"/>
      <c r="F712" s="13"/>
      <c r="G712" s="155"/>
      <c r="H712" s="186">
        <f t="shared" ref="H712:P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86">
        <f t="shared" si="148"/>
        <v>0</v>
      </c>
      <c r="N712" s="186">
        <f t="shared" si="148"/>
        <v>2</v>
      </c>
      <c r="O712" s="186">
        <f t="shared" si="148"/>
        <v>1</v>
      </c>
      <c r="P712" s="186">
        <f t="shared" si="148"/>
        <v>0</v>
      </c>
      <c r="Q712" s="1"/>
      <c r="R712" s="1"/>
      <c r="S712" s="1"/>
    </row>
    <row r="713" outlineLevel="1">
      <c r="A713" s="1"/>
      <c r="B713" s="1"/>
      <c r="C713" s="1"/>
      <c r="D713" s="1"/>
      <c r="E713" s="1"/>
      <c r="F713" s="13"/>
      <c r="G713" s="155"/>
      <c r="H713" s="186">
        <f t="shared" ref="H713:P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86">
        <f t="shared" si="149"/>
        <v>0</v>
      </c>
      <c r="N713" s="186">
        <f t="shared" si="149"/>
        <v>0</v>
      </c>
      <c r="O713" s="186">
        <f t="shared" si="149"/>
        <v>2</v>
      </c>
      <c r="P713" s="186">
        <f t="shared" si="149"/>
        <v>1</v>
      </c>
      <c r="Q713" s="1"/>
      <c r="R713" s="1"/>
      <c r="S713" s="1"/>
    </row>
    <row r="714" outlineLevel="1">
      <c r="A714" s="1"/>
      <c r="B714" s="1"/>
      <c r="C714" s="1"/>
      <c r="D714" s="1"/>
      <c r="E714" s="1"/>
      <c r="F714" s="13"/>
      <c r="G714" s="155"/>
      <c r="H714" s="186">
        <f t="shared" ref="H714:P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86">
        <f t="shared" si="150"/>
        <v>0</v>
      </c>
      <c r="N714" s="186">
        <f t="shared" si="150"/>
        <v>0</v>
      </c>
      <c r="O714" s="186">
        <f t="shared" si="150"/>
        <v>0</v>
      </c>
      <c r="P714" s="186">
        <f t="shared" si="150"/>
        <v>2</v>
      </c>
      <c r="Q714" s="1"/>
      <c r="R714" s="1"/>
      <c r="S714" s="1"/>
    </row>
    <row r="715" outlineLevel="1">
      <c r="A715" s="1"/>
      <c r="B715" s="1"/>
      <c r="C715" s="1"/>
      <c r="D715" s="1"/>
      <c r="E715" s="1"/>
      <c r="F715" s="13"/>
      <c r="G715" s="155"/>
      <c r="H715" s="186">
        <f t="shared" ref="H715:P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86">
        <f t="shared" si="151"/>
        <v>0</v>
      </c>
      <c r="N715" s="186">
        <f t="shared" si="151"/>
        <v>0</v>
      </c>
      <c r="O715" s="186">
        <f t="shared" si="151"/>
        <v>0</v>
      </c>
      <c r="P715" s="186">
        <f t="shared" si="151"/>
        <v>0</v>
      </c>
      <c r="Q715" s="1"/>
      <c r="R715" s="1"/>
      <c r="S715" s="1"/>
    </row>
    <row r="716" outlineLevel="1">
      <c r="A716" s="1"/>
      <c r="B716" s="1"/>
      <c r="C716" s="1"/>
      <c r="D716" s="1"/>
      <c r="E716" s="1"/>
      <c r="F716" s="13"/>
      <c r="G716" s="155"/>
      <c r="H716" s="186">
        <f t="shared" ref="H716:P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86">
        <f t="shared" si="152"/>
        <v>0</v>
      </c>
      <c r="N716" s="186">
        <f t="shared" si="152"/>
        <v>0</v>
      </c>
      <c r="O716" s="186">
        <f t="shared" si="152"/>
        <v>0</v>
      </c>
      <c r="P716" s="186">
        <f t="shared" si="152"/>
        <v>0</v>
      </c>
      <c r="Q716" s="1"/>
      <c r="R716" s="1"/>
      <c r="S716" s="1"/>
    </row>
    <row r="717" outlineLevel="1">
      <c r="A717" s="1"/>
      <c r="B717" s="1"/>
      <c r="C717" s="1"/>
      <c r="D717" s="1"/>
      <c r="E717" s="1"/>
      <c r="F717" s="13"/>
      <c r="G717" s="155"/>
      <c r="H717" s="186">
        <f t="shared" ref="H717:P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86">
        <f t="shared" si="153"/>
        <v>0</v>
      </c>
      <c r="N717" s="186">
        <f t="shared" si="153"/>
        <v>0</v>
      </c>
      <c r="O717" s="186">
        <f t="shared" si="153"/>
        <v>0</v>
      </c>
      <c r="P717" s="186">
        <f t="shared" si="153"/>
        <v>0</v>
      </c>
      <c r="Q717" s="1"/>
      <c r="R717" s="1"/>
      <c r="S717" s="1"/>
    </row>
    <row r="718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86"/>
      <c r="N718" s="186"/>
      <c r="O718" s="186"/>
      <c r="P718" s="186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55"/>
      <c r="N719" s="155"/>
      <c r="O719" s="155"/>
      <c r="P719" s="155"/>
      <c r="Q719" s="1"/>
      <c r="R719" s="1"/>
      <c r="S719" s="1"/>
    </row>
    <row r="720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P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148800</v>
      </c>
      <c r="L720" s="184">
        <f t="shared" si="154"/>
        <v>86400</v>
      </c>
      <c r="M720" s="184">
        <f t="shared" si="154"/>
        <v>191040</v>
      </c>
      <c r="N720" s="184">
        <f t="shared" si="154"/>
        <v>121920</v>
      </c>
      <c r="O720" s="184">
        <f t="shared" si="154"/>
        <v>200832</v>
      </c>
      <c r="P720" s="184">
        <f t="shared" si="154"/>
        <v>135936</v>
      </c>
      <c r="Q720" s="1"/>
      <c r="R720" s="1"/>
      <c r="S720" s="1"/>
    </row>
    <row r="72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P721" si="155">SUM(H722:H733)</f>
        <v>0</v>
      </c>
      <c r="I721" s="184">
        <f t="shared" si="155"/>
        <v>186000</v>
      </c>
      <c r="J721" s="184">
        <f t="shared" si="155"/>
        <v>108000</v>
      </c>
      <c r="K721" s="184">
        <f t="shared" si="155"/>
        <v>238800</v>
      </c>
      <c r="L721" s="184">
        <f t="shared" si="155"/>
        <v>152400</v>
      </c>
      <c r="M721" s="184">
        <f t="shared" si="155"/>
        <v>251040</v>
      </c>
      <c r="N721" s="184">
        <f t="shared" si="155"/>
        <v>169920</v>
      </c>
      <c r="O721" s="184">
        <f t="shared" si="155"/>
        <v>236832</v>
      </c>
      <c r="P721" s="184">
        <f t="shared" si="155"/>
        <v>171936</v>
      </c>
      <c r="Q721" s="1"/>
      <c r="R721" s="1"/>
      <c r="S721" s="1"/>
    </row>
    <row r="722" outlineLevel="1">
      <c r="A722" s="1"/>
      <c r="B722" s="1"/>
      <c r="C722" s="1"/>
      <c r="D722" s="1"/>
      <c r="E722" s="1"/>
      <c r="F722" s="13"/>
      <c r="G722" s="155"/>
      <c r="H722" s="186">
        <f t="shared" ref="H722:P722" si="156">IF(COLUMN() &lt; (COLUMN($H$722) + (ROW()-ROW($H$722))), 0, IF(COLUMN() = (COLUMN($H$722) + (ROW()-ROW($H$722))), INDEX($H$704:$P$704,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86">
        <f t="shared" si="156"/>
        <v>0</v>
      </c>
      <c r="N722" s="186">
        <f t="shared" si="156"/>
        <v>0</v>
      </c>
      <c r="O722" s="186">
        <f t="shared" si="156"/>
        <v>0</v>
      </c>
      <c r="P722" s="186">
        <f t="shared" si="156"/>
        <v>0</v>
      </c>
      <c r="Q722" s="1"/>
      <c r="R722" s="1"/>
      <c r="S722" s="1"/>
    </row>
    <row r="723" outlineLevel="1">
      <c r="A723" s="1"/>
      <c r="B723" s="1"/>
      <c r="C723" s="1"/>
      <c r="D723" s="1"/>
      <c r="E723" s="1"/>
      <c r="F723" s="13"/>
      <c r="G723" s="155"/>
      <c r="H723" s="186">
        <f t="shared" ref="H723:P723" si="157">IF(COLUMN() &lt; (COLUMN($H$722) + (ROW()-ROW($H$722))), 0, IF(COLUMN() = (COLUMN($H$722) + (ROW()-ROW($H$722))), INDEX($H$704:$P$704, 1, COLUMN()-COLUMN($H$704)+1), IF(H707=0, OFFSET(H723, 0, -$H$705) * $H$719, 0)))</f>
        <v>0</v>
      </c>
      <c r="I723" s="186">
        <f t="shared" si="157"/>
        <v>186000</v>
      </c>
      <c r="J723" s="186">
        <f t="shared" si="157"/>
        <v>0</v>
      </c>
      <c r="K723" s="186">
        <f t="shared" si="157"/>
        <v>148800</v>
      </c>
      <c r="L723" s="186">
        <f t="shared" si="157"/>
        <v>0</v>
      </c>
      <c r="M723" s="186">
        <f t="shared" si="157"/>
        <v>119040</v>
      </c>
      <c r="N723" s="186">
        <f t="shared" si="157"/>
        <v>0</v>
      </c>
      <c r="O723" s="186">
        <f t="shared" si="157"/>
        <v>95232</v>
      </c>
      <c r="P723" s="186">
        <f t="shared" si="157"/>
        <v>0</v>
      </c>
      <c r="Q723" s="1"/>
      <c r="R723" s="1"/>
      <c r="S723" s="1"/>
    </row>
    <row r="724" outlineLevel="1">
      <c r="A724" s="1"/>
      <c r="B724" s="1"/>
      <c r="C724" s="1"/>
      <c r="D724" s="1"/>
      <c r="E724" s="1"/>
      <c r="F724" s="13"/>
      <c r="G724" s="155"/>
      <c r="H724" s="186">
        <f t="shared" ref="H724:P724" si="158">IF(COLUMN() &lt; (COLUMN($H$722) + (ROW()-ROW($H$722))), 0, IF(COLUMN() = (COLUMN($H$722) + (ROW()-ROW($H$722))), INDEX($H$704:$P$704, 1, COLUMN()-COLUMN($H$704)+1), IF(H708=0, OFFSET(H724, 0, -$H$705) * $H$719, 0)))</f>
        <v>0</v>
      </c>
      <c r="I724" s="186">
        <f t="shared" si="158"/>
        <v>0</v>
      </c>
      <c r="J724" s="186">
        <f t="shared" si="158"/>
        <v>108000</v>
      </c>
      <c r="K724" s="186">
        <f t="shared" si="158"/>
        <v>0</v>
      </c>
      <c r="L724" s="186">
        <f t="shared" si="158"/>
        <v>86400</v>
      </c>
      <c r="M724" s="186">
        <f t="shared" si="158"/>
        <v>0</v>
      </c>
      <c r="N724" s="186">
        <f t="shared" si="158"/>
        <v>69120</v>
      </c>
      <c r="O724" s="186">
        <f t="shared" si="158"/>
        <v>0</v>
      </c>
      <c r="P724" s="186">
        <f t="shared" si="158"/>
        <v>55296</v>
      </c>
      <c r="Q724" s="1"/>
      <c r="R724" s="1"/>
      <c r="S724" s="1"/>
    </row>
    <row r="725" outlineLevel="1">
      <c r="A725" s="1"/>
      <c r="B725" s="1"/>
      <c r="C725" s="1"/>
      <c r="D725" s="1"/>
      <c r="E725" s="1"/>
      <c r="F725" s="13"/>
      <c r="G725" s="155"/>
      <c r="H725" s="186">
        <f t="shared" ref="H725:P725" si="159">IF(COLUMN() &lt; (COLUMN($H$722) + (ROW()-ROW($H$722))), 0, IF(COLUMN() = (COLUMN($H$722) + (ROW()-ROW($H$722))), INDEX($H$704:$P$704,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90000</v>
      </c>
      <c r="L725" s="186">
        <f t="shared" si="159"/>
        <v>0</v>
      </c>
      <c r="M725" s="186">
        <f t="shared" si="159"/>
        <v>72000</v>
      </c>
      <c r="N725" s="186">
        <f t="shared" si="159"/>
        <v>0</v>
      </c>
      <c r="O725" s="186">
        <f t="shared" si="159"/>
        <v>57600</v>
      </c>
      <c r="P725" s="186">
        <f t="shared" si="159"/>
        <v>0</v>
      </c>
      <c r="Q725" s="1"/>
      <c r="R725" s="1"/>
      <c r="S725" s="1"/>
    </row>
    <row r="726" outlineLevel="1">
      <c r="A726" s="1"/>
      <c r="B726" s="1"/>
      <c r="C726" s="1"/>
      <c r="D726" s="1"/>
      <c r="E726" s="1"/>
      <c r="F726" s="13"/>
      <c r="G726" s="155"/>
      <c r="H726" s="186">
        <f t="shared" ref="H726:P726" si="160">IF(COLUMN() &lt; (COLUMN($H$722) + (ROW()-ROW($H$722))), 0, IF(COLUMN() = (COLUMN($H$722) + (ROW()-ROW($H$722))), INDEX($H$704:$P$704,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66000</v>
      </c>
      <c r="M726" s="186">
        <f t="shared" si="160"/>
        <v>0</v>
      </c>
      <c r="N726" s="186">
        <f t="shared" si="160"/>
        <v>52800</v>
      </c>
      <c r="O726" s="186">
        <f t="shared" si="160"/>
        <v>0</v>
      </c>
      <c r="P726" s="186">
        <f t="shared" si="160"/>
        <v>42240</v>
      </c>
      <c r="Q726" s="1"/>
      <c r="R726" s="1"/>
      <c r="S726" s="1"/>
    </row>
    <row r="727" outlineLevel="1">
      <c r="A727" s="1"/>
      <c r="B727" s="1"/>
      <c r="C727" s="1"/>
      <c r="D727" s="1"/>
      <c r="E727" s="1"/>
      <c r="F727" s="13"/>
      <c r="G727" s="155"/>
      <c r="H727" s="186">
        <f t="shared" ref="H727:P727" si="161">IF(COLUMN() &lt; (COLUMN($H$722) + (ROW()-ROW($H$722))), 0, IF(COLUMN() = (COLUMN($H$722) + (ROW()-ROW($H$722))), INDEX($H$704:$P$704,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86">
        <f t="shared" si="161"/>
        <v>60000</v>
      </c>
      <c r="N727" s="186">
        <f t="shared" si="161"/>
        <v>0</v>
      </c>
      <c r="O727" s="186">
        <f t="shared" si="161"/>
        <v>48000</v>
      </c>
      <c r="P727" s="186">
        <f t="shared" si="161"/>
        <v>0</v>
      </c>
      <c r="Q727" s="1"/>
      <c r="R727" s="1"/>
      <c r="S727" s="1"/>
    </row>
    <row r="728" outlineLevel="1">
      <c r="A728" s="1"/>
      <c r="B728" s="1"/>
      <c r="C728" s="1"/>
      <c r="D728" s="1"/>
      <c r="E728" s="1"/>
      <c r="F728" s="13"/>
      <c r="G728" s="155"/>
      <c r="H728" s="186">
        <f t="shared" ref="H728:P728" si="162">IF(COLUMN() &lt; (COLUMN($H$722) + (ROW()-ROW($H$722))), 0, IF(COLUMN() = (COLUMN($H$722) + (ROW()-ROW($H$722))), INDEX($H$704:$P$704,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86">
        <f t="shared" si="162"/>
        <v>0</v>
      </c>
      <c r="N728" s="186">
        <f t="shared" si="162"/>
        <v>48000</v>
      </c>
      <c r="O728" s="186">
        <f t="shared" si="162"/>
        <v>0</v>
      </c>
      <c r="P728" s="186">
        <f t="shared" si="162"/>
        <v>38400</v>
      </c>
      <c r="Q728" s="1"/>
      <c r="R728" s="1"/>
      <c r="S728" s="1"/>
    </row>
    <row r="729" outlineLevel="1">
      <c r="A729" s="1"/>
      <c r="B729" s="1"/>
      <c r="C729" s="1"/>
      <c r="D729" s="1"/>
      <c r="E729" s="1"/>
      <c r="F729" s="13"/>
      <c r="G729" s="155"/>
      <c r="H729" s="186">
        <f t="shared" ref="H729:P729" si="163">IF(COLUMN() &lt; (COLUMN($H$722) + (ROW()-ROW($H$722))), 0, IF(COLUMN() = (COLUMN($H$722) + (ROW()-ROW($H$722))), INDEX($H$704:$P$704,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86">
        <f t="shared" si="163"/>
        <v>0</v>
      </c>
      <c r="N729" s="186">
        <f t="shared" si="163"/>
        <v>0</v>
      </c>
      <c r="O729" s="186">
        <f t="shared" si="163"/>
        <v>36000</v>
      </c>
      <c r="P729" s="186">
        <f t="shared" si="163"/>
        <v>0</v>
      </c>
      <c r="Q729" s="1"/>
      <c r="R729" s="1"/>
      <c r="S729" s="1"/>
    </row>
    <row r="730" outlineLevel="1">
      <c r="A730" s="1"/>
      <c r="B730" s="1"/>
      <c r="C730" s="1"/>
      <c r="D730" s="1"/>
      <c r="E730" s="1"/>
      <c r="F730" s="13"/>
      <c r="G730" s="155"/>
      <c r="H730" s="186">
        <f t="shared" ref="H730:P730" si="164">IF(COLUMN() &lt; (COLUMN($H$722) + (ROW()-ROW($H$722))), 0, IF(COLUMN() = (COLUMN($H$722) + (ROW()-ROW($H$722))), INDEX($H$704:$P$704,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86">
        <f t="shared" si="164"/>
        <v>0</v>
      </c>
      <c r="N730" s="186">
        <f t="shared" si="164"/>
        <v>0</v>
      </c>
      <c r="O730" s="186">
        <f t="shared" si="164"/>
        <v>0</v>
      </c>
      <c r="P730" s="186">
        <f t="shared" si="164"/>
        <v>36000</v>
      </c>
      <c r="Q730" s="1"/>
      <c r="R730" s="1"/>
      <c r="S730" s="1"/>
    </row>
    <row r="731" outlineLevel="1">
      <c r="A731" s="1"/>
      <c r="B731" s="1"/>
      <c r="C731" s="1"/>
      <c r="D731" s="1"/>
      <c r="E731" s="1"/>
      <c r="F731" s="13"/>
      <c r="G731" s="155"/>
      <c r="H731" s="186">
        <f t="shared" ref="H731:P731" si="165">IF(COLUMN() &lt; (COLUMN($H$722) + (ROW()-ROW($H$722))), 0, IF(COLUMN() = (COLUMN($H$722) + (ROW()-ROW($H$722))), INDEX($H$704:$P$704,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86">
        <f t="shared" si="165"/>
        <v>0</v>
      </c>
      <c r="N731" s="186">
        <f t="shared" si="165"/>
        <v>0</v>
      </c>
      <c r="O731" s="186">
        <f t="shared" si="165"/>
        <v>0</v>
      </c>
      <c r="P731" s="186">
        <f t="shared" si="165"/>
        <v>0</v>
      </c>
      <c r="Q731" s="1"/>
      <c r="R731" s="1"/>
      <c r="S731" s="1"/>
    </row>
    <row r="732" outlineLevel="1">
      <c r="A732" s="1"/>
      <c r="B732" s="1"/>
      <c r="C732" s="1"/>
      <c r="D732" s="1"/>
      <c r="E732" s="1"/>
      <c r="F732" s="13"/>
      <c r="G732" s="155"/>
      <c r="H732" s="186">
        <f t="shared" ref="H732:P732" si="166">IF(COLUMN() &lt; (COLUMN($H$722) + (ROW()-ROW($H$722))), 0, IF(COLUMN() = (COLUMN($H$722) + (ROW()-ROW($H$722))), INDEX($H$704:$P$704,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86">
        <f t="shared" si="166"/>
        <v>0</v>
      </c>
      <c r="N732" s="186">
        <f t="shared" si="166"/>
        <v>0</v>
      </c>
      <c r="O732" s="186">
        <f t="shared" si="166"/>
        <v>0</v>
      </c>
      <c r="P732" s="186">
        <f t="shared" si="166"/>
        <v>0</v>
      </c>
      <c r="Q732" s="1"/>
      <c r="R732" s="1"/>
      <c r="S732" s="1"/>
    </row>
    <row r="733" outlineLevel="1">
      <c r="A733" s="1"/>
      <c r="B733" s="1"/>
      <c r="C733" s="1"/>
      <c r="D733" s="1"/>
      <c r="E733" s="1"/>
      <c r="F733" s="13"/>
      <c r="G733" s="155"/>
      <c r="H733" s="186">
        <f t="shared" ref="H733:P733" si="167">IF(COLUMN() &lt; (COLUMN($H$722) + (ROW()-ROW($H$722))), 0, IF(COLUMN() = (COLUMN($H$722) + (ROW()-ROW($H$722))), INDEX($H$704:$P$704,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86">
        <f t="shared" si="167"/>
        <v>0</v>
      </c>
      <c r="N733" s="186">
        <f t="shared" si="167"/>
        <v>0</v>
      </c>
      <c r="O733" s="186">
        <f t="shared" si="167"/>
        <v>0</v>
      </c>
      <c r="P733" s="186">
        <f t="shared" si="167"/>
        <v>0</v>
      </c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86"/>
      <c r="N734" s="186"/>
      <c r="O734" s="186"/>
      <c r="P734" s="186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P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84">
        <f t="shared" si="168"/>
        <v>0</v>
      </c>
      <c r="M735" s="184">
        <f t="shared" si="168"/>
        <v>0</v>
      </c>
      <c r="N735" s="184">
        <f t="shared" si="168"/>
        <v>0</v>
      </c>
      <c r="O735" s="184">
        <f t="shared" si="168"/>
        <v>610638</v>
      </c>
      <c r="P735" s="184">
        <f t="shared" si="168"/>
        <v>243600</v>
      </c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P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1218000</v>
      </c>
      <c r="J736" s="180">
        <f t="shared" si="169"/>
        <v>630000</v>
      </c>
      <c r="K736" s="180">
        <f t="shared" si="169"/>
        <v>588000</v>
      </c>
      <c r="L736" s="180">
        <f t="shared" si="169"/>
        <v>378000</v>
      </c>
      <c r="M736" s="180">
        <f t="shared" si="169"/>
        <v>378000</v>
      </c>
      <c r="N736" s="180">
        <f t="shared" si="169"/>
        <v>252000</v>
      </c>
      <c r="O736" s="180">
        <f t="shared" si="169"/>
        <v>168000</v>
      </c>
      <c r="P736" s="180">
        <f t="shared" si="169"/>
        <v>126000</v>
      </c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P737" si="170">H486</f>
        <v>3053190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84" t="str">
        <f t="shared" si="170"/>
        <v/>
      </c>
      <c r="M737" s="184" t="str">
        <f t="shared" si="170"/>
        <v/>
      </c>
      <c r="N737" s="184" t="str">
        <f t="shared" si="170"/>
        <v/>
      </c>
      <c r="O737" s="184" t="str">
        <f t="shared" si="170"/>
        <v/>
      </c>
      <c r="P737" s="184" t="str">
        <f t="shared" si="170"/>
        <v/>
      </c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P738" si="171">SUM(H736:H737)</f>
        <v>3053190</v>
      </c>
      <c r="I738" s="184">
        <f t="shared" si="171"/>
        <v>1218000</v>
      </c>
      <c r="J738" s="184">
        <f t="shared" si="171"/>
        <v>630000</v>
      </c>
      <c r="K738" s="184">
        <f t="shared" si="171"/>
        <v>588000</v>
      </c>
      <c r="L738" s="184">
        <f t="shared" si="171"/>
        <v>378000</v>
      </c>
      <c r="M738" s="184">
        <f t="shared" si="171"/>
        <v>378000</v>
      </c>
      <c r="N738" s="184">
        <f t="shared" si="171"/>
        <v>252000</v>
      </c>
      <c r="O738" s="184">
        <f t="shared" si="171"/>
        <v>168000</v>
      </c>
      <c r="P738" s="184">
        <f t="shared" si="171"/>
        <v>126000</v>
      </c>
      <c r="Q738" s="1"/>
      <c r="R738" s="1"/>
      <c r="S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86"/>
      <c r="N739" s="186"/>
      <c r="O739" s="186"/>
      <c r="P739" s="186"/>
      <c r="Q739" s="1"/>
      <c r="R739" s="1"/>
      <c r="S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P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86">
        <f t="shared" si="172"/>
        <v>3</v>
      </c>
      <c r="M740" s="186">
        <f t="shared" si="172"/>
        <v>2</v>
      </c>
      <c r="N740" s="186">
        <f t="shared" si="172"/>
        <v>1</v>
      </c>
      <c r="O740" s="186">
        <f t="shared" si="172"/>
        <v>0</v>
      </c>
      <c r="P740" s="186">
        <f t="shared" si="172"/>
        <v>6</v>
      </c>
      <c r="Q740" s="1"/>
      <c r="R740" s="1"/>
      <c r="S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P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86">
        <f t="shared" si="173"/>
        <v>4</v>
      </c>
      <c r="M741" s="186">
        <f t="shared" si="173"/>
        <v>3</v>
      </c>
      <c r="N741" s="186">
        <f t="shared" si="173"/>
        <v>2</v>
      </c>
      <c r="O741" s="186">
        <f t="shared" si="173"/>
        <v>1</v>
      </c>
      <c r="P741" s="186">
        <f t="shared" si="173"/>
        <v>0</v>
      </c>
      <c r="Q741" s="1"/>
      <c r="R741" s="1"/>
      <c r="S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P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86">
        <f t="shared" si="174"/>
        <v>5</v>
      </c>
      <c r="M742" s="186">
        <f t="shared" si="174"/>
        <v>4</v>
      </c>
      <c r="N742" s="186">
        <f t="shared" si="174"/>
        <v>3</v>
      </c>
      <c r="O742" s="186">
        <f t="shared" si="174"/>
        <v>2</v>
      </c>
      <c r="P742" s="186">
        <f t="shared" si="174"/>
        <v>1</v>
      </c>
      <c r="Q742" s="1"/>
      <c r="R742" s="1"/>
      <c r="S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P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86">
        <f t="shared" si="175"/>
        <v>6</v>
      </c>
      <c r="M743" s="186">
        <f t="shared" si="175"/>
        <v>5</v>
      </c>
      <c r="N743" s="186">
        <f t="shared" si="175"/>
        <v>4</v>
      </c>
      <c r="O743" s="186">
        <f t="shared" si="175"/>
        <v>3</v>
      </c>
      <c r="P743" s="186">
        <f t="shared" si="175"/>
        <v>2</v>
      </c>
      <c r="Q743" s="1"/>
      <c r="R743" s="1"/>
      <c r="S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P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86">
        <f t="shared" si="176"/>
        <v>7</v>
      </c>
      <c r="M744" s="186">
        <f t="shared" si="176"/>
        <v>6</v>
      </c>
      <c r="N744" s="186">
        <f t="shared" si="176"/>
        <v>5</v>
      </c>
      <c r="O744" s="186">
        <f t="shared" si="176"/>
        <v>4</v>
      </c>
      <c r="P744" s="186">
        <f t="shared" si="176"/>
        <v>3</v>
      </c>
      <c r="Q744" s="1"/>
      <c r="R744" s="1"/>
      <c r="S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P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86">
        <f t="shared" si="177"/>
        <v>0</v>
      </c>
      <c r="M745" s="186">
        <f t="shared" si="177"/>
        <v>7</v>
      </c>
      <c r="N745" s="186">
        <f t="shared" si="177"/>
        <v>6</v>
      </c>
      <c r="O745" s="186">
        <f t="shared" si="177"/>
        <v>5</v>
      </c>
      <c r="P745" s="186">
        <f t="shared" si="177"/>
        <v>4</v>
      </c>
      <c r="Q745" s="1"/>
      <c r="R745" s="1"/>
      <c r="S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P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86">
        <f t="shared" si="178"/>
        <v>0</v>
      </c>
      <c r="M746" s="186">
        <f t="shared" si="178"/>
        <v>0</v>
      </c>
      <c r="N746" s="186">
        <f t="shared" si="178"/>
        <v>7</v>
      </c>
      <c r="O746" s="186">
        <f t="shared" si="178"/>
        <v>6</v>
      </c>
      <c r="P746" s="186">
        <f t="shared" si="178"/>
        <v>5</v>
      </c>
      <c r="Q746" s="1"/>
      <c r="R746" s="1"/>
      <c r="S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P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86">
        <f t="shared" si="179"/>
        <v>0</v>
      </c>
      <c r="M747" s="186">
        <f t="shared" si="179"/>
        <v>0</v>
      </c>
      <c r="N747" s="186">
        <f t="shared" si="179"/>
        <v>0</v>
      </c>
      <c r="O747" s="186">
        <f t="shared" si="179"/>
        <v>7</v>
      </c>
      <c r="P747" s="186">
        <f t="shared" si="179"/>
        <v>6</v>
      </c>
      <c r="Q747" s="1"/>
      <c r="R747" s="1"/>
      <c r="S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P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86">
        <f t="shared" si="180"/>
        <v>0</v>
      </c>
      <c r="M748" s="186">
        <f t="shared" si="180"/>
        <v>0</v>
      </c>
      <c r="N748" s="186">
        <f t="shared" si="180"/>
        <v>0</v>
      </c>
      <c r="O748" s="186">
        <f t="shared" si="180"/>
        <v>0</v>
      </c>
      <c r="P748" s="186">
        <f t="shared" si="180"/>
        <v>7</v>
      </c>
      <c r="Q748" s="1"/>
      <c r="R748" s="1"/>
      <c r="S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P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86">
        <f t="shared" si="181"/>
        <v>0</v>
      </c>
      <c r="M749" s="186">
        <f t="shared" si="181"/>
        <v>0</v>
      </c>
      <c r="N749" s="186">
        <f t="shared" si="181"/>
        <v>0</v>
      </c>
      <c r="O749" s="186">
        <f t="shared" si="181"/>
        <v>0</v>
      </c>
      <c r="P749" s="186">
        <f t="shared" si="181"/>
        <v>0</v>
      </c>
      <c r="Q749" s="1"/>
      <c r="R749" s="1"/>
      <c r="S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P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86">
        <f t="shared" si="182"/>
        <v>0</v>
      </c>
      <c r="M750" s="186">
        <f t="shared" si="182"/>
        <v>0</v>
      </c>
      <c r="N750" s="186">
        <f t="shared" si="182"/>
        <v>0</v>
      </c>
      <c r="O750" s="186">
        <f t="shared" si="182"/>
        <v>0</v>
      </c>
      <c r="P750" s="186">
        <f t="shared" si="182"/>
        <v>0</v>
      </c>
      <c r="Q750" s="1"/>
      <c r="R750" s="1"/>
      <c r="S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P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86">
        <f t="shared" si="183"/>
        <v>0</v>
      </c>
      <c r="M751" s="186">
        <f t="shared" si="183"/>
        <v>0</v>
      </c>
      <c r="N751" s="186">
        <f t="shared" si="183"/>
        <v>0</v>
      </c>
      <c r="O751" s="186">
        <f t="shared" si="183"/>
        <v>0</v>
      </c>
      <c r="P751" s="186">
        <f t="shared" si="183"/>
        <v>0</v>
      </c>
      <c r="Q751" s="1"/>
      <c r="R751" s="1"/>
      <c r="S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86"/>
      <c r="N752" s="186"/>
      <c r="O752" s="186"/>
      <c r="P752" s="186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55"/>
      <c r="N753" s="155"/>
      <c r="O753" s="155"/>
      <c r="P753" s="155"/>
      <c r="Q753" s="1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P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84">
        <f t="shared" si="184"/>
        <v>0</v>
      </c>
      <c r="M754" s="184">
        <f t="shared" si="184"/>
        <v>0</v>
      </c>
      <c r="N754" s="184">
        <f t="shared" si="184"/>
        <v>0</v>
      </c>
      <c r="O754" s="184">
        <f t="shared" si="184"/>
        <v>610638</v>
      </c>
      <c r="P754" s="184">
        <f t="shared" si="184"/>
        <v>243600</v>
      </c>
      <c r="Q754" s="1"/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P755" si="185">SUM(H756:H767)</f>
        <v>3053190</v>
      </c>
      <c r="I755" s="184">
        <f t="shared" si="185"/>
        <v>1218000</v>
      </c>
      <c r="J755" s="184">
        <f t="shared" si="185"/>
        <v>630000</v>
      </c>
      <c r="K755" s="184">
        <f t="shared" si="185"/>
        <v>588000</v>
      </c>
      <c r="L755" s="184">
        <f t="shared" si="185"/>
        <v>378000</v>
      </c>
      <c r="M755" s="184">
        <f t="shared" si="185"/>
        <v>378000</v>
      </c>
      <c r="N755" s="184">
        <f t="shared" si="185"/>
        <v>252000</v>
      </c>
      <c r="O755" s="184">
        <f t="shared" si="185"/>
        <v>778638</v>
      </c>
      <c r="P755" s="184">
        <f t="shared" si="185"/>
        <v>369600</v>
      </c>
      <c r="Q755" s="1"/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P756" si="186">IF(COLUMN() &lt; (COLUMN($H$756) + (ROW()-ROW($H$756))), 0, IF(COLUMN() = (COLUMN($H$756) + (ROW()-ROW($H$756))), INDEX($H$738:$P$738, 1, COLUMN()-COLUMN($H$738)+1), IF(H740=0, OFFSET(H756, 0, -$H$739) * $H$753, 0)))</f>
        <v>3053190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86">
        <f t="shared" si="186"/>
        <v>0</v>
      </c>
      <c r="M756" s="186">
        <f t="shared" si="186"/>
        <v>0</v>
      </c>
      <c r="N756" s="186">
        <f t="shared" si="186"/>
        <v>0</v>
      </c>
      <c r="O756" s="186">
        <f t="shared" si="186"/>
        <v>610638</v>
      </c>
      <c r="P756" s="186">
        <f t="shared" si="186"/>
        <v>0</v>
      </c>
      <c r="Q756" s="1"/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P757" si="187">IF(COLUMN() &lt; (COLUMN($H$756) + (ROW()-ROW($H$756))), 0, IF(COLUMN() = (COLUMN($H$756) + (ROW()-ROW($H$756))), INDEX($H$738:$P$738, 1, COLUMN()-COLUMN($H$738)+1), IF(H741=0, OFFSET(H757, 0, -$H$739) * $H$753, 0)))</f>
        <v>0</v>
      </c>
      <c r="I757" s="186">
        <f t="shared" si="187"/>
        <v>1218000</v>
      </c>
      <c r="J757" s="186">
        <f t="shared" si="187"/>
        <v>0</v>
      </c>
      <c r="K757" s="186">
        <f t="shared" si="187"/>
        <v>0</v>
      </c>
      <c r="L757" s="186">
        <f t="shared" si="187"/>
        <v>0</v>
      </c>
      <c r="M757" s="186">
        <f t="shared" si="187"/>
        <v>0</v>
      </c>
      <c r="N757" s="186">
        <f t="shared" si="187"/>
        <v>0</v>
      </c>
      <c r="O757" s="186">
        <f t="shared" si="187"/>
        <v>0</v>
      </c>
      <c r="P757" s="186">
        <f t="shared" si="187"/>
        <v>243600</v>
      </c>
      <c r="Q757" s="1"/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P758" si="188">IF(COLUMN() &lt; (COLUMN($H$756) + (ROW()-ROW($H$756))), 0, IF(COLUMN() = (COLUMN($H$756) + (ROW()-ROW($H$756))), INDEX($H$738:$P$738, 1, COLUMN()-COLUMN($H$738)+1), IF(H742=0, OFFSET(H758, 0, -$H$739) * $H$753, 0)))</f>
        <v>0</v>
      </c>
      <c r="I758" s="186">
        <f t="shared" si="188"/>
        <v>0</v>
      </c>
      <c r="J758" s="186">
        <f t="shared" si="188"/>
        <v>630000</v>
      </c>
      <c r="K758" s="186">
        <f t="shared" si="188"/>
        <v>0</v>
      </c>
      <c r="L758" s="186">
        <f t="shared" si="188"/>
        <v>0</v>
      </c>
      <c r="M758" s="186">
        <f t="shared" si="188"/>
        <v>0</v>
      </c>
      <c r="N758" s="186">
        <f t="shared" si="188"/>
        <v>0</v>
      </c>
      <c r="O758" s="186">
        <f t="shared" si="188"/>
        <v>0</v>
      </c>
      <c r="P758" s="186">
        <f t="shared" si="188"/>
        <v>0</v>
      </c>
      <c r="Q758" s="1"/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P759" si="189">IF(COLUMN() &lt; (COLUMN($H$756) + (ROW()-ROW($H$756))), 0, IF(COLUMN() = (COLUMN($H$756) + (ROW()-ROW($H$756))), INDEX($H$738:$P$738,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588000</v>
      </c>
      <c r="L759" s="186">
        <f t="shared" si="189"/>
        <v>0</v>
      </c>
      <c r="M759" s="186">
        <f t="shared" si="189"/>
        <v>0</v>
      </c>
      <c r="N759" s="186">
        <f t="shared" si="189"/>
        <v>0</v>
      </c>
      <c r="O759" s="186">
        <f t="shared" si="189"/>
        <v>0</v>
      </c>
      <c r="P759" s="186">
        <f t="shared" si="189"/>
        <v>0</v>
      </c>
      <c r="Q759" s="1"/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P760" si="190">IF(COLUMN() &lt; (COLUMN($H$756) + (ROW()-ROW($H$756))), 0, IF(COLUMN() = (COLUMN($H$756) + (ROW()-ROW($H$756))), INDEX($H$738:$P$738,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86">
        <f t="shared" si="190"/>
        <v>378000</v>
      </c>
      <c r="M760" s="186">
        <f t="shared" si="190"/>
        <v>0</v>
      </c>
      <c r="N760" s="186">
        <f t="shared" si="190"/>
        <v>0</v>
      </c>
      <c r="O760" s="186">
        <f t="shared" si="190"/>
        <v>0</v>
      </c>
      <c r="P760" s="186">
        <f t="shared" si="190"/>
        <v>0</v>
      </c>
      <c r="Q760" s="1"/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P761" si="191">IF(COLUMN() &lt; (COLUMN($H$756) + (ROW()-ROW($H$756))), 0, IF(COLUMN() = (COLUMN($H$756) + (ROW()-ROW($H$756))), INDEX($H$738:$P$738,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86">
        <f t="shared" si="191"/>
        <v>0</v>
      </c>
      <c r="M761" s="186">
        <f t="shared" si="191"/>
        <v>378000</v>
      </c>
      <c r="N761" s="186">
        <f t="shared" si="191"/>
        <v>0</v>
      </c>
      <c r="O761" s="186">
        <f t="shared" si="191"/>
        <v>0</v>
      </c>
      <c r="P761" s="186">
        <f t="shared" si="191"/>
        <v>0</v>
      </c>
      <c r="Q761" s="1"/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P762" si="192">IF(COLUMN() &lt; (COLUMN($H$756) + (ROW()-ROW($H$756))), 0, IF(COLUMN() = (COLUMN($H$756) + (ROW()-ROW($H$756))), INDEX($H$738:$P$738,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86">
        <f t="shared" si="192"/>
        <v>0</v>
      </c>
      <c r="M762" s="186">
        <f t="shared" si="192"/>
        <v>0</v>
      </c>
      <c r="N762" s="186">
        <f t="shared" si="192"/>
        <v>252000</v>
      </c>
      <c r="O762" s="186">
        <f t="shared" si="192"/>
        <v>0</v>
      </c>
      <c r="P762" s="186">
        <f t="shared" si="192"/>
        <v>0</v>
      </c>
      <c r="Q762" s="1"/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P763" si="193">IF(COLUMN() &lt; (COLUMN($H$756) + (ROW()-ROW($H$756))), 0, IF(COLUMN() = (COLUMN($H$756) + (ROW()-ROW($H$756))), INDEX($H$738:$P$738,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86">
        <f t="shared" si="193"/>
        <v>0</v>
      </c>
      <c r="M763" s="186">
        <f t="shared" si="193"/>
        <v>0</v>
      </c>
      <c r="N763" s="186">
        <f t="shared" si="193"/>
        <v>0</v>
      </c>
      <c r="O763" s="186">
        <f t="shared" si="193"/>
        <v>168000</v>
      </c>
      <c r="P763" s="186">
        <f t="shared" si="193"/>
        <v>0</v>
      </c>
      <c r="Q763" s="1"/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P764" si="194">IF(COLUMN() &lt; (COLUMN($H$756) + (ROW()-ROW($H$756))), 0, IF(COLUMN() = (COLUMN($H$756) + (ROW()-ROW($H$756))), INDEX($H$738:$P$738,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86">
        <f t="shared" si="194"/>
        <v>0</v>
      </c>
      <c r="M764" s="186">
        <f t="shared" si="194"/>
        <v>0</v>
      </c>
      <c r="N764" s="186">
        <f t="shared" si="194"/>
        <v>0</v>
      </c>
      <c r="O764" s="186">
        <f t="shared" si="194"/>
        <v>0</v>
      </c>
      <c r="P764" s="186">
        <f t="shared" si="194"/>
        <v>126000</v>
      </c>
      <c r="Q764" s="1"/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P765" si="195">IF(COLUMN() &lt; (COLUMN($H$756) + (ROW()-ROW($H$756))), 0, IF(COLUMN() = (COLUMN($H$756) + (ROW()-ROW($H$756))), INDEX($H$738:$P$738,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86">
        <f t="shared" si="195"/>
        <v>0</v>
      </c>
      <c r="M765" s="186">
        <f t="shared" si="195"/>
        <v>0</v>
      </c>
      <c r="N765" s="186">
        <f t="shared" si="195"/>
        <v>0</v>
      </c>
      <c r="O765" s="186">
        <f t="shared" si="195"/>
        <v>0</v>
      </c>
      <c r="P765" s="186">
        <f t="shared" si="195"/>
        <v>0</v>
      </c>
      <c r="Q765" s="1"/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P766" si="196">IF(COLUMN() &lt; (COLUMN($H$756) + (ROW()-ROW($H$756))), 0, IF(COLUMN() = (COLUMN($H$756) + (ROW()-ROW($H$756))), INDEX($H$738:$P$738,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86">
        <f t="shared" si="196"/>
        <v>0</v>
      </c>
      <c r="M766" s="186">
        <f t="shared" si="196"/>
        <v>0</v>
      </c>
      <c r="N766" s="186">
        <f t="shared" si="196"/>
        <v>0</v>
      </c>
      <c r="O766" s="186">
        <f t="shared" si="196"/>
        <v>0</v>
      </c>
      <c r="P766" s="186">
        <f t="shared" si="196"/>
        <v>0</v>
      </c>
      <c r="Q766" s="1"/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P767" si="197">IF(COLUMN() &lt; (COLUMN($H$756) + (ROW()-ROW($H$756))), 0, IF(COLUMN() = (COLUMN($H$756) + (ROW()-ROW($H$756))), INDEX($H$738:$P$738,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86">
        <f t="shared" si="197"/>
        <v>0</v>
      </c>
      <c r="M767" s="186">
        <f t="shared" si="197"/>
        <v>0</v>
      </c>
      <c r="N767" s="186">
        <f t="shared" si="197"/>
        <v>0</v>
      </c>
      <c r="O767" s="186">
        <f t="shared" si="197"/>
        <v>0</v>
      </c>
      <c r="P767" s="186">
        <f t="shared" si="197"/>
        <v>0</v>
      </c>
      <c r="Q767" s="1"/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P768" si="198">IF(COLUMN() &lt; (COLUMN($H$756) + (ROW()-ROW($H$756))), 0, IF(COLUMN() = (COLUMN($H$756) + (ROW()-ROW($H$756))), INDEX($H$738:$P$738,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86">
        <f t="shared" si="198"/>
        <v>0</v>
      </c>
      <c r="M768" s="186">
        <f t="shared" si="198"/>
        <v>0</v>
      </c>
      <c r="N768" s="186">
        <f t="shared" si="198"/>
        <v>0</v>
      </c>
      <c r="O768" s="186">
        <f t="shared" si="198"/>
        <v>0</v>
      </c>
      <c r="P768" s="186">
        <f t="shared" si="198"/>
        <v>0</v>
      </c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86"/>
      <c r="N769" s="186"/>
      <c r="O769" s="186"/>
      <c r="P769" s="186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P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88">
        <f t="shared" si="199"/>
        <v>0</v>
      </c>
      <c r="M770" s="188">
        <f t="shared" si="199"/>
        <v>0</v>
      </c>
      <c r="N770" s="188">
        <f t="shared" si="199"/>
        <v>0</v>
      </c>
      <c r="O770" s="188">
        <f t="shared" si="199"/>
        <v>0</v>
      </c>
      <c r="P770" s="188">
        <f t="shared" si="199"/>
        <v>0</v>
      </c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P771" si="200">H771</f>
        <v>0</v>
      </c>
      <c r="J771" s="190">
        <f t="shared" si="200"/>
        <v>0</v>
      </c>
      <c r="K771" s="190">
        <f t="shared" si="200"/>
        <v>0</v>
      </c>
      <c r="L771" s="190">
        <f t="shared" si="200"/>
        <v>0</v>
      </c>
      <c r="M771" s="190">
        <f t="shared" si="200"/>
        <v>0</v>
      </c>
      <c r="N771" s="190">
        <f t="shared" si="200"/>
        <v>0</v>
      </c>
      <c r="O771" s="190">
        <f t="shared" si="200"/>
        <v>0</v>
      </c>
      <c r="P771" s="190">
        <f t="shared" si="200"/>
        <v>0</v>
      </c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P772" si="201">H772*H773</f>
        <v>0</v>
      </c>
      <c r="J772" s="188">
        <f t="shared" si="201"/>
        <v>0</v>
      </c>
      <c r="K772" s="188">
        <f t="shared" si="201"/>
        <v>0</v>
      </c>
      <c r="L772" s="188">
        <f t="shared" si="201"/>
        <v>0</v>
      </c>
      <c r="M772" s="188">
        <f t="shared" si="201"/>
        <v>0</v>
      </c>
      <c r="N772" s="188">
        <f t="shared" si="201"/>
        <v>0</v>
      </c>
      <c r="O772" s="188">
        <f t="shared" si="201"/>
        <v>0</v>
      </c>
      <c r="P772" s="188">
        <f t="shared" si="201"/>
        <v>0</v>
      </c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54">
        <v>0.0</v>
      </c>
      <c r="N773" s="154">
        <v>0.0</v>
      </c>
      <c r="O773" s="154">
        <v>0.0</v>
      </c>
      <c r="P773" s="154">
        <v>0.0</v>
      </c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P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88">
        <f t="shared" si="202"/>
        <v>0</v>
      </c>
      <c r="M774" s="188">
        <f t="shared" si="202"/>
        <v>0</v>
      </c>
      <c r="N774" s="188">
        <f t="shared" si="202"/>
        <v>0</v>
      </c>
      <c r="O774" s="188">
        <f t="shared" si="202"/>
        <v>0</v>
      </c>
      <c r="P774" s="188">
        <f t="shared" si="202"/>
        <v>0</v>
      </c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P779" si="203">SUM(H782,H785,H788,H791,H794)</f>
        <v>0</v>
      </c>
      <c r="I779" s="173">
        <f t="shared" si="203"/>
        <v>5402000</v>
      </c>
      <c r="J779" s="173">
        <f t="shared" si="203"/>
        <v>3359000</v>
      </c>
      <c r="K779" s="173">
        <f t="shared" si="203"/>
        <v>2550000</v>
      </c>
      <c r="L779" s="173">
        <f t="shared" si="203"/>
        <v>1692000</v>
      </c>
      <c r="M779" s="173">
        <f t="shared" si="203"/>
        <v>3309000</v>
      </c>
      <c r="N779" s="173">
        <f t="shared" si="203"/>
        <v>1170000</v>
      </c>
      <c r="O779" s="173">
        <f t="shared" si="203"/>
        <v>846000</v>
      </c>
      <c r="P779" s="173">
        <f t="shared" si="203"/>
        <v>2293000</v>
      </c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347</v>
      </c>
      <c r="E781" s="1"/>
      <c r="F781" s="1"/>
      <c r="G781" s="128"/>
      <c r="H781" s="128">
        <f t="shared" ref="H781:P781" si="204">IFERROR(H782/H$779,0)</f>
        <v>0</v>
      </c>
      <c r="I781" s="128">
        <f t="shared" si="204"/>
        <v>0.4287301</v>
      </c>
      <c r="J781" s="128">
        <f t="shared" si="204"/>
        <v>0.4569812444</v>
      </c>
      <c r="K781" s="128">
        <f t="shared" si="204"/>
        <v>0.4250980392</v>
      </c>
      <c r="L781" s="128">
        <f t="shared" si="204"/>
        <v>0.4231678487</v>
      </c>
      <c r="M781" s="128">
        <f t="shared" si="204"/>
        <v>0.4995466908</v>
      </c>
      <c r="N781" s="128">
        <f t="shared" si="204"/>
        <v>0.4376068376</v>
      </c>
      <c r="O781" s="128">
        <f t="shared" si="204"/>
        <v>0.4444444444</v>
      </c>
      <c r="P781" s="128">
        <f t="shared" si="204"/>
        <v>0.5342346271</v>
      </c>
      <c r="Q781" s="1"/>
      <c r="R781" s="1"/>
      <c r="S781" s="1"/>
    </row>
    <row r="782">
      <c r="A782" s="1"/>
      <c r="B782" s="1"/>
      <c r="C782" s="176" t="s">
        <v>285</v>
      </c>
      <c r="D782" s="176" t="s">
        <v>348</v>
      </c>
      <c r="E782" s="1"/>
      <c r="F782" s="1"/>
      <c r="G782" s="173"/>
      <c r="H782" s="173">
        <f t="shared" ref="H782:P782" si="205">SUM(H827,H872,H917,H963,H1008)</f>
        <v>0</v>
      </c>
      <c r="I782" s="173">
        <f t="shared" si="205"/>
        <v>2316000</v>
      </c>
      <c r="J782" s="173">
        <f t="shared" si="205"/>
        <v>1535000</v>
      </c>
      <c r="K782" s="173">
        <f t="shared" si="205"/>
        <v>1084000</v>
      </c>
      <c r="L782" s="173">
        <f t="shared" si="205"/>
        <v>716000</v>
      </c>
      <c r="M782" s="173">
        <f t="shared" si="205"/>
        <v>1653000</v>
      </c>
      <c r="N782" s="173">
        <f t="shared" si="205"/>
        <v>512000</v>
      </c>
      <c r="O782" s="173">
        <f t="shared" si="205"/>
        <v>376000</v>
      </c>
      <c r="P782" s="173">
        <f t="shared" si="205"/>
        <v>1225000</v>
      </c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"/>
      <c r="R783" s="1"/>
      <c r="S783" s="1"/>
    </row>
    <row r="784">
      <c r="A784" s="1"/>
      <c r="B784" s="1"/>
      <c r="C784" s="176" t="s">
        <v>287</v>
      </c>
      <c r="D784" s="176" t="s">
        <v>349</v>
      </c>
      <c r="E784" s="1"/>
      <c r="F784" s="1"/>
      <c r="G784" s="128"/>
      <c r="H784" s="128">
        <f t="shared" ref="H784:P784" si="206">IFERROR(H785/H$779,0)</f>
        <v>0</v>
      </c>
      <c r="I784" s="128">
        <f t="shared" si="206"/>
        <v>0.3113661607</v>
      </c>
      <c r="J784" s="128">
        <f t="shared" si="206"/>
        <v>0.2947305746</v>
      </c>
      <c r="K784" s="128">
        <f t="shared" si="206"/>
        <v>0.3090196078</v>
      </c>
      <c r="L784" s="128">
        <f t="shared" si="206"/>
        <v>0.3144208038</v>
      </c>
      <c r="M784" s="128">
        <f t="shared" si="206"/>
        <v>0.2423692959</v>
      </c>
      <c r="N784" s="128">
        <f t="shared" si="206"/>
        <v>0.305982906</v>
      </c>
      <c r="O784" s="128">
        <f t="shared" si="206"/>
        <v>0.3144208038</v>
      </c>
      <c r="P784" s="128">
        <f t="shared" si="206"/>
        <v>0.2136938509</v>
      </c>
      <c r="Q784" s="1"/>
      <c r="R784" s="1"/>
      <c r="S784" s="1"/>
    </row>
    <row r="785">
      <c r="A785" s="1"/>
      <c r="B785" s="1"/>
      <c r="C785" s="176" t="s">
        <v>285</v>
      </c>
      <c r="D785" s="176" t="s">
        <v>350</v>
      </c>
      <c r="E785" s="1"/>
      <c r="F785" s="1"/>
      <c r="G785" s="173"/>
      <c r="H785" s="173">
        <f t="shared" ref="H785:P785" si="207">SUM(H830,H875,H920,H966,H1011)</f>
        <v>0</v>
      </c>
      <c r="I785" s="173">
        <f t="shared" si="207"/>
        <v>1682000</v>
      </c>
      <c r="J785" s="173">
        <f t="shared" si="207"/>
        <v>990000</v>
      </c>
      <c r="K785" s="173">
        <f t="shared" si="207"/>
        <v>788000</v>
      </c>
      <c r="L785" s="173">
        <f t="shared" si="207"/>
        <v>532000</v>
      </c>
      <c r="M785" s="173">
        <f t="shared" si="207"/>
        <v>802000</v>
      </c>
      <c r="N785" s="173">
        <f t="shared" si="207"/>
        <v>358000</v>
      </c>
      <c r="O785" s="173">
        <f t="shared" si="207"/>
        <v>266000</v>
      </c>
      <c r="P785" s="173">
        <f t="shared" si="207"/>
        <v>490000</v>
      </c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"/>
      <c r="R786" s="1"/>
      <c r="S786" s="1"/>
    </row>
    <row r="787">
      <c r="A787" s="1"/>
      <c r="B787" s="1"/>
      <c r="C787" s="176" t="s">
        <v>287</v>
      </c>
      <c r="D787" s="13" t="s">
        <v>351</v>
      </c>
      <c r="E787" s="1"/>
      <c r="F787" s="1"/>
      <c r="G787" s="128"/>
      <c r="H787" s="128">
        <f t="shared" ref="H787:P787" si="208">IFERROR(H788/H$779,0)</f>
        <v>0</v>
      </c>
      <c r="I787" s="128">
        <f t="shared" si="208"/>
        <v>0.03443169197</v>
      </c>
      <c r="J787" s="128">
        <f t="shared" si="208"/>
        <v>0.03929740994</v>
      </c>
      <c r="K787" s="128">
        <f t="shared" si="208"/>
        <v>0.03529411765</v>
      </c>
      <c r="L787" s="128">
        <f t="shared" si="208"/>
        <v>0.0390070922</v>
      </c>
      <c r="M787" s="128">
        <f t="shared" si="208"/>
        <v>0.03505590813</v>
      </c>
      <c r="N787" s="128">
        <f t="shared" si="208"/>
        <v>0.04102564103</v>
      </c>
      <c r="O787" s="128">
        <f t="shared" si="208"/>
        <v>0.04255319149</v>
      </c>
      <c r="P787" s="128">
        <f t="shared" si="208"/>
        <v>0.04012211077</v>
      </c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352</v>
      </c>
      <c r="E788" s="1"/>
      <c r="F788" s="1"/>
      <c r="G788" s="173"/>
      <c r="H788" s="173">
        <f t="shared" ref="H788:P788" si="209">SUM(H833,H878,H923)</f>
        <v>0</v>
      </c>
      <c r="I788" s="173">
        <f t="shared" si="209"/>
        <v>186000</v>
      </c>
      <c r="J788" s="173">
        <f t="shared" si="209"/>
        <v>132000</v>
      </c>
      <c r="K788" s="173">
        <f t="shared" si="209"/>
        <v>90000</v>
      </c>
      <c r="L788" s="173">
        <f t="shared" si="209"/>
        <v>66000</v>
      </c>
      <c r="M788" s="173">
        <f t="shared" si="209"/>
        <v>116000</v>
      </c>
      <c r="N788" s="173">
        <f t="shared" si="209"/>
        <v>48000</v>
      </c>
      <c r="O788" s="173">
        <f t="shared" si="209"/>
        <v>36000</v>
      </c>
      <c r="P788" s="173">
        <f t="shared" si="209"/>
        <v>92000</v>
      </c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"/>
      <c r="R789" s="1"/>
      <c r="S789" s="1"/>
    </row>
    <row r="790">
      <c r="A790" s="1"/>
      <c r="B790" s="1"/>
      <c r="C790" s="176" t="s">
        <v>287</v>
      </c>
      <c r="D790" s="13" t="s">
        <v>353</v>
      </c>
      <c r="E790" s="1"/>
      <c r="F790" s="1"/>
      <c r="G790" s="128"/>
      <c r="H790" s="128">
        <f t="shared" ref="H790:P790" si="210">IFERROR(H791/H$779,0)</f>
        <v>0</v>
      </c>
      <c r="I790" s="128">
        <f t="shared" si="210"/>
        <v>0.2254720474</v>
      </c>
      <c r="J790" s="128">
        <f t="shared" si="210"/>
        <v>0.2089907711</v>
      </c>
      <c r="K790" s="128">
        <f t="shared" si="210"/>
        <v>0.2305882353</v>
      </c>
      <c r="L790" s="128">
        <f t="shared" si="210"/>
        <v>0.2234042553</v>
      </c>
      <c r="M790" s="128">
        <f t="shared" si="210"/>
        <v>0.2230281052</v>
      </c>
      <c r="N790" s="128">
        <f t="shared" si="210"/>
        <v>0.2153846154</v>
      </c>
      <c r="O790" s="128">
        <f t="shared" si="210"/>
        <v>0.1985815603</v>
      </c>
      <c r="P790" s="128">
        <f t="shared" si="210"/>
        <v>0.2119494113</v>
      </c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354</v>
      </c>
      <c r="E791" s="1"/>
      <c r="F791" s="1"/>
      <c r="G791" s="173"/>
      <c r="H791" s="173">
        <f t="shared" ref="H791:P791" si="211">SUM(H836,H881,H926)</f>
        <v>0</v>
      </c>
      <c r="I791" s="173">
        <f t="shared" si="211"/>
        <v>1218000</v>
      </c>
      <c r="J791" s="173">
        <f t="shared" si="211"/>
        <v>702000</v>
      </c>
      <c r="K791" s="173">
        <f t="shared" si="211"/>
        <v>588000</v>
      </c>
      <c r="L791" s="173">
        <f t="shared" si="211"/>
        <v>378000</v>
      </c>
      <c r="M791" s="173">
        <f t="shared" si="211"/>
        <v>738000</v>
      </c>
      <c r="N791" s="173">
        <f t="shared" si="211"/>
        <v>252000</v>
      </c>
      <c r="O791" s="173">
        <f t="shared" si="211"/>
        <v>168000</v>
      </c>
      <c r="P791" s="173">
        <f t="shared" si="211"/>
        <v>486000</v>
      </c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43"/>
      <c r="L792" s="143"/>
      <c r="M792" s="143"/>
      <c r="N792" s="143"/>
      <c r="O792" s="143"/>
      <c r="P792" s="143"/>
      <c r="Q792" s="1"/>
      <c r="R792" s="1"/>
      <c r="S792" s="1"/>
    </row>
    <row r="793">
      <c r="A793" s="1"/>
      <c r="B793" s="1"/>
      <c r="C793" s="176" t="s">
        <v>287</v>
      </c>
      <c r="D793" s="176" t="s">
        <v>355</v>
      </c>
      <c r="E793" s="1"/>
      <c r="F793" s="1"/>
      <c r="G793" s="128"/>
      <c r="H793" s="128">
        <f t="shared" ref="H793:P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28">
        <f t="shared" si="212"/>
        <v>0</v>
      </c>
      <c r="M793" s="128">
        <f t="shared" si="212"/>
        <v>0</v>
      </c>
      <c r="N793" s="128">
        <f t="shared" si="212"/>
        <v>0</v>
      </c>
      <c r="O793" s="128">
        <f t="shared" si="212"/>
        <v>0</v>
      </c>
      <c r="P793" s="128">
        <f t="shared" si="212"/>
        <v>0</v>
      </c>
      <c r="Q793" s="1"/>
      <c r="R793" s="1"/>
      <c r="S793" s="1"/>
    </row>
    <row r="794">
      <c r="A794" s="1"/>
      <c r="B794" s="1"/>
      <c r="C794" s="176" t="s">
        <v>285</v>
      </c>
      <c r="D794" s="176" t="s">
        <v>356</v>
      </c>
      <c r="E794" s="1"/>
      <c r="F794" s="1"/>
      <c r="G794" s="173"/>
      <c r="H794" s="173">
        <f t="shared" ref="H794:P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73">
        <f t="shared" si="213"/>
        <v>0</v>
      </c>
      <c r="M794" s="173">
        <f t="shared" si="213"/>
        <v>0</v>
      </c>
      <c r="N794" s="173">
        <f t="shared" si="213"/>
        <v>0</v>
      </c>
      <c r="O794" s="173">
        <f t="shared" si="213"/>
        <v>0</v>
      </c>
      <c r="P794" s="173">
        <f t="shared" si="213"/>
        <v>0</v>
      </c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30</v>
      </c>
      <c r="I797" s="197"/>
      <c r="J797" s="197"/>
      <c r="K797" s="197"/>
      <c r="L797" s="197"/>
      <c r="M797" s="197"/>
      <c r="N797" s="197"/>
      <c r="O797" s="197"/>
      <c r="P797" s="197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0.0125736</v>
      </c>
      <c r="H798" s="149">
        <f>SUM($H$416)</f>
        <v>1886040</v>
      </c>
      <c r="I798" s="197"/>
      <c r="J798" s="197"/>
      <c r="K798" s="197"/>
      <c r="L798" s="197"/>
      <c r="M798" s="197"/>
      <c r="N798" s="197"/>
      <c r="O798" s="197"/>
      <c r="P798" s="197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56"/>
      <c r="N799" s="156"/>
      <c r="O799" s="156"/>
      <c r="P799" s="156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150000000</v>
      </c>
      <c r="I800" s="149"/>
      <c r="J800" s="149"/>
      <c r="K800" s="149"/>
      <c r="L800" s="149"/>
      <c r="M800" s="149"/>
      <c r="N800" s="149"/>
      <c r="O800" s="149"/>
      <c r="P800" s="149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49"/>
      <c r="N801" s="149"/>
      <c r="O801" s="149"/>
      <c r="P801" s="149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0.0251472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>
        <v>0.3</v>
      </c>
      <c r="N802" s="145">
        <v>0.0</v>
      </c>
      <c r="O802" s="145">
        <v>0.0</v>
      </c>
      <c r="P802" s="145">
        <v>0.3</v>
      </c>
      <c r="Q802" s="145"/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3772080</v>
      </c>
      <c r="H803" s="149"/>
      <c r="I803" s="149"/>
      <c r="J803" s="149"/>
      <c r="K803" s="149"/>
      <c r="L803" s="149"/>
      <c r="M803" s="149"/>
      <c r="N803" s="149"/>
      <c r="O803" s="149"/>
      <c r="P803" s="149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1886040</v>
      </c>
      <c r="I804" s="149">
        <f t="shared" ref="I804:P804" si="214">H804+I813</f>
        <v>1886040</v>
      </c>
      <c r="J804" s="149">
        <f t="shared" si="214"/>
        <v>2056040</v>
      </c>
      <c r="K804" s="149">
        <f t="shared" si="214"/>
        <v>2056040</v>
      </c>
      <c r="L804" s="149">
        <f t="shared" si="214"/>
        <v>2056040</v>
      </c>
      <c r="M804" s="149">
        <f t="shared" si="214"/>
        <v>2546040</v>
      </c>
      <c r="N804" s="149">
        <f t="shared" si="214"/>
        <v>2546040</v>
      </c>
      <c r="O804" s="149">
        <f t="shared" si="214"/>
        <v>2546040</v>
      </c>
      <c r="P804" s="149">
        <f t="shared" si="214"/>
        <v>3036040</v>
      </c>
      <c r="Q804" s="199" t="str">
        <f>#REF!</f>
        <v>#REF!</v>
      </c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1886040</v>
      </c>
      <c r="H805" s="149">
        <f>$G$895*H802</f>
        <v>0</v>
      </c>
      <c r="I805" s="149">
        <f t="shared" ref="I805:P805" si="215">$G$805*I802</f>
        <v>0</v>
      </c>
      <c r="J805" s="149">
        <f t="shared" si="215"/>
        <v>188604</v>
      </c>
      <c r="K805" s="149">
        <f t="shared" si="215"/>
        <v>0</v>
      </c>
      <c r="L805" s="149">
        <f t="shared" si="215"/>
        <v>0</v>
      </c>
      <c r="M805" s="149">
        <f t="shared" si="215"/>
        <v>565812</v>
      </c>
      <c r="N805" s="149">
        <f t="shared" si="215"/>
        <v>0</v>
      </c>
      <c r="O805" s="149">
        <f t="shared" si="215"/>
        <v>0</v>
      </c>
      <c r="P805" s="149">
        <f t="shared" si="215"/>
        <v>565812</v>
      </c>
      <c r="Q805" s="199">
        <f>SUM(H805:P805)</f>
        <v>1320228</v>
      </c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42"/>
      <c r="N806" s="142"/>
      <c r="O806" s="142"/>
      <c r="P806" s="142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P807" si="216">$H$800-H804</f>
        <v>148113960</v>
      </c>
      <c r="I807" s="149">
        <f t="shared" si="216"/>
        <v>148113960</v>
      </c>
      <c r="J807" s="149">
        <f t="shared" si="216"/>
        <v>147943960</v>
      </c>
      <c r="K807" s="149">
        <f t="shared" si="216"/>
        <v>147943960</v>
      </c>
      <c r="L807" s="149">
        <f t="shared" si="216"/>
        <v>147943960</v>
      </c>
      <c r="M807" s="149">
        <f t="shared" si="216"/>
        <v>147453960</v>
      </c>
      <c r="N807" s="149">
        <f t="shared" si="216"/>
        <v>147453960</v>
      </c>
      <c r="O807" s="149">
        <f t="shared" si="216"/>
        <v>147453960</v>
      </c>
      <c r="P807" s="149">
        <f t="shared" si="216"/>
        <v>146963960</v>
      </c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Q808" si="217">IFERROR(H804/$H$890,0)</f>
        <v>0.008981142857</v>
      </c>
      <c r="I808" s="142">
        <f t="shared" si="217"/>
        <v>0.008981142857</v>
      </c>
      <c r="J808" s="142">
        <f t="shared" si="217"/>
        <v>0.009790666667</v>
      </c>
      <c r="K808" s="142">
        <f t="shared" si="217"/>
        <v>0.009790666667</v>
      </c>
      <c r="L808" s="142">
        <f t="shared" si="217"/>
        <v>0.009790666667</v>
      </c>
      <c r="M808" s="142">
        <f t="shared" si="217"/>
        <v>0.012124</v>
      </c>
      <c r="N808" s="142">
        <f t="shared" si="217"/>
        <v>0.012124</v>
      </c>
      <c r="O808" s="142">
        <f t="shared" si="217"/>
        <v>0.012124</v>
      </c>
      <c r="P808" s="142">
        <f t="shared" si="217"/>
        <v>0.01445733333</v>
      </c>
      <c r="Q808" s="200">
        <f t="shared" si="217"/>
        <v>0</v>
      </c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Q809" si="218">IFERROR(1-(H804/$H$800),0)</f>
        <v>0.9874264</v>
      </c>
      <c r="I809" s="142">
        <f t="shared" si="218"/>
        <v>0.9874264</v>
      </c>
      <c r="J809" s="142">
        <f t="shared" si="218"/>
        <v>0.9862930667</v>
      </c>
      <c r="K809" s="142">
        <f t="shared" si="218"/>
        <v>0.9862930667</v>
      </c>
      <c r="L809" s="142">
        <f t="shared" si="218"/>
        <v>0.9862930667</v>
      </c>
      <c r="M809" s="142">
        <f t="shared" si="218"/>
        <v>0.9830264</v>
      </c>
      <c r="N809" s="142">
        <f t="shared" si="218"/>
        <v>0.9830264</v>
      </c>
      <c r="O809" s="142">
        <f t="shared" si="218"/>
        <v>0.9830264</v>
      </c>
      <c r="P809" s="142">
        <f t="shared" si="218"/>
        <v>0.9797597333</v>
      </c>
      <c r="Q809" s="200">
        <f t="shared" si="218"/>
        <v>0</v>
      </c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58"/>
      <c r="N810" s="158"/>
      <c r="O810" s="158"/>
      <c r="P810" s="15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9">ROUNDUP(H805/H812,0)</f>
        <v>0</v>
      </c>
      <c r="I811" s="190">
        <f t="shared" si="219"/>
        <v>0</v>
      </c>
      <c r="J811" s="190">
        <f t="shared" si="219"/>
        <v>5</v>
      </c>
      <c r="K811" s="190">
        <f t="shared" si="219"/>
        <v>0</v>
      </c>
      <c r="L811" s="190">
        <f t="shared" si="219"/>
        <v>0</v>
      </c>
      <c r="M811" s="190">
        <f>ROUND(M805/M812,0)</f>
        <v>13</v>
      </c>
      <c r="N811" s="190">
        <f t="shared" ref="N811:P811" si="220">ROUNDUP(N805/N812,0)</f>
        <v>0</v>
      </c>
      <c r="O811" s="190">
        <f t="shared" si="220"/>
        <v>0</v>
      </c>
      <c r="P811" s="190">
        <f t="shared" si="220"/>
        <v>13</v>
      </c>
      <c r="Q811" s="201">
        <f>SUM(H811:P811)</f>
        <v>31</v>
      </c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56">
        <v>44500.0</v>
      </c>
      <c r="N812" s="156">
        <v>44500.0</v>
      </c>
      <c r="O812" s="156">
        <v>44500.0</v>
      </c>
      <c r="P812" s="156">
        <v>44500.0</v>
      </c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P813" si="221">SUM(H827,H830,H833,H836,H839)</f>
        <v>0</v>
      </c>
      <c r="I813" s="188">
        <f t="shared" si="221"/>
        <v>0</v>
      </c>
      <c r="J813" s="188">
        <f t="shared" si="221"/>
        <v>170000</v>
      </c>
      <c r="K813" s="188">
        <f t="shared" si="221"/>
        <v>0</v>
      </c>
      <c r="L813" s="188">
        <f t="shared" si="221"/>
        <v>0</v>
      </c>
      <c r="M813" s="188">
        <f t="shared" si="221"/>
        <v>490000</v>
      </c>
      <c r="N813" s="188">
        <f t="shared" si="221"/>
        <v>0</v>
      </c>
      <c r="O813" s="188">
        <f t="shared" si="221"/>
        <v>0</v>
      </c>
      <c r="P813" s="188">
        <f t="shared" si="221"/>
        <v>490000</v>
      </c>
      <c r="Q813" s="196">
        <f>SUM(H813:P813)</f>
        <v>1150000</v>
      </c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203">
        <v>0.5</v>
      </c>
      <c r="N814" s="203">
        <v>0.5</v>
      </c>
      <c r="O814" s="203">
        <v>0.5</v>
      </c>
      <c r="P814" s="203">
        <v>0.5</v>
      </c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203">
        <v>0.4</v>
      </c>
      <c r="N815" s="203">
        <v>0.4</v>
      </c>
      <c r="O815" s="203">
        <v>0.4</v>
      </c>
      <c r="P815" s="203">
        <v>0.4</v>
      </c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203">
        <v>0.05</v>
      </c>
      <c r="N816" s="203">
        <v>0.05</v>
      </c>
      <c r="O816" s="203">
        <v>0.05</v>
      </c>
      <c r="P816" s="203">
        <v>0.05</v>
      </c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203">
        <v>0.05</v>
      </c>
      <c r="N817" s="203">
        <v>0.05</v>
      </c>
      <c r="O817" s="203">
        <v>0.05</v>
      </c>
      <c r="P817" s="203">
        <v>0.05</v>
      </c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203">
        <v>0.0</v>
      </c>
      <c r="N818" s="203">
        <v>0.0</v>
      </c>
      <c r="O818" s="203">
        <v>0.0</v>
      </c>
      <c r="P818" s="203">
        <v>0.0</v>
      </c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204">
        <v>70000.0</v>
      </c>
      <c r="N819" s="204">
        <v>70000.0</v>
      </c>
      <c r="O819" s="204">
        <v>70000.0</v>
      </c>
      <c r="P819" s="204">
        <v>70000.0</v>
      </c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204">
        <v>10000.0</v>
      </c>
      <c r="N820" s="204">
        <v>10000.0</v>
      </c>
      <c r="O820" s="204">
        <v>10000.0</v>
      </c>
      <c r="P820" s="204">
        <v>10000.0</v>
      </c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204">
        <v>10000.0</v>
      </c>
      <c r="N821" s="204">
        <v>10000.0</v>
      </c>
      <c r="O821" s="204">
        <v>10000.0</v>
      </c>
      <c r="P821" s="204">
        <v>10000.0</v>
      </c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204">
        <v>100000.0</v>
      </c>
      <c r="N822" s="204">
        <v>100000.0</v>
      </c>
      <c r="O822" s="204">
        <v>100000.0</v>
      </c>
      <c r="P822" s="204">
        <v>100000.0</v>
      </c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204">
        <v>0.0</v>
      </c>
      <c r="N823" s="204">
        <v>0.0</v>
      </c>
      <c r="O823" s="204">
        <v>0.0</v>
      </c>
      <c r="P823" s="204">
        <v>0.0</v>
      </c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62">
        <f>IFERROR(__xludf.DUMMYFUNCTION("MATCH(
  MIN(FILTER(M819:M823,M819:M823&gt;0)),
  M819:M823,
  0
)
"),2.0)</f>
        <v>2</v>
      </c>
      <c r="N824" s="162">
        <f>IFERROR(__xludf.DUMMYFUNCTION("MATCH(
  MIN(FILTER(N819:N823,N819:N823&gt;0)),
  N819:N823,
  0
)
"),2.0)</f>
        <v>2</v>
      </c>
      <c r="O824" s="162">
        <f>IFERROR(__xludf.DUMMYFUNCTION("MATCH(
  MIN(FILTER(O819:O823,O819:O823&gt;0)),
  O819:O823,
  0
)
"),2.0)</f>
        <v>2</v>
      </c>
      <c r="P824" s="162">
        <f>IFERROR(__xludf.DUMMYFUNCTION("MATCH(
  MIN(FILTER(P819:P823,P819:P823&gt;0)),
  P819:P823,
  0
)
"),2.0)</f>
        <v>2</v>
      </c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48"/>
      <c r="N825" s="148"/>
      <c r="O825" s="148"/>
      <c r="P825" s="14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P826" si="222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2"/>
        <v>0</v>
      </c>
      <c r="J826" s="148">
        <f t="shared" si="222"/>
        <v>2</v>
      </c>
      <c r="K826" s="148">
        <f t="shared" si="222"/>
        <v>0</v>
      </c>
      <c r="L826" s="148">
        <f t="shared" si="222"/>
        <v>0</v>
      </c>
      <c r="M826" s="148">
        <f t="shared" si="222"/>
        <v>6</v>
      </c>
      <c r="N826" s="148">
        <f t="shared" si="222"/>
        <v>0</v>
      </c>
      <c r="O826" s="148">
        <f t="shared" si="222"/>
        <v>0</v>
      </c>
      <c r="P826" s="148">
        <f t="shared" si="222"/>
        <v>6</v>
      </c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P827" si="223">(H826*H819)</f>
        <v>0</v>
      </c>
      <c r="I827" s="150">
        <f t="shared" si="223"/>
        <v>0</v>
      </c>
      <c r="J827" s="150">
        <f t="shared" si="223"/>
        <v>140000</v>
      </c>
      <c r="K827" s="150">
        <f t="shared" si="223"/>
        <v>0</v>
      </c>
      <c r="L827" s="150">
        <f t="shared" si="223"/>
        <v>0</v>
      </c>
      <c r="M827" s="150">
        <f t="shared" si="223"/>
        <v>420000</v>
      </c>
      <c r="N827" s="150">
        <f t="shared" si="223"/>
        <v>0</v>
      </c>
      <c r="O827" s="150">
        <f t="shared" si="223"/>
        <v>0</v>
      </c>
      <c r="P827" s="150">
        <f t="shared" si="223"/>
        <v>420000</v>
      </c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48"/>
      <c r="N828" s="148"/>
      <c r="O828" s="148"/>
      <c r="P828" s="14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P829" si="224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4"/>
        <v>0</v>
      </c>
      <c r="J829" s="148">
        <f t="shared" si="224"/>
        <v>3</v>
      </c>
      <c r="K829" s="148">
        <f t="shared" si="224"/>
        <v>0</v>
      </c>
      <c r="L829" s="148">
        <f t="shared" si="224"/>
        <v>0</v>
      </c>
      <c r="M829" s="148">
        <f t="shared" si="224"/>
        <v>7</v>
      </c>
      <c r="N829" s="148">
        <f t="shared" si="224"/>
        <v>0</v>
      </c>
      <c r="O829" s="148">
        <f t="shared" si="224"/>
        <v>0</v>
      </c>
      <c r="P829" s="148">
        <f t="shared" si="224"/>
        <v>7</v>
      </c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P830" si="225">(H820*H829)</f>
        <v>0</v>
      </c>
      <c r="I830" s="150">
        <f t="shared" si="225"/>
        <v>0</v>
      </c>
      <c r="J830" s="150">
        <f t="shared" si="225"/>
        <v>30000</v>
      </c>
      <c r="K830" s="150">
        <f t="shared" si="225"/>
        <v>0</v>
      </c>
      <c r="L830" s="150">
        <f t="shared" si="225"/>
        <v>0</v>
      </c>
      <c r="M830" s="150">
        <f t="shared" si="225"/>
        <v>70000</v>
      </c>
      <c r="N830" s="150">
        <f t="shared" si="225"/>
        <v>0</v>
      </c>
      <c r="O830" s="150">
        <f t="shared" si="225"/>
        <v>0</v>
      </c>
      <c r="P830" s="150">
        <f t="shared" si="225"/>
        <v>70000</v>
      </c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48"/>
      <c r="N831" s="148"/>
      <c r="O831" s="148"/>
      <c r="P831" s="14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P832" si="226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6"/>
        <v>0</v>
      </c>
      <c r="J832" s="148">
        <f t="shared" si="226"/>
        <v>0</v>
      </c>
      <c r="K832" s="148">
        <f t="shared" si="226"/>
        <v>0</v>
      </c>
      <c r="L832" s="148">
        <f t="shared" si="226"/>
        <v>0</v>
      </c>
      <c r="M832" s="148">
        <f t="shared" si="226"/>
        <v>0</v>
      </c>
      <c r="N832" s="148">
        <f t="shared" si="226"/>
        <v>0</v>
      </c>
      <c r="O832" s="148">
        <f t="shared" si="226"/>
        <v>0</v>
      </c>
      <c r="P832" s="148">
        <f t="shared" si="226"/>
        <v>0</v>
      </c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P833" si="227">(H821*H832)</f>
        <v>0</v>
      </c>
      <c r="I833" s="150">
        <f t="shared" si="227"/>
        <v>0</v>
      </c>
      <c r="J833" s="150">
        <f t="shared" si="227"/>
        <v>0</v>
      </c>
      <c r="K833" s="150">
        <f t="shared" si="227"/>
        <v>0</v>
      </c>
      <c r="L833" s="150">
        <f t="shared" si="227"/>
        <v>0</v>
      </c>
      <c r="M833" s="150">
        <f t="shared" si="227"/>
        <v>0</v>
      </c>
      <c r="N833" s="150">
        <f t="shared" si="227"/>
        <v>0</v>
      </c>
      <c r="O833" s="150">
        <f t="shared" si="227"/>
        <v>0</v>
      </c>
      <c r="P833" s="150">
        <f t="shared" si="227"/>
        <v>0</v>
      </c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48"/>
      <c r="N834" s="148"/>
      <c r="O834" s="148"/>
      <c r="P834" s="14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P835" si="228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8"/>
        <v>0</v>
      </c>
      <c r="J835" s="148">
        <f t="shared" si="228"/>
        <v>0</v>
      </c>
      <c r="K835" s="148">
        <f t="shared" si="228"/>
        <v>0</v>
      </c>
      <c r="L835" s="148">
        <f t="shared" si="228"/>
        <v>0</v>
      </c>
      <c r="M835" s="148">
        <f t="shared" si="228"/>
        <v>0</v>
      </c>
      <c r="N835" s="148">
        <f t="shared" si="228"/>
        <v>0</v>
      </c>
      <c r="O835" s="148">
        <f t="shared" si="228"/>
        <v>0</v>
      </c>
      <c r="P835" s="148">
        <f t="shared" si="228"/>
        <v>0</v>
      </c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P836" si="229">(H822*H835)</f>
        <v>0</v>
      </c>
      <c r="I836" s="150">
        <f t="shared" si="229"/>
        <v>0</v>
      </c>
      <c r="J836" s="150">
        <f t="shared" si="229"/>
        <v>0</v>
      </c>
      <c r="K836" s="150">
        <f t="shared" si="229"/>
        <v>0</v>
      </c>
      <c r="L836" s="150">
        <f t="shared" si="229"/>
        <v>0</v>
      </c>
      <c r="M836" s="150">
        <f t="shared" si="229"/>
        <v>0</v>
      </c>
      <c r="N836" s="150">
        <f t="shared" si="229"/>
        <v>0</v>
      </c>
      <c r="O836" s="150">
        <f t="shared" si="229"/>
        <v>0</v>
      </c>
      <c r="P836" s="150">
        <f t="shared" si="229"/>
        <v>0</v>
      </c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48"/>
      <c r="N837" s="148"/>
      <c r="O837" s="148"/>
      <c r="P837" s="14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P838" si="230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30"/>
        <v>0</v>
      </c>
      <c r="J838" s="148">
        <f t="shared" si="230"/>
        <v>0</v>
      </c>
      <c r="K838" s="148">
        <f t="shared" si="230"/>
        <v>0</v>
      </c>
      <c r="L838" s="148">
        <f t="shared" si="230"/>
        <v>0</v>
      </c>
      <c r="M838" s="148">
        <f t="shared" si="230"/>
        <v>0</v>
      </c>
      <c r="N838" s="148">
        <f t="shared" si="230"/>
        <v>0</v>
      </c>
      <c r="O838" s="148">
        <f t="shared" si="230"/>
        <v>0</v>
      </c>
      <c r="P838" s="148">
        <f t="shared" si="230"/>
        <v>0</v>
      </c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P839" si="231">(H823*H838)</f>
        <v>0</v>
      </c>
      <c r="I839" s="150">
        <f t="shared" si="231"/>
        <v>0</v>
      </c>
      <c r="J839" s="150">
        <f t="shared" si="231"/>
        <v>0</v>
      </c>
      <c r="K839" s="150">
        <f t="shared" si="231"/>
        <v>0</v>
      </c>
      <c r="L839" s="150">
        <f t="shared" si="231"/>
        <v>0</v>
      </c>
      <c r="M839" s="150">
        <f t="shared" si="231"/>
        <v>0</v>
      </c>
      <c r="N839" s="150">
        <f t="shared" si="231"/>
        <v>0</v>
      </c>
      <c r="O839" s="150">
        <f t="shared" si="231"/>
        <v>0</v>
      </c>
      <c r="P839" s="150">
        <f t="shared" si="231"/>
        <v>0</v>
      </c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60"/>
      <c r="N840" s="160"/>
      <c r="O840" s="160"/>
      <c r="P840" s="160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40</v>
      </c>
      <c r="I842" s="206"/>
      <c r="J842" s="206"/>
      <c r="K842" s="206"/>
      <c r="L842" s="206"/>
      <c r="M842" s="206"/>
      <c r="N842" s="206"/>
      <c r="O842" s="206"/>
      <c r="P842" s="206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0.01642225</v>
      </c>
      <c r="H843" s="149">
        <f>H442</f>
        <v>1970670</v>
      </c>
      <c r="I843" s="149"/>
      <c r="J843" s="149"/>
      <c r="K843" s="149"/>
      <c r="L843" s="149"/>
      <c r="M843" s="149"/>
      <c r="N843" s="149"/>
      <c r="O843" s="149"/>
      <c r="P843" s="149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56"/>
      <c r="N844" s="156"/>
      <c r="O844" s="156"/>
      <c r="P844" s="156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120000000</v>
      </c>
      <c r="I845" s="149"/>
      <c r="J845" s="149"/>
      <c r="K845" s="149"/>
      <c r="L845" s="149"/>
      <c r="M845" s="149"/>
      <c r="N845" s="149"/>
      <c r="O845" s="149"/>
      <c r="P845" s="149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49"/>
      <c r="N846" s="149"/>
      <c r="O846" s="149"/>
      <c r="P846" s="149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0.04926675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>
        <v>0.3</v>
      </c>
      <c r="N847" s="145">
        <v>0.0</v>
      </c>
      <c r="O847" s="145">
        <v>0.0</v>
      </c>
      <c r="P847" s="145">
        <v>0.3</v>
      </c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5912010</v>
      </c>
      <c r="H848" s="19"/>
      <c r="I848" s="19"/>
      <c r="J848" s="19"/>
      <c r="K848" s="19"/>
      <c r="L848" s="19"/>
      <c r="M848" s="19"/>
      <c r="N848" s="19"/>
      <c r="O848" s="19"/>
      <c r="P848" s="19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1970670</v>
      </c>
      <c r="I849" s="149">
        <f t="shared" ref="I849:P849" si="232">H849+I858</f>
        <v>1970670</v>
      </c>
      <c r="J849" s="149">
        <f t="shared" si="232"/>
        <v>2311670</v>
      </c>
      <c r="K849" s="149">
        <f t="shared" si="232"/>
        <v>2311670</v>
      </c>
      <c r="L849" s="149">
        <f t="shared" si="232"/>
        <v>2311670</v>
      </c>
      <c r="M849" s="149">
        <f t="shared" si="232"/>
        <v>3462670</v>
      </c>
      <c r="N849" s="149">
        <f t="shared" si="232"/>
        <v>3462670</v>
      </c>
      <c r="O849" s="149">
        <f t="shared" si="232"/>
        <v>3462670</v>
      </c>
      <c r="P849" s="149">
        <f t="shared" si="232"/>
        <v>4613670</v>
      </c>
      <c r="Q849" s="199" t="str">
        <f>#REF!</f>
        <v>#REF!</v>
      </c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3941340</v>
      </c>
      <c r="H850" s="149">
        <f t="shared" ref="H850:P850" si="233">$G$850*H847</f>
        <v>0</v>
      </c>
      <c r="I850" s="149">
        <f t="shared" si="233"/>
        <v>0</v>
      </c>
      <c r="J850" s="149">
        <f t="shared" si="233"/>
        <v>394134</v>
      </c>
      <c r="K850" s="149">
        <f t="shared" si="233"/>
        <v>0</v>
      </c>
      <c r="L850" s="149">
        <f t="shared" si="233"/>
        <v>0</v>
      </c>
      <c r="M850" s="149">
        <f t="shared" si="233"/>
        <v>1182402</v>
      </c>
      <c r="N850" s="149">
        <f t="shared" si="233"/>
        <v>0</v>
      </c>
      <c r="O850" s="149">
        <f t="shared" si="233"/>
        <v>0</v>
      </c>
      <c r="P850" s="149">
        <f t="shared" si="233"/>
        <v>1182402</v>
      </c>
      <c r="Q850" s="199">
        <f>SUM(H850:P850)</f>
        <v>2758938</v>
      </c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42"/>
      <c r="N851" s="142"/>
      <c r="O851" s="142"/>
      <c r="P851" s="142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P852" si="234">$H$845-H849</f>
        <v>118029330</v>
      </c>
      <c r="I852" s="149">
        <f t="shared" si="234"/>
        <v>118029330</v>
      </c>
      <c r="J852" s="149">
        <f t="shared" si="234"/>
        <v>117688330</v>
      </c>
      <c r="K852" s="149">
        <f t="shared" si="234"/>
        <v>117688330</v>
      </c>
      <c r="L852" s="149">
        <f t="shared" si="234"/>
        <v>117688330</v>
      </c>
      <c r="M852" s="149">
        <f t="shared" si="234"/>
        <v>116537330</v>
      </c>
      <c r="N852" s="149">
        <f t="shared" si="234"/>
        <v>116537330</v>
      </c>
      <c r="O852" s="149">
        <f t="shared" si="234"/>
        <v>116537330</v>
      </c>
      <c r="P852" s="149">
        <f t="shared" si="234"/>
        <v>115386330</v>
      </c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Q853" si="235">IFERROR(H849/$H$845,0)</f>
        <v>0.01642225</v>
      </c>
      <c r="I853" s="142">
        <f t="shared" si="235"/>
        <v>0.01642225</v>
      </c>
      <c r="J853" s="142">
        <f t="shared" si="235"/>
        <v>0.01926391667</v>
      </c>
      <c r="K853" s="142">
        <f t="shared" si="235"/>
        <v>0.01926391667</v>
      </c>
      <c r="L853" s="142">
        <f t="shared" si="235"/>
        <v>0.01926391667</v>
      </c>
      <c r="M853" s="142">
        <f t="shared" si="235"/>
        <v>0.02885558333</v>
      </c>
      <c r="N853" s="142">
        <f t="shared" si="235"/>
        <v>0.02885558333</v>
      </c>
      <c r="O853" s="142">
        <f t="shared" si="235"/>
        <v>0.02885558333</v>
      </c>
      <c r="P853" s="142">
        <f t="shared" si="235"/>
        <v>0.03844725</v>
      </c>
      <c r="Q853" s="200">
        <f t="shared" si="235"/>
        <v>0</v>
      </c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Q854" si="236">IFERROR(1-(H849/$H$845),0)</f>
        <v>0.98357775</v>
      </c>
      <c r="I854" s="142">
        <f t="shared" si="236"/>
        <v>0.98357775</v>
      </c>
      <c r="J854" s="142">
        <f t="shared" si="236"/>
        <v>0.9807360833</v>
      </c>
      <c r="K854" s="142">
        <f t="shared" si="236"/>
        <v>0.9807360833</v>
      </c>
      <c r="L854" s="142">
        <f t="shared" si="236"/>
        <v>0.9807360833</v>
      </c>
      <c r="M854" s="142">
        <f t="shared" si="236"/>
        <v>0.9711444167</v>
      </c>
      <c r="N854" s="142">
        <f t="shared" si="236"/>
        <v>0.9711444167</v>
      </c>
      <c r="O854" s="142">
        <f t="shared" si="236"/>
        <v>0.9711444167</v>
      </c>
      <c r="P854" s="142">
        <f t="shared" si="236"/>
        <v>0.96155275</v>
      </c>
      <c r="Q854" s="200">
        <f t="shared" si="236"/>
        <v>0</v>
      </c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7"/>
      <c r="N855" s="207"/>
      <c r="O855" s="207"/>
      <c r="P855" s="207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7">ROUNDUP(H850/H857,0)</f>
        <v>0</v>
      </c>
      <c r="I856" s="190">
        <f t="shared" si="237"/>
        <v>0</v>
      </c>
      <c r="J856" s="190">
        <f t="shared" si="237"/>
        <v>18</v>
      </c>
      <c r="K856" s="190">
        <f t="shared" si="237"/>
        <v>0</v>
      </c>
      <c r="L856" s="190">
        <f t="shared" si="237"/>
        <v>0</v>
      </c>
      <c r="M856" s="190">
        <f>ROUND(M850/M857,0)</f>
        <v>54</v>
      </c>
      <c r="N856" s="190">
        <f t="shared" ref="N856:P856" si="238">ROUNDUP(N850/N857,0)</f>
        <v>0</v>
      </c>
      <c r="O856" s="190">
        <f t="shared" si="238"/>
        <v>0</v>
      </c>
      <c r="P856" s="190">
        <f t="shared" si="238"/>
        <v>54</v>
      </c>
      <c r="Q856" s="201">
        <f>SUM(H856:P856)</f>
        <v>126</v>
      </c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56">
        <v>22000.0</v>
      </c>
      <c r="N857" s="156">
        <v>22000.0</v>
      </c>
      <c r="O857" s="156">
        <v>22000.0</v>
      </c>
      <c r="P857" s="156">
        <v>22000.0</v>
      </c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P858" si="239">SUM(H872,H875,H878,H881,H884)</f>
        <v>0</v>
      </c>
      <c r="I858" s="188">
        <f t="shared" si="239"/>
        <v>0</v>
      </c>
      <c r="J858" s="188">
        <f t="shared" si="239"/>
        <v>341000</v>
      </c>
      <c r="K858" s="188">
        <f t="shared" si="239"/>
        <v>0</v>
      </c>
      <c r="L858" s="188">
        <f t="shared" si="239"/>
        <v>0</v>
      </c>
      <c r="M858" s="188">
        <f t="shared" si="239"/>
        <v>1151000</v>
      </c>
      <c r="N858" s="188">
        <f t="shared" si="239"/>
        <v>0</v>
      </c>
      <c r="O858" s="188">
        <f t="shared" si="239"/>
        <v>0</v>
      </c>
      <c r="P858" s="188">
        <f t="shared" si="239"/>
        <v>1151000</v>
      </c>
      <c r="Q858" s="196">
        <f>SUM(H858:P858)</f>
        <v>2643000</v>
      </c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203">
        <v>0.4</v>
      </c>
      <c r="N859" s="203">
        <v>0.4</v>
      </c>
      <c r="O859" s="203">
        <v>0.4</v>
      </c>
      <c r="P859" s="203">
        <v>0.4</v>
      </c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203">
        <v>0.4</v>
      </c>
      <c r="N860" s="203">
        <v>0.4</v>
      </c>
      <c r="O860" s="203">
        <v>0.4</v>
      </c>
      <c r="P860" s="203">
        <v>0.4</v>
      </c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203">
        <v>0.1</v>
      </c>
      <c r="N861" s="203">
        <v>0.1</v>
      </c>
      <c r="O861" s="203">
        <v>0.1</v>
      </c>
      <c r="P861" s="203">
        <v>0.1</v>
      </c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203">
        <v>0.1</v>
      </c>
      <c r="N862" s="203">
        <v>0.1</v>
      </c>
      <c r="O862" s="203">
        <v>0.1</v>
      </c>
      <c r="P862" s="203">
        <v>0.1</v>
      </c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203">
        <v>0.0</v>
      </c>
      <c r="N863" s="203">
        <v>0.0</v>
      </c>
      <c r="O863" s="203">
        <v>0.0</v>
      </c>
      <c r="P863" s="203">
        <v>0.0</v>
      </c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204">
        <v>25000.0</v>
      </c>
      <c r="N864" s="204">
        <v>25000.0</v>
      </c>
      <c r="O864" s="204">
        <v>25000.0</v>
      </c>
      <c r="P864" s="204">
        <v>25000.0</v>
      </c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204">
        <v>10000.0</v>
      </c>
      <c r="N865" s="204">
        <v>10000.0</v>
      </c>
      <c r="O865" s="204">
        <v>10000.0</v>
      </c>
      <c r="P865" s="204">
        <v>10000.0</v>
      </c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204">
        <v>8000.0</v>
      </c>
      <c r="N866" s="204">
        <v>8000.0</v>
      </c>
      <c r="O866" s="204">
        <v>8000.0</v>
      </c>
      <c r="P866" s="204">
        <v>8000.0</v>
      </c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204">
        <v>72000.0</v>
      </c>
      <c r="N867" s="204">
        <v>72000.0</v>
      </c>
      <c r="O867" s="204">
        <v>72000.0</v>
      </c>
      <c r="P867" s="204">
        <v>72000.0</v>
      </c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204">
        <v>0.0</v>
      </c>
      <c r="N868" s="204">
        <v>0.0</v>
      </c>
      <c r="O868" s="204">
        <v>0.0</v>
      </c>
      <c r="P868" s="204">
        <v>0.0</v>
      </c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62">
        <f>IFERROR(__xludf.DUMMYFUNCTION("MATCH(
  MIN(FILTER(M864:M868,M864:M868&gt;0)),
  M864:M868,
  0
)
"),3.0)</f>
        <v>3</v>
      </c>
      <c r="N869" s="162">
        <f>IFERROR(__xludf.DUMMYFUNCTION("MATCH(
  MIN(FILTER(N864:N868,N864:N868&gt;0)),
  N864:N868,
  0
)
"),3.0)</f>
        <v>3</v>
      </c>
      <c r="O869" s="162">
        <f>IFERROR(__xludf.DUMMYFUNCTION("MATCH(
  MIN(FILTER(O864:O868,O864:O868&gt;0)),
  O864:O868,
  0
)
"),3.0)</f>
        <v>3</v>
      </c>
      <c r="P869" s="162">
        <f>IFERROR(__xludf.DUMMYFUNCTION("MATCH(
  MIN(FILTER(P864:P868,P864:P868&gt;0)),
  P864:P868,
  0
)
"),3.0)</f>
        <v>3</v>
      </c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48"/>
      <c r="N870" s="148"/>
      <c r="O870" s="148"/>
      <c r="P870" s="14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P871" si="240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40"/>
        <v>0</v>
      </c>
      <c r="J871" s="148">
        <f t="shared" si="240"/>
        <v>7</v>
      </c>
      <c r="K871" s="148">
        <f t="shared" si="240"/>
        <v>0</v>
      </c>
      <c r="L871" s="148">
        <f t="shared" si="240"/>
        <v>0</v>
      </c>
      <c r="M871" s="148">
        <f t="shared" si="240"/>
        <v>21</v>
      </c>
      <c r="N871" s="148">
        <f t="shared" si="240"/>
        <v>0</v>
      </c>
      <c r="O871" s="148">
        <f t="shared" si="240"/>
        <v>0</v>
      </c>
      <c r="P871" s="148">
        <f t="shared" si="240"/>
        <v>21</v>
      </c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P872" si="241">(H871*H864)</f>
        <v>0</v>
      </c>
      <c r="I872" s="150">
        <f t="shared" si="241"/>
        <v>0</v>
      </c>
      <c r="J872" s="150">
        <f t="shared" si="241"/>
        <v>175000</v>
      </c>
      <c r="K872" s="150">
        <f t="shared" si="241"/>
        <v>0</v>
      </c>
      <c r="L872" s="150">
        <f t="shared" si="241"/>
        <v>0</v>
      </c>
      <c r="M872" s="150">
        <f t="shared" si="241"/>
        <v>525000</v>
      </c>
      <c r="N872" s="150">
        <f t="shared" si="241"/>
        <v>0</v>
      </c>
      <c r="O872" s="150">
        <f t="shared" si="241"/>
        <v>0</v>
      </c>
      <c r="P872" s="150">
        <f t="shared" si="241"/>
        <v>525000</v>
      </c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48"/>
      <c r="N873" s="148"/>
      <c r="O873" s="148"/>
      <c r="P873" s="14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P874" si="242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2"/>
        <v>0</v>
      </c>
      <c r="J874" s="148">
        <f t="shared" si="242"/>
        <v>7</v>
      </c>
      <c r="K874" s="148">
        <f t="shared" si="242"/>
        <v>0</v>
      </c>
      <c r="L874" s="148">
        <f t="shared" si="242"/>
        <v>0</v>
      </c>
      <c r="M874" s="148">
        <f t="shared" si="242"/>
        <v>21</v>
      </c>
      <c r="N874" s="148">
        <f t="shared" si="242"/>
        <v>0</v>
      </c>
      <c r="O874" s="148">
        <f t="shared" si="242"/>
        <v>0</v>
      </c>
      <c r="P874" s="148">
        <f t="shared" si="242"/>
        <v>21</v>
      </c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P875" si="243">(H865*H874)</f>
        <v>0</v>
      </c>
      <c r="I875" s="150">
        <f t="shared" si="243"/>
        <v>0</v>
      </c>
      <c r="J875" s="150">
        <f t="shared" si="243"/>
        <v>70000</v>
      </c>
      <c r="K875" s="150">
        <f t="shared" si="243"/>
        <v>0</v>
      </c>
      <c r="L875" s="150">
        <f t="shared" si="243"/>
        <v>0</v>
      </c>
      <c r="M875" s="150">
        <f t="shared" si="243"/>
        <v>210000</v>
      </c>
      <c r="N875" s="150">
        <f t="shared" si="243"/>
        <v>0</v>
      </c>
      <c r="O875" s="150">
        <f t="shared" si="243"/>
        <v>0</v>
      </c>
      <c r="P875" s="150">
        <f t="shared" si="243"/>
        <v>210000</v>
      </c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48"/>
      <c r="N876" s="148"/>
      <c r="O876" s="148"/>
      <c r="P876" s="14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P877" si="244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4"/>
        <v>0</v>
      </c>
      <c r="J877" s="148">
        <f t="shared" si="244"/>
        <v>3</v>
      </c>
      <c r="K877" s="148">
        <f t="shared" si="244"/>
        <v>0</v>
      </c>
      <c r="L877" s="148">
        <f t="shared" si="244"/>
        <v>0</v>
      </c>
      <c r="M877" s="148">
        <f t="shared" si="244"/>
        <v>7</v>
      </c>
      <c r="N877" s="148">
        <f t="shared" si="244"/>
        <v>0</v>
      </c>
      <c r="O877" s="148">
        <f t="shared" si="244"/>
        <v>0</v>
      </c>
      <c r="P877" s="148">
        <f t="shared" si="244"/>
        <v>7</v>
      </c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P878" si="245">(H866*H877)</f>
        <v>0</v>
      </c>
      <c r="I878" s="150">
        <f t="shared" si="245"/>
        <v>0</v>
      </c>
      <c r="J878" s="150">
        <f t="shared" si="245"/>
        <v>24000</v>
      </c>
      <c r="K878" s="150">
        <f t="shared" si="245"/>
        <v>0</v>
      </c>
      <c r="L878" s="150">
        <f t="shared" si="245"/>
        <v>0</v>
      </c>
      <c r="M878" s="150">
        <f t="shared" si="245"/>
        <v>56000</v>
      </c>
      <c r="N878" s="150">
        <f t="shared" si="245"/>
        <v>0</v>
      </c>
      <c r="O878" s="150">
        <f t="shared" si="245"/>
        <v>0</v>
      </c>
      <c r="P878" s="150">
        <f t="shared" si="245"/>
        <v>56000</v>
      </c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48"/>
      <c r="N879" s="148"/>
      <c r="O879" s="148"/>
      <c r="P879" s="14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P880" si="246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6"/>
        <v>0</v>
      </c>
      <c r="J880" s="148">
        <f t="shared" si="246"/>
        <v>1</v>
      </c>
      <c r="K880" s="148">
        <f t="shared" si="246"/>
        <v>0</v>
      </c>
      <c r="L880" s="148">
        <f t="shared" si="246"/>
        <v>0</v>
      </c>
      <c r="M880" s="148">
        <f t="shared" si="246"/>
        <v>5</v>
      </c>
      <c r="N880" s="148">
        <f t="shared" si="246"/>
        <v>0</v>
      </c>
      <c r="O880" s="148">
        <f t="shared" si="246"/>
        <v>0</v>
      </c>
      <c r="P880" s="148">
        <f t="shared" si="246"/>
        <v>5</v>
      </c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P881" si="247">(H867*H880)</f>
        <v>0</v>
      </c>
      <c r="I881" s="150">
        <f t="shared" si="247"/>
        <v>0</v>
      </c>
      <c r="J881" s="150">
        <f t="shared" si="247"/>
        <v>72000</v>
      </c>
      <c r="K881" s="150">
        <f t="shared" si="247"/>
        <v>0</v>
      </c>
      <c r="L881" s="150">
        <f t="shared" si="247"/>
        <v>0</v>
      </c>
      <c r="M881" s="150">
        <f t="shared" si="247"/>
        <v>360000</v>
      </c>
      <c r="N881" s="150">
        <f t="shared" si="247"/>
        <v>0</v>
      </c>
      <c r="O881" s="150">
        <f t="shared" si="247"/>
        <v>0</v>
      </c>
      <c r="P881" s="150">
        <f t="shared" si="247"/>
        <v>360000</v>
      </c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48"/>
      <c r="N882" s="148"/>
      <c r="O882" s="148"/>
      <c r="P882" s="14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P883" si="248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8"/>
        <v>0</v>
      </c>
      <c r="J883" s="148">
        <f t="shared" si="248"/>
        <v>0</v>
      </c>
      <c r="K883" s="148">
        <f t="shared" si="248"/>
        <v>0</v>
      </c>
      <c r="L883" s="148">
        <f t="shared" si="248"/>
        <v>0</v>
      </c>
      <c r="M883" s="148">
        <f t="shared" si="248"/>
        <v>0</v>
      </c>
      <c r="N883" s="148">
        <f t="shared" si="248"/>
        <v>0</v>
      </c>
      <c r="O883" s="148">
        <f t="shared" si="248"/>
        <v>0</v>
      </c>
      <c r="P883" s="148">
        <f t="shared" si="248"/>
        <v>0</v>
      </c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P884" si="249">(H868*H883)</f>
        <v>0</v>
      </c>
      <c r="I884" s="150">
        <f t="shared" si="249"/>
        <v>0</v>
      </c>
      <c r="J884" s="150">
        <f t="shared" si="249"/>
        <v>0</v>
      </c>
      <c r="K884" s="150">
        <f t="shared" si="249"/>
        <v>0</v>
      </c>
      <c r="L884" s="150">
        <f t="shared" si="249"/>
        <v>0</v>
      </c>
      <c r="M884" s="150">
        <f t="shared" si="249"/>
        <v>0</v>
      </c>
      <c r="N884" s="150">
        <f t="shared" si="249"/>
        <v>0</v>
      </c>
      <c r="O884" s="150">
        <f t="shared" si="249"/>
        <v>0</v>
      </c>
      <c r="P884" s="150">
        <f t="shared" si="249"/>
        <v>0</v>
      </c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63"/>
      <c r="N885" s="163"/>
      <c r="O885" s="163"/>
      <c r="P885" s="163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210</v>
      </c>
      <c r="I887" s="209"/>
      <c r="J887" s="209"/>
      <c r="K887" s="209"/>
      <c r="L887" s="209"/>
      <c r="M887" s="209"/>
      <c r="N887" s="209"/>
      <c r="O887" s="209"/>
      <c r="P887" s="209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0.04004757143</v>
      </c>
      <c r="H888" s="210">
        <f>H$468</f>
        <v>8409990</v>
      </c>
      <c r="I888" s="209"/>
      <c r="J888" s="209"/>
      <c r="K888" s="209"/>
      <c r="L888" s="209"/>
      <c r="M888" s="209"/>
      <c r="N888" s="209"/>
      <c r="O888" s="209"/>
      <c r="P888" s="209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158"/>
      <c r="M889" s="158"/>
      <c r="N889" s="158"/>
      <c r="O889" s="158"/>
      <c r="P889" s="158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210000000</v>
      </c>
      <c r="I890" s="212"/>
      <c r="J890" s="212"/>
      <c r="K890" s="212"/>
      <c r="L890" s="212"/>
      <c r="M890" s="212"/>
      <c r="N890" s="212"/>
      <c r="O890" s="212"/>
      <c r="P890" s="212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2"/>
      <c r="N891" s="212"/>
      <c r="O891" s="212"/>
      <c r="P891" s="212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0.08009514286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3">
        <v>0.1</v>
      </c>
      <c r="N892" s="213">
        <v>0.07</v>
      </c>
      <c r="O892" s="213">
        <v>0.05</v>
      </c>
      <c r="P892" s="213">
        <v>0.04</v>
      </c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16819980</v>
      </c>
      <c r="H893" s="149"/>
      <c r="I893" s="149"/>
      <c r="J893" s="149"/>
      <c r="K893" s="149"/>
      <c r="L893" s="149"/>
      <c r="M893" s="149"/>
      <c r="N893" s="149"/>
      <c r="O893" s="149"/>
      <c r="P893" s="149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8409990</v>
      </c>
      <c r="I894" s="149">
        <f t="shared" ref="I894:P894" si="250">H894+I903</f>
        <v>11073990</v>
      </c>
      <c r="J894" s="149">
        <f t="shared" si="250"/>
        <v>12461990</v>
      </c>
      <c r="K894" s="149">
        <f t="shared" si="250"/>
        <v>13719990</v>
      </c>
      <c r="L894" s="149">
        <f t="shared" si="250"/>
        <v>14543990</v>
      </c>
      <c r="M894" s="149">
        <f t="shared" si="250"/>
        <v>15361990</v>
      </c>
      <c r="N894" s="149">
        <f t="shared" si="250"/>
        <v>15931990</v>
      </c>
      <c r="O894" s="149">
        <f t="shared" si="250"/>
        <v>16335990</v>
      </c>
      <c r="P894" s="149">
        <f t="shared" si="250"/>
        <v>16637990</v>
      </c>
      <c r="Q894" s="211" t="str">
        <f>#REF!</f>
        <v>#REF!</v>
      </c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8409990</v>
      </c>
      <c r="H895" s="149">
        <f t="shared" ref="H895:P895" si="251">$G$895*H892</f>
        <v>0</v>
      </c>
      <c r="I895" s="149">
        <f t="shared" si="251"/>
        <v>2691196.8</v>
      </c>
      <c r="J895" s="149">
        <f t="shared" si="251"/>
        <v>1429698.3</v>
      </c>
      <c r="K895" s="149">
        <f t="shared" si="251"/>
        <v>1261498.5</v>
      </c>
      <c r="L895" s="149">
        <f t="shared" si="251"/>
        <v>840999</v>
      </c>
      <c r="M895" s="149">
        <f t="shared" si="251"/>
        <v>840999</v>
      </c>
      <c r="N895" s="149">
        <f t="shared" si="251"/>
        <v>588699.3</v>
      </c>
      <c r="O895" s="149">
        <f t="shared" si="251"/>
        <v>420499.5</v>
      </c>
      <c r="P895" s="149">
        <f t="shared" si="251"/>
        <v>336399.6</v>
      </c>
      <c r="Q895" s="214">
        <f>SUM(H895:P895)</f>
        <v>8409990</v>
      </c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3"/>
      <c r="N896" s="213"/>
      <c r="O896" s="213"/>
      <c r="P896" s="213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P897" si="252">$H$890-H894</f>
        <v>201590010</v>
      </c>
      <c r="I897" s="149">
        <f t="shared" si="252"/>
        <v>198926010</v>
      </c>
      <c r="J897" s="149">
        <f t="shared" si="252"/>
        <v>197538010</v>
      </c>
      <c r="K897" s="149">
        <f t="shared" si="252"/>
        <v>196280010</v>
      </c>
      <c r="L897" s="149">
        <f t="shared" si="252"/>
        <v>195456010</v>
      </c>
      <c r="M897" s="149">
        <f t="shared" si="252"/>
        <v>194638010</v>
      </c>
      <c r="N897" s="149">
        <f t="shared" si="252"/>
        <v>194068010</v>
      </c>
      <c r="O897" s="149">
        <f t="shared" si="252"/>
        <v>193664010</v>
      </c>
      <c r="P897" s="149">
        <f t="shared" si="252"/>
        <v>193362010</v>
      </c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Q898" si="253">IFERROR(H894/$H$890,0)</f>
        <v>0.04004757143</v>
      </c>
      <c r="I898" s="142">
        <f t="shared" si="253"/>
        <v>0.05273328571</v>
      </c>
      <c r="J898" s="142">
        <f t="shared" si="253"/>
        <v>0.05934280952</v>
      </c>
      <c r="K898" s="142">
        <f t="shared" si="253"/>
        <v>0.06533328571</v>
      </c>
      <c r="L898" s="142">
        <f t="shared" si="253"/>
        <v>0.06925709524</v>
      </c>
      <c r="M898" s="142">
        <f t="shared" si="253"/>
        <v>0.07315233333</v>
      </c>
      <c r="N898" s="142">
        <f t="shared" si="253"/>
        <v>0.07586661905</v>
      </c>
      <c r="O898" s="142">
        <f t="shared" si="253"/>
        <v>0.07779042857</v>
      </c>
      <c r="P898" s="142">
        <f t="shared" si="253"/>
        <v>0.07922852381</v>
      </c>
      <c r="Q898" s="215">
        <f t="shared" si="253"/>
        <v>0</v>
      </c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Q899" si="254">IFERROR(1-(H894/$H$890),0)</f>
        <v>0.9599524286</v>
      </c>
      <c r="I899" s="216">
        <f t="shared" si="254"/>
        <v>0.9472667143</v>
      </c>
      <c r="J899" s="216">
        <f t="shared" si="254"/>
        <v>0.9406571905</v>
      </c>
      <c r="K899" s="216">
        <f t="shared" si="254"/>
        <v>0.9346667143</v>
      </c>
      <c r="L899" s="216">
        <f t="shared" si="254"/>
        <v>0.9307429048</v>
      </c>
      <c r="M899" s="216">
        <f t="shared" si="254"/>
        <v>0.9268476667</v>
      </c>
      <c r="N899" s="216">
        <f t="shared" si="254"/>
        <v>0.924133381</v>
      </c>
      <c r="O899" s="216">
        <f t="shared" si="254"/>
        <v>0.9222095714</v>
      </c>
      <c r="P899" s="216">
        <f t="shared" si="254"/>
        <v>0.9207714762</v>
      </c>
      <c r="Q899" s="215">
        <f t="shared" si="254"/>
        <v>0</v>
      </c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158"/>
      <c r="N900" s="158"/>
      <c r="O900" s="158"/>
      <c r="P900" s="158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5">ROUNDUP(H895/H902,0)</f>
        <v>0</v>
      </c>
      <c r="I901" s="217">
        <f t="shared" si="255"/>
        <v>149</v>
      </c>
      <c r="J901" s="217">
        <f t="shared" si="255"/>
        <v>79</v>
      </c>
      <c r="K901" s="217">
        <f t="shared" si="255"/>
        <v>70</v>
      </c>
      <c r="L901" s="217">
        <f t="shared" si="255"/>
        <v>47</v>
      </c>
      <c r="M901" s="217">
        <f>ROUND(M895/M902,0)</f>
        <v>46</v>
      </c>
      <c r="N901" s="217">
        <f t="shared" ref="N901:P901" si="256">ROUNDUP(N895/N902,0)</f>
        <v>33</v>
      </c>
      <c r="O901" s="217">
        <f t="shared" si="256"/>
        <v>24</v>
      </c>
      <c r="P901" s="217">
        <f t="shared" si="256"/>
        <v>19</v>
      </c>
      <c r="Q901" s="218">
        <f>SUM(H901:P901)</f>
        <v>467</v>
      </c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56">
        <v>18100.0</v>
      </c>
      <c r="N902" s="156">
        <v>18100.0</v>
      </c>
      <c r="O902" s="156">
        <v>18100.0</v>
      </c>
      <c r="P902" s="156">
        <v>18100.0</v>
      </c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P903" si="257">SUM(H917,H920,H923,H926,H929)</f>
        <v>0</v>
      </c>
      <c r="I903" s="188">
        <f t="shared" si="257"/>
        <v>2664000</v>
      </c>
      <c r="J903" s="188">
        <f t="shared" si="257"/>
        <v>1388000</v>
      </c>
      <c r="K903" s="188">
        <f t="shared" si="257"/>
        <v>1258000</v>
      </c>
      <c r="L903" s="188">
        <f t="shared" si="257"/>
        <v>824000</v>
      </c>
      <c r="M903" s="188">
        <f t="shared" si="257"/>
        <v>818000</v>
      </c>
      <c r="N903" s="188">
        <f t="shared" si="257"/>
        <v>570000</v>
      </c>
      <c r="O903" s="188">
        <f t="shared" si="257"/>
        <v>404000</v>
      </c>
      <c r="P903" s="188">
        <f t="shared" si="257"/>
        <v>302000</v>
      </c>
      <c r="Q903" s="214">
        <f>SUM(H903:P903)</f>
        <v>8228000</v>
      </c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203">
        <v>0.25</v>
      </c>
      <c r="N904" s="203">
        <v>0.25</v>
      </c>
      <c r="O904" s="203">
        <v>0.25</v>
      </c>
      <c r="P904" s="203">
        <v>0.25</v>
      </c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203">
        <v>0.35</v>
      </c>
      <c r="N905" s="203">
        <v>0.35</v>
      </c>
      <c r="O905" s="203">
        <v>0.35</v>
      </c>
      <c r="P905" s="203">
        <v>0.35</v>
      </c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203">
        <v>0.2</v>
      </c>
      <c r="N906" s="203">
        <v>0.2</v>
      </c>
      <c r="O906" s="203">
        <v>0.2</v>
      </c>
      <c r="P906" s="203">
        <v>0.2</v>
      </c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203">
        <v>0.2</v>
      </c>
      <c r="N907" s="203">
        <v>0.2</v>
      </c>
      <c r="O907" s="203">
        <v>0.2</v>
      </c>
      <c r="P907" s="203">
        <v>0.2</v>
      </c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203">
        <v>0.0</v>
      </c>
      <c r="N908" s="203">
        <v>0.0</v>
      </c>
      <c r="O908" s="203">
        <v>0.0</v>
      </c>
      <c r="P908" s="203">
        <v>0.0</v>
      </c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204">
        <v>20000.0</v>
      </c>
      <c r="N909" s="204">
        <v>20000.0</v>
      </c>
      <c r="O909" s="204">
        <v>20000.0</v>
      </c>
      <c r="P909" s="204">
        <v>20000.0</v>
      </c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204">
        <v>10000.0</v>
      </c>
      <c r="N910" s="204">
        <v>10000.0</v>
      </c>
      <c r="O910" s="204">
        <v>10000.0</v>
      </c>
      <c r="P910" s="204">
        <v>10000.0</v>
      </c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204">
        <v>6000.0</v>
      </c>
      <c r="N911" s="204">
        <v>6000.0</v>
      </c>
      <c r="O911" s="204">
        <v>6000.0</v>
      </c>
      <c r="P911" s="204">
        <v>6000.0</v>
      </c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204">
        <v>42000.0</v>
      </c>
      <c r="N912" s="204">
        <v>42000.0</v>
      </c>
      <c r="O912" s="204">
        <v>42000.0</v>
      </c>
      <c r="P912" s="204">
        <v>42000.0</v>
      </c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204">
        <v>0.0</v>
      </c>
      <c r="N913" s="204">
        <v>0.0</v>
      </c>
      <c r="O913" s="204">
        <v>0.0</v>
      </c>
      <c r="P913" s="204">
        <v>0.0</v>
      </c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62">
        <f>IFERROR(__xludf.DUMMYFUNCTION("MATCH(
  MIN(FILTER(M909:M913,M909:M913&gt;0)),
  M909:M913,
  0
)
"),3.0)</f>
        <v>3</v>
      </c>
      <c r="N914" s="162">
        <f>IFERROR(__xludf.DUMMYFUNCTION("MATCH(
  MIN(FILTER(N909:N913,N909:N913&gt;0)),
  N909:N913,
  0
)
"),3.0)</f>
        <v>3</v>
      </c>
      <c r="O914" s="162">
        <f>IFERROR(__xludf.DUMMYFUNCTION("MATCH(
  MIN(FILTER(O909:O913,O909:O913&gt;0)),
  O909:O913,
  0
)
"),3.0)</f>
        <v>3</v>
      </c>
      <c r="P914" s="162">
        <f>IFERROR(__xludf.DUMMYFUNCTION("MATCH(
  MIN(FILTER(P909:P913,P909:P913&gt;0)),
  P909:P913,
  0
)
"),3.0)</f>
        <v>3</v>
      </c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48"/>
      <c r="N915" s="148"/>
      <c r="O915" s="148"/>
      <c r="P915" s="14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P916" si="258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8"/>
        <v>37</v>
      </c>
      <c r="J916" s="148">
        <f t="shared" si="258"/>
        <v>19</v>
      </c>
      <c r="K916" s="148">
        <f t="shared" si="258"/>
        <v>17</v>
      </c>
      <c r="L916" s="148">
        <f t="shared" si="258"/>
        <v>11</v>
      </c>
      <c r="M916" s="148">
        <f t="shared" si="258"/>
        <v>11</v>
      </c>
      <c r="N916" s="148">
        <f t="shared" si="258"/>
        <v>8</v>
      </c>
      <c r="O916" s="148">
        <f t="shared" si="258"/>
        <v>6</v>
      </c>
      <c r="P916" s="148">
        <f t="shared" si="258"/>
        <v>4</v>
      </c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P917" si="259">(H916*H909)</f>
        <v>0</v>
      </c>
      <c r="I917" s="150">
        <f t="shared" si="259"/>
        <v>740000</v>
      </c>
      <c r="J917" s="150">
        <f t="shared" si="259"/>
        <v>380000</v>
      </c>
      <c r="K917" s="150">
        <f t="shared" si="259"/>
        <v>340000</v>
      </c>
      <c r="L917" s="150">
        <f t="shared" si="259"/>
        <v>220000</v>
      </c>
      <c r="M917" s="150">
        <f t="shared" si="259"/>
        <v>220000</v>
      </c>
      <c r="N917" s="150">
        <f t="shared" si="259"/>
        <v>160000</v>
      </c>
      <c r="O917" s="150">
        <f t="shared" si="259"/>
        <v>120000</v>
      </c>
      <c r="P917" s="150">
        <f t="shared" si="259"/>
        <v>80000</v>
      </c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48"/>
      <c r="N918" s="148"/>
      <c r="O918" s="148"/>
      <c r="P918" s="14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P919" si="260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60"/>
        <v>52</v>
      </c>
      <c r="J919" s="148">
        <f t="shared" si="260"/>
        <v>27</v>
      </c>
      <c r="K919" s="148">
        <f t="shared" si="260"/>
        <v>24</v>
      </c>
      <c r="L919" s="148">
        <f t="shared" si="260"/>
        <v>16</v>
      </c>
      <c r="M919" s="148">
        <f t="shared" si="260"/>
        <v>16</v>
      </c>
      <c r="N919" s="148">
        <f t="shared" si="260"/>
        <v>11</v>
      </c>
      <c r="O919" s="148">
        <f t="shared" si="260"/>
        <v>8</v>
      </c>
      <c r="P919" s="148">
        <f t="shared" si="260"/>
        <v>6</v>
      </c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P920" si="261">(H910*H919)</f>
        <v>0</v>
      </c>
      <c r="I920" s="150">
        <f t="shared" si="261"/>
        <v>520000</v>
      </c>
      <c r="J920" s="150">
        <f t="shared" si="261"/>
        <v>270000</v>
      </c>
      <c r="K920" s="150">
        <f t="shared" si="261"/>
        <v>240000</v>
      </c>
      <c r="L920" s="150">
        <f t="shared" si="261"/>
        <v>160000</v>
      </c>
      <c r="M920" s="150">
        <f t="shared" si="261"/>
        <v>160000</v>
      </c>
      <c r="N920" s="150">
        <f t="shared" si="261"/>
        <v>110000</v>
      </c>
      <c r="O920" s="150">
        <f t="shared" si="261"/>
        <v>80000</v>
      </c>
      <c r="P920" s="150">
        <f t="shared" si="261"/>
        <v>60000</v>
      </c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48"/>
      <c r="N921" s="148"/>
      <c r="O921" s="148"/>
      <c r="P921" s="14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P922" si="262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62"/>
        <v>31</v>
      </c>
      <c r="J922" s="148">
        <f t="shared" si="262"/>
        <v>18</v>
      </c>
      <c r="K922" s="148">
        <f t="shared" si="262"/>
        <v>15</v>
      </c>
      <c r="L922" s="148">
        <f t="shared" si="262"/>
        <v>11</v>
      </c>
      <c r="M922" s="148">
        <f t="shared" si="262"/>
        <v>10</v>
      </c>
      <c r="N922" s="148">
        <f t="shared" si="262"/>
        <v>8</v>
      </c>
      <c r="O922" s="148">
        <f t="shared" si="262"/>
        <v>6</v>
      </c>
      <c r="P922" s="148">
        <f t="shared" si="262"/>
        <v>6</v>
      </c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P923" si="263">(H911*H922)</f>
        <v>0</v>
      </c>
      <c r="I923" s="150">
        <f t="shared" si="263"/>
        <v>186000</v>
      </c>
      <c r="J923" s="150">
        <f t="shared" si="263"/>
        <v>108000</v>
      </c>
      <c r="K923" s="150">
        <f t="shared" si="263"/>
        <v>90000</v>
      </c>
      <c r="L923" s="150">
        <f t="shared" si="263"/>
        <v>66000</v>
      </c>
      <c r="M923" s="150">
        <f t="shared" si="263"/>
        <v>60000</v>
      </c>
      <c r="N923" s="150">
        <f t="shared" si="263"/>
        <v>48000</v>
      </c>
      <c r="O923" s="150">
        <f t="shared" si="263"/>
        <v>36000</v>
      </c>
      <c r="P923" s="150">
        <f t="shared" si="263"/>
        <v>36000</v>
      </c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48"/>
      <c r="N924" s="148"/>
      <c r="O924" s="148"/>
      <c r="P924" s="14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P925" si="264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4"/>
        <v>29</v>
      </c>
      <c r="J925" s="148">
        <f t="shared" si="264"/>
        <v>15</v>
      </c>
      <c r="K925" s="148">
        <f t="shared" si="264"/>
        <v>14</v>
      </c>
      <c r="L925" s="148">
        <f t="shared" si="264"/>
        <v>9</v>
      </c>
      <c r="M925" s="148">
        <f t="shared" si="264"/>
        <v>9</v>
      </c>
      <c r="N925" s="148">
        <f t="shared" si="264"/>
        <v>6</v>
      </c>
      <c r="O925" s="148">
        <f t="shared" si="264"/>
        <v>4</v>
      </c>
      <c r="P925" s="148">
        <f t="shared" si="264"/>
        <v>3</v>
      </c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P926" si="265">(H912*H925)</f>
        <v>0</v>
      </c>
      <c r="I926" s="150">
        <f t="shared" si="265"/>
        <v>1218000</v>
      </c>
      <c r="J926" s="150">
        <f t="shared" si="265"/>
        <v>630000</v>
      </c>
      <c r="K926" s="150">
        <f t="shared" si="265"/>
        <v>588000</v>
      </c>
      <c r="L926" s="150">
        <f t="shared" si="265"/>
        <v>378000</v>
      </c>
      <c r="M926" s="150">
        <f t="shared" si="265"/>
        <v>378000</v>
      </c>
      <c r="N926" s="150">
        <f t="shared" si="265"/>
        <v>252000</v>
      </c>
      <c r="O926" s="150">
        <f t="shared" si="265"/>
        <v>168000</v>
      </c>
      <c r="P926" s="150">
        <f t="shared" si="265"/>
        <v>126000</v>
      </c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48"/>
      <c r="N927" s="148"/>
      <c r="O927" s="148"/>
      <c r="P927" s="14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P928" si="266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6"/>
        <v>0</v>
      </c>
      <c r="J928" s="148">
        <f t="shared" si="266"/>
        <v>0</v>
      </c>
      <c r="K928" s="148">
        <f t="shared" si="266"/>
        <v>0</v>
      </c>
      <c r="L928" s="148">
        <f t="shared" si="266"/>
        <v>0</v>
      </c>
      <c r="M928" s="148">
        <f t="shared" si="266"/>
        <v>0</v>
      </c>
      <c r="N928" s="148">
        <f t="shared" si="266"/>
        <v>0</v>
      </c>
      <c r="O928" s="148">
        <f t="shared" si="266"/>
        <v>0</v>
      </c>
      <c r="P928" s="148">
        <f t="shared" si="266"/>
        <v>0</v>
      </c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P929" si="267">(H913*H928)</f>
        <v>0</v>
      </c>
      <c r="I929" s="150">
        <f t="shared" si="267"/>
        <v>0</v>
      </c>
      <c r="J929" s="150">
        <f t="shared" si="267"/>
        <v>0</v>
      </c>
      <c r="K929" s="150">
        <f t="shared" si="267"/>
        <v>0</v>
      </c>
      <c r="L929" s="150">
        <f t="shared" si="267"/>
        <v>0</v>
      </c>
      <c r="M929" s="150">
        <f t="shared" si="267"/>
        <v>0</v>
      </c>
      <c r="N929" s="150">
        <f t="shared" si="267"/>
        <v>0</v>
      </c>
      <c r="O929" s="150">
        <f t="shared" si="267"/>
        <v>0</v>
      </c>
      <c r="P929" s="150">
        <f t="shared" si="267"/>
        <v>0</v>
      </c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60"/>
      <c r="N930" s="160"/>
      <c r="O930" s="160"/>
      <c r="P930" s="160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63"/>
      <c r="N931" s="163"/>
      <c r="O931" s="163"/>
      <c r="P931" s="163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496</v>
      </c>
      <c r="I933" s="206"/>
      <c r="J933" s="206"/>
      <c r="K933" s="206"/>
      <c r="L933" s="206"/>
      <c r="M933" s="206"/>
      <c r="N933" s="206"/>
      <c r="O933" s="206"/>
      <c r="P933" s="206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0.2918854167</v>
      </c>
      <c r="H934" s="149">
        <f>SUM($H$494)</f>
        <v>13029765</v>
      </c>
      <c r="I934" s="149"/>
      <c r="J934" s="149"/>
      <c r="K934" s="149"/>
      <c r="L934" s="149"/>
      <c r="M934" s="149"/>
      <c r="N934" s="149"/>
      <c r="O934" s="149"/>
      <c r="P934" s="149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56"/>
      <c r="N935" s="156"/>
      <c r="O935" s="156"/>
      <c r="P935" s="156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44640000</v>
      </c>
      <c r="I936" s="149"/>
      <c r="J936" s="149"/>
      <c r="K936" s="149"/>
      <c r="L936" s="149"/>
      <c r="M936" s="149"/>
      <c r="N936" s="149"/>
      <c r="O936" s="149"/>
      <c r="P936" s="149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49"/>
      <c r="N937" s="149"/>
      <c r="O937" s="149"/>
      <c r="P937" s="149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0.437828125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13">
        <v>0.1</v>
      </c>
      <c r="N938" s="213">
        <v>0.07</v>
      </c>
      <c r="O938" s="213">
        <v>0.05</v>
      </c>
      <c r="P938" s="213">
        <v>0.04</v>
      </c>
      <c r="Q938" s="200">
        <f>SUM(H938:P938)</f>
        <v>1</v>
      </c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19544647.5</v>
      </c>
      <c r="H939" s="19"/>
      <c r="I939" s="19"/>
      <c r="J939" s="19"/>
      <c r="K939" s="19"/>
      <c r="L939" s="19"/>
      <c r="M939" s="19"/>
      <c r="N939" s="19"/>
      <c r="O939" s="19"/>
      <c r="P939" s="19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13029765</v>
      </c>
      <c r="I940" s="149">
        <f t="shared" ref="I940:P940" si="268">H940+I949</f>
        <v>15113765</v>
      </c>
      <c r="J940" s="149">
        <f t="shared" si="268"/>
        <v>16221765</v>
      </c>
      <c r="K940" s="149">
        <f t="shared" si="268"/>
        <v>17205765</v>
      </c>
      <c r="L940" s="149">
        <f t="shared" si="268"/>
        <v>17865765</v>
      </c>
      <c r="M940" s="149">
        <f t="shared" si="268"/>
        <v>18515765</v>
      </c>
      <c r="N940" s="149">
        <f t="shared" si="268"/>
        <v>18971765</v>
      </c>
      <c r="O940" s="149">
        <f t="shared" si="268"/>
        <v>19305765</v>
      </c>
      <c r="P940" s="149">
        <f t="shared" si="268"/>
        <v>19569765</v>
      </c>
      <c r="Q940" s="199" t="str">
        <f>#REF!</f>
        <v>#REF!</v>
      </c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6514882.5</v>
      </c>
      <c r="H941" s="149">
        <f t="shared" ref="H941:P941" si="269">$G$941*H938</f>
        <v>0</v>
      </c>
      <c r="I941" s="149">
        <f t="shared" si="269"/>
        <v>2084762.4</v>
      </c>
      <c r="J941" s="149">
        <f t="shared" si="269"/>
        <v>1107530.025</v>
      </c>
      <c r="K941" s="149">
        <f t="shared" si="269"/>
        <v>977232.375</v>
      </c>
      <c r="L941" s="149">
        <f t="shared" si="269"/>
        <v>651488.25</v>
      </c>
      <c r="M941" s="149">
        <f t="shared" si="269"/>
        <v>651488.25</v>
      </c>
      <c r="N941" s="149">
        <f t="shared" si="269"/>
        <v>456041.775</v>
      </c>
      <c r="O941" s="149">
        <f t="shared" si="269"/>
        <v>325744.125</v>
      </c>
      <c r="P941" s="149">
        <f t="shared" si="269"/>
        <v>260595.3</v>
      </c>
      <c r="Q941" s="199">
        <f>SUM(H941:P941)</f>
        <v>6514882.5</v>
      </c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49"/>
      <c r="N942" s="149"/>
      <c r="O942" s="149"/>
      <c r="P942" s="149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P943" si="270">$H$936-H940</f>
        <v>31610235</v>
      </c>
      <c r="I943" s="149">
        <f t="shared" si="270"/>
        <v>29526235</v>
      </c>
      <c r="J943" s="149">
        <f t="shared" si="270"/>
        <v>28418235</v>
      </c>
      <c r="K943" s="149">
        <f t="shared" si="270"/>
        <v>27434235</v>
      </c>
      <c r="L943" s="149">
        <f t="shared" si="270"/>
        <v>26774235</v>
      </c>
      <c r="M943" s="149">
        <f t="shared" si="270"/>
        <v>26124235</v>
      </c>
      <c r="N943" s="149">
        <f t="shared" si="270"/>
        <v>25668235</v>
      </c>
      <c r="O943" s="149">
        <f t="shared" si="270"/>
        <v>25334235</v>
      </c>
      <c r="P943" s="149">
        <f t="shared" si="270"/>
        <v>25070235</v>
      </c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Q944" si="271">IFERROR(H940/$H$936,0)</f>
        <v>0.2918854167</v>
      </c>
      <c r="I944" s="142">
        <f t="shared" si="271"/>
        <v>0.3385700045</v>
      </c>
      <c r="J944" s="142">
        <f t="shared" si="271"/>
        <v>0.363390793</v>
      </c>
      <c r="K944" s="142">
        <f t="shared" si="271"/>
        <v>0.3854338038</v>
      </c>
      <c r="L944" s="142">
        <f t="shared" si="271"/>
        <v>0.40021875</v>
      </c>
      <c r="M944" s="142">
        <f t="shared" si="271"/>
        <v>0.4147796819</v>
      </c>
      <c r="N944" s="142">
        <f t="shared" si="271"/>
        <v>0.4249947357</v>
      </c>
      <c r="O944" s="142">
        <f t="shared" si="271"/>
        <v>0.4324768145</v>
      </c>
      <c r="P944" s="142">
        <f t="shared" si="271"/>
        <v>0.438390793</v>
      </c>
      <c r="Q944" s="200">
        <f t="shared" si="271"/>
        <v>0</v>
      </c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Q945" si="272">IFERROR(1-(H940/$H$936),0)</f>
        <v>0.7081145833</v>
      </c>
      <c r="I945" s="142">
        <f t="shared" si="272"/>
        <v>0.6614299955</v>
      </c>
      <c r="J945" s="142">
        <f t="shared" si="272"/>
        <v>0.636609207</v>
      </c>
      <c r="K945" s="142">
        <f t="shared" si="272"/>
        <v>0.6145661962</v>
      </c>
      <c r="L945" s="142">
        <f t="shared" si="272"/>
        <v>0.59978125</v>
      </c>
      <c r="M945" s="142">
        <f t="shared" si="272"/>
        <v>0.5852203181</v>
      </c>
      <c r="N945" s="142">
        <f t="shared" si="272"/>
        <v>0.5750052643</v>
      </c>
      <c r="O945" s="142">
        <f t="shared" si="272"/>
        <v>0.5675231855</v>
      </c>
      <c r="P945" s="142">
        <f t="shared" si="272"/>
        <v>0.561609207</v>
      </c>
      <c r="Q945" s="200">
        <f t="shared" si="272"/>
        <v>0</v>
      </c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58"/>
      <c r="N946" s="158"/>
      <c r="O946" s="158"/>
      <c r="P946" s="15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3">ROUNDUP(H941/H948,0)</f>
        <v>0</v>
      </c>
      <c r="I947" s="190">
        <f t="shared" si="273"/>
        <v>237</v>
      </c>
      <c r="J947" s="190">
        <f t="shared" si="273"/>
        <v>126</v>
      </c>
      <c r="K947" s="190">
        <f t="shared" si="273"/>
        <v>112</v>
      </c>
      <c r="L947" s="190">
        <f t="shared" si="273"/>
        <v>75</v>
      </c>
      <c r="M947" s="190">
        <f>ROUND(M941/M948,0)</f>
        <v>74</v>
      </c>
      <c r="N947" s="190">
        <f t="shared" ref="N947:P947" si="274">ROUNDUP(N941/N948,0)</f>
        <v>52</v>
      </c>
      <c r="O947" s="190">
        <f t="shared" si="274"/>
        <v>38</v>
      </c>
      <c r="P947" s="190">
        <f t="shared" si="274"/>
        <v>30</v>
      </c>
      <c r="Q947" s="201">
        <f>SUM(H947:P947)</f>
        <v>744</v>
      </c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56">
        <v>8800.0</v>
      </c>
      <c r="N948" s="156">
        <v>8800.0</v>
      </c>
      <c r="O948" s="156">
        <v>8800.0</v>
      </c>
      <c r="P948" s="156">
        <v>8800.0</v>
      </c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P949" si="275">SUM(H963,H966,H969,H972,H975)</f>
        <v>0</v>
      </c>
      <c r="I949" s="188">
        <f t="shared" si="275"/>
        <v>2084000</v>
      </c>
      <c r="J949" s="188">
        <f t="shared" si="275"/>
        <v>1108000</v>
      </c>
      <c r="K949" s="188">
        <f t="shared" si="275"/>
        <v>984000</v>
      </c>
      <c r="L949" s="188">
        <f t="shared" si="275"/>
        <v>660000</v>
      </c>
      <c r="M949" s="188">
        <f t="shared" si="275"/>
        <v>650000</v>
      </c>
      <c r="N949" s="188">
        <f t="shared" si="275"/>
        <v>456000</v>
      </c>
      <c r="O949" s="188">
        <f t="shared" si="275"/>
        <v>334000</v>
      </c>
      <c r="P949" s="188">
        <f t="shared" si="275"/>
        <v>264000</v>
      </c>
      <c r="Q949" s="196">
        <f>SUM(H949:P949)</f>
        <v>6540000</v>
      </c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203">
        <v>0.6</v>
      </c>
      <c r="N950" s="203">
        <v>0.6</v>
      </c>
      <c r="O950" s="203">
        <v>0.6</v>
      </c>
      <c r="P950" s="203">
        <v>0.6</v>
      </c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203">
        <v>0.4</v>
      </c>
      <c r="N951" s="203">
        <v>0.4</v>
      </c>
      <c r="O951" s="203">
        <v>0.4</v>
      </c>
      <c r="P951" s="203">
        <v>0.4</v>
      </c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203">
        <v>0.0</v>
      </c>
      <c r="N952" s="203">
        <v>0.0</v>
      </c>
      <c r="O952" s="203">
        <v>0.0</v>
      </c>
      <c r="P952" s="203">
        <v>0.0</v>
      </c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203">
        <v>0.0</v>
      </c>
      <c r="N953" s="203">
        <v>0.0</v>
      </c>
      <c r="O953" s="203">
        <v>0.0</v>
      </c>
      <c r="P953" s="203">
        <v>0.0</v>
      </c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203">
        <v>0.0</v>
      </c>
      <c r="N954" s="203">
        <v>0.0</v>
      </c>
      <c r="O954" s="203">
        <v>0.0</v>
      </c>
      <c r="P954" s="203">
        <v>0.0</v>
      </c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204">
        <v>8000.0</v>
      </c>
      <c r="N955" s="204">
        <v>8000.0</v>
      </c>
      <c r="O955" s="204">
        <v>8000.0</v>
      </c>
      <c r="P955" s="204">
        <v>8000.0</v>
      </c>
      <c r="Q955" s="225"/>
      <c r="R955" s="225"/>
      <c r="S955" s="225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204">
        <v>10000.0</v>
      </c>
      <c r="N956" s="204">
        <v>10000.0</v>
      </c>
      <c r="O956" s="204">
        <v>10000.0</v>
      </c>
      <c r="P956" s="204">
        <v>10000.0</v>
      </c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204">
        <v>0.0</v>
      </c>
      <c r="N957" s="204">
        <v>0.0</v>
      </c>
      <c r="O957" s="204">
        <v>0.0</v>
      </c>
      <c r="P957" s="204">
        <v>0.0</v>
      </c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204">
        <v>0.0</v>
      </c>
      <c r="N958" s="204">
        <v>0.0</v>
      </c>
      <c r="O958" s="204">
        <v>0.0</v>
      </c>
      <c r="P958" s="204">
        <v>0.0</v>
      </c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204">
        <v>0.0</v>
      </c>
      <c r="N959" s="204">
        <v>0.0</v>
      </c>
      <c r="O959" s="204">
        <v>0.0</v>
      </c>
      <c r="P959" s="204">
        <v>0.0</v>
      </c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62">
        <f>IFERROR(__xludf.DUMMYFUNCTION("MATCH(
  MIN(FILTER(M955:M959,M955:M959&gt;0)),
  M955:M959,
  0
)
"),1.0)</f>
        <v>1</v>
      </c>
      <c r="N960" s="162">
        <f>IFERROR(__xludf.DUMMYFUNCTION("MATCH(
  MIN(FILTER(N955:N959,N955:N959&gt;0)),
  N955:N959,
  0
)
"),1.0)</f>
        <v>1</v>
      </c>
      <c r="O960" s="162">
        <f>IFERROR(__xludf.DUMMYFUNCTION("MATCH(
  MIN(FILTER(O955:O959,O955:O959&gt;0)),
  O955:O959,
  0
)
"),1.0)</f>
        <v>1</v>
      </c>
      <c r="P960" s="162">
        <f>IFERROR(__xludf.DUMMYFUNCTION("MATCH(
  MIN(FILTER(P955:P959,P955:P959&gt;0)),
  P955:P959,
  0
)
"),1.0)</f>
        <v>1</v>
      </c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48"/>
      <c r="N961" s="148"/>
      <c r="O961" s="148"/>
      <c r="P961" s="14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P962" si="276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6"/>
        <v>143</v>
      </c>
      <c r="J962" s="148">
        <f t="shared" si="276"/>
        <v>76</v>
      </c>
      <c r="K962" s="148">
        <f t="shared" si="276"/>
        <v>68</v>
      </c>
      <c r="L962" s="148">
        <f t="shared" si="276"/>
        <v>45</v>
      </c>
      <c r="M962" s="148">
        <f t="shared" si="276"/>
        <v>45</v>
      </c>
      <c r="N962" s="148">
        <f t="shared" si="276"/>
        <v>32</v>
      </c>
      <c r="O962" s="148">
        <f t="shared" si="276"/>
        <v>23</v>
      </c>
      <c r="P962" s="148">
        <f t="shared" si="276"/>
        <v>18</v>
      </c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P963" si="277">(H962*H955)</f>
        <v>0</v>
      </c>
      <c r="I963" s="150">
        <f t="shared" si="277"/>
        <v>1144000</v>
      </c>
      <c r="J963" s="150">
        <f t="shared" si="277"/>
        <v>608000</v>
      </c>
      <c r="K963" s="150">
        <f t="shared" si="277"/>
        <v>544000</v>
      </c>
      <c r="L963" s="150">
        <f t="shared" si="277"/>
        <v>360000</v>
      </c>
      <c r="M963" s="150">
        <f t="shared" si="277"/>
        <v>360000</v>
      </c>
      <c r="N963" s="150">
        <f t="shared" si="277"/>
        <v>256000</v>
      </c>
      <c r="O963" s="150">
        <f t="shared" si="277"/>
        <v>184000</v>
      </c>
      <c r="P963" s="150">
        <f t="shared" si="277"/>
        <v>144000</v>
      </c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48"/>
      <c r="N964" s="148"/>
      <c r="O964" s="148"/>
      <c r="P964" s="14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P965" si="278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8"/>
        <v>94</v>
      </c>
      <c r="J965" s="148">
        <f t="shared" si="278"/>
        <v>50</v>
      </c>
      <c r="K965" s="148">
        <f t="shared" si="278"/>
        <v>44</v>
      </c>
      <c r="L965" s="148">
        <f t="shared" si="278"/>
        <v>30</v>
      </c>
      <c r="M965" s="148">
        <f t="shared" si="278"/>
        <v>29</v>
      </c>
      <c r="N965" s="148">
        <f t="shared" si="278"/>
        <v>20</v>
      </c>
      <c r="O965" s="148">
        <f t="shared" si="278"/>
        <v>15</v>
      </c>
      <c r="P965" s="148">
        <f t="shared" si="278"/>
        <v>12</v>
      </c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P966" si="279">(H956*H965)</f>
        <v>0</v>
      </c>
      <c r="I966" s="150">
        <f t="shared" si="279"/>
        <v>940000</v>
      </c>
      <c r="J966" s="150">
        <f t="shared" si="279"/>
        <v>500000</v>
      </c>
      <c r="K966" s="150">
        <f t="shared" si="279"/>
        <v>440000</v>
      </c>
      <c r="L966" s="150">
        <f t="shared" si="279"/>
        <v>300000</v>
      </c>
      <c r="M966" s="150">
        <f t="shared" si="279"/>
        <v>290000</v>
      </c>
      <c r="N966" s="150">
        <f t="shared" si="279"/>
        <v>200000</v>
      </c>
      <c r="O966" s="150">
        <f t="shared" si="279"/>
        <v>150000</v>
      </c>
      <c r="P966" s="150">
        <f t="shared" si="279"/>
        <v>120000</v>
      </c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48"/>
      <c r="N967" s="148"/>
      <c r="O967" s="148"/>
      <c r="P967" s="14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P968" si="280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80"/>
        <v>0</v>
      </c>
      <c r="J968" s="148">
        <f t="shared" si="280"/>
        <v>0</v>
      </c>
      <c r="K968" s="148">
        <f t="shared" si="280"/>
        <v>0</v>
      </c>
      <c r="L968" s="148">
        <f t="shared" si="280"/>
        <v>0</v>
      </c>
      <c r="M968" s="148">
        <f t="shared" si="280"/>
        <v>0</v>
      </c>
      <c r="N968" s="148">
        <f t="shared" si="280"/>
        <v>0</v>
      </c>
      <c r="O968" s="148">
        <f t="shared" si="280"/>
        <v>0</v>
      </c>
      <c r="P968" s="148">
        <f t="shared" si="280"/>
        <v>0</v>
      </c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P969" si="281">(H957*H968)</f>
        <v>0</v>
      </c>
      <c r="I969" s="150">
        <f t="shared" si="281"/>
        <v>0</v>
      </c>
      <c r="J969" s="150">
        <f t="shared" si="281"/>
        <v>0</v>
      </c>
      <c r="K969" s="150">
        <f t="shared" si="281"/>
        <v>0</v>
      </c>
      <c r="L969" s="150">
        <f t="shared" si="281"/>
        <v>0</v>
      </c>
      <c r="M969" s="150">
        <f t="shared" si="281"/>
        <v>0</v>
      </c>
      <c r="N969" s="150">
        <f t="shared" si="281"/>
        <v>0</v>
      </c>
      <c r="O969" s="150">
        <f t="shared" si="281"/>
        <v>0</v>
      </c>
      <c r="P969" s="150">
        <f t="shared" si="281"/>
        <v>0</v>
      </c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48"/>
      <c r="N970" s="148"/>
      <c r="O970" s="148"/>
      <c r="P970" s="14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P971" si="282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82"/>
        <v>0</v>
      </c>
      <c r="J971" s="148">
        <f t="shared" si="282"/>
        <v>0</v>
      </c>
      <c r="K971" s="148">
        <f t="shared" si="282"/>
        <v>0</v>
      </c>
      <c r="L971" s="148">
        <f t="shared" si="282"/>
        <v>0</v>
      </c>
      <c r="M971" s="148">
        <f t="shared" si="282"/>
        <v>0</v>
      </c>
      <c r="N971" s="148">
        <f t="shared" si="282"/>
        <v>0</v>
      </c>
      <c r="O971" s="148">
        <f t="shared" si="282"/>
        <v>0</v>
      </c>
      <c r="P971" s="148">
        <f t="shared" si="282"/>
        <v>0</v>
      </c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P972" si="283">(H958*H971)</f>
        <v>0</v>
      </c>
      <c r="I972" s="150">
        <f t="shared" si="283"/>
        <v>0</v>
      </c>
      <c r="J972" s="150">
        <f t="shared" si="283"/>
        <v>0</v>
      </c>
      <c r="K972" s="150">
        <f t="shared" si="283"/>
        <v>0</v>
      </c>
      <c r="L972" s="150">
        <f t="shared" si="283"/>
        <v>0</v>
      </c>
      <c r="M972" s="150">
        <f t="shared" si="283"/>
        <v>0</v>
      </c>
      <c r="N972" s="150">
        <f t="shared" si="283"/>
        <v>0</v>
      </c>
      <c r="O972" s="150">
        <f t="shared" si="283"/>
        <v>0</v>
      </c>
      <c r="P972" s="150">
        <f t="shared" si="283"/>
        <v>0</v>
      </c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48"/>
      <c r="N973" s="148"/>
      <c r="O973" s="148"/>
      <c r="P973" s="14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P974" si="284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4"/>
        <v>0</v>
      </c>
      <c r="J974" s="148">
        <f t="shared" si="284"/>
        <v>0</v>
      </c>
      <c r="K974" s="148">
        <f t="shared" si="284"/>
        <v>0</v>
      </c>
      <c r="L974" s="148">
        <f t="shared" si="284"/>
        <v>0</v>
      </c>
      <c r="M974" s="148">
        <f t="shared" si="284"/>
        <v>0</v>
      </c>
      <c r="N974" s="148">
        <f t="shared" si="284"/>
        <v>0</v>
      </c>
      <c r="O974" s="148">
        <f t="shared" si="284"/>
        <v>0</v>
      </c>
      <c r="P974" s="148">
        <f t="shared" si="284"/>
        <v>0</v>
      </c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P975" si="285">(H959*H974)</f>
        <v>0</v>
      </c>
      <c r="I975" s="150">
        <f t="shared" si="285"/>
        <v>0</v>
      </c>
      <c r="J975" s="150">
        <f t="shared" si="285"/>
        <v>0</v>
      </c>
      <c r="K975" s="150">
        <f t="shared" si="285"/>
        <v>0</v>
      </c>
      <c r="L975" s="150">
        <f t="shared" si="285"/>
        <v>0</v>
      </c>
      <c r="M975" s="150">
        <f t="shared" si="285"/>
        <v>0</v>
      </c>
      <c r="N975" s="150">
        <f t="shared" si="285"/>
        <v>0</v>
      </c>
      <c r="O975" s="150">
        <f t="shared" si="285"/>
        <v>0</v>
      </c>
      <c r="P975" s="150">
        <f t="shared" si="285"/>
        <v>0</v>
      </c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60"/>
      <c r="N976" s="160"/>
      <c r="O976" s="160"/>
      <c r="P976" s="160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233</v>
      </c>
      <c r="I978" s="206"/>
      <c r="J978" s="206"/>
      <c r="K978" s="206"/>
      <c r="L978" s="206"/>
      <c r="M978" s="206"/>
      <c r="N978" s="206"/>
      <c r="O978" s="206"/>
      <c r="P978" s="206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0.3498476395</v>
      </c>
      <c r="H979" s="149">
        <f>SUM($H$520)</f>
        <v>4075725</v>
      </c>
      <c r="I979" s="149"/>
      <c r="J979" s="149"/>
      <c r="K979" s="149"/>
      <c r="L979" s="149"/>
      <c r="M979" s="149"/>
      <c r="N979" s="149"/>
      <c r="O979" s="149"/>
      <c r="P979" s="149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56"/>
      <c r="N980" s="156"/>
      <c r="O980" s="156"/>
      <c r="P980" s="156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11650000</v>
      </c>
      <c r="I981" s="149"/>
      <c r="J981" s="149"/>
      <c r="K981" s="149"/>
      <c r="L981" s="149"/>
      <c r="M981" s="149"/>
      <c r="N981" s="149"/>
      <c r="O981" s="149"/>
      <c r="P981" s="149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49"/>
      <c r="N982" s="149"/>
      <c r="O982" s="149"/>
      <c r="P982" s="149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0.5247714592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213">
        <v>0.1</v>
      </c>
      <c r="N983" s="213">
        <v>0.07</v>
      </c>
      <c r="O983" s="213">
        <v>0.05</v>
      </c>
      <c r="P983" s="213">
        <v>0.04</v>
      </c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6113587.5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4075725</v>
      </c>
      <c r="I985" s="149">
        <f t="shared" ref="I985:P985" si="286">H985+I994</f>
        <v>4729725</v>
      </c>
      <c r="J985" s="149">
        <f t="shared" si="286"/>
        <v>5081725</v>
      </c>
      <c r="K985" s="149">
        <f t="shared" si="286"/>
        <v>5389725</v>
      </c>
      <c r="L985" s="149">
        <f t="shared" si="286"/>
        <v>5597725</v>
      </c>
      <c r="M985" s="149">
        <f t="shared" si="286"/>
        <v>5797725</v>
      </c>
      <c r="N985" s="149">
        <f t="shared" si="286"/>
        <v>5941725</v>
      </c>
      <c r="O985" s="149">
        <f t="shared" si="286"/>
        <v>6049725</v>
      </c>
      <c r="P985" s="149">
        <f t="shared" si="286"/>
        <v>6135725</v>
      </c>
      <c r="Q985" s="199" t="str">
        <f>#REF!</f>
        <v>#REF!</v>
      </c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2037862.5</v>
      </c>
      <c r="H986" s="149">
        <f t="shared" ref="H986:P986" si="287">$G$986*H983</f>
        <v>0</v>
      </c>
      <c r="I986" s="149">
        <f t="shared" si="287"/>
        <v>652116</v>
      </c>
      <c r="J986" s="149">
        <f t="shared" si="287"/>
        <v>346436.625</v>
      </c>
      <c r="K986" s="149">
        <f t="shared" si="287"/>
        <v>305679.375</v>
      </c>
      <c r="L986" s="149">
        <f t="shared" si="287"/>
        <v>203786.25</v>
      </c>
      <c r="M986" s="149">
        <f t="shared" si="287"/>
        <v>203786.25</v>
      </c>
      <c r="N986" s="149">
        <f t="shared" si="287"/>
        <v>142650.375</v>
      </c>
      <c r="O986" s="149">
        <f t="shared" si="287"/>
        <v>101893.125</v>
      </c>
      <c r="P986" s="149">
        <f t="shared" si="287"/>
        <v>81514.5</v>
      </c>
      <c r="Q986" s="199">
        <f>SUM(H986:P986)</f>
        <v>2037862.5</v>
      </c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P988" si="288">$H$981-H985</f>
        <v>7574275</v>
      </c>
      <c r="I988" s="149">
        <f t="shared" si="288"/>
        <v>6920275</v>
      </c>
      <c r="J988" s="149">
        <f t="shared" si="288"/>
        <v>6568275</v>
      </c>
      <c r="K988" s="149">
        <f t="shared" si="288"/>
        <v>6260275</v>
      </c>
      <c r="L988" s="149">
        <f t="shared" si="288"/>
        <v>6052275</v>
      </c>
      <c r="M988" s="149">
        <f t="shared" si="288"/>
        <v>5852275</v>
      </c>
      <c r="N988" s="149">
        <f t="shared" si="288"/>
        <v>5708275</v>
      </c>
      <c r="O988" s="149">
        <f t="shared" si="288"/>
        <v>5600275</v>
      </c>
      <c r="P988" s="149">
        <f t="shared" si="288"/>
        <v>5514275</v>
      </c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P989" si="289">IFERROR(SUM(H994,H979)/$H$981,0)</f>
        <v>0.3498476395</v>
      </c>
      <c r="I989" s="142">
        <f t="shared" si="289"/>
        <v>0.05613733906</v>
      </c>
      <c r="J989" s="142">
        <f t="shared" si="289"/>
        <v>0.03021459227</v>
      </c>
      <c r="K989" s="142">
        <f t="shared" si="289"/>
        <v>0.02643776824</v>
      </c>
      <c r="L989" s="142">
        <f t="shared" si="289"/>
        <v>0.01785407725</v>
      </c>
      <c r="M989" s="142">
        <f t="shared" si="289"/>
        <v>0.01716738197</v>
      </c>
      <c r="N989" s="142">
        <f t="shared" si="289"/>
        <v>0.01236051502</v>
      </c>
      <c r="O989" s="142">
        <f t="shared" si="289"/>
        <v>0.009270386266</v>
      </c>
      <c r="P989" s="142">
        <f t="shared" si="289"/>
        <v>0.007381974249</v>
      </c>
      <c r="Q989" s="200">
        <f>IFERROR(Q985/$H$981,0)</f>
        <v>0</v>
      </c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P990" si="290">IFERROR(1-(H979/$H$981),0)</f>
        <v>0.6501523605</v>
      </c>
      <c r="I990" s="216">
        <f t="shared" si="290"/>
        <v>1</v>
      </c>
      <c r="J990" s="216">
        <f t="shared" si="290"/>
        <v>1</v>
      </c>
      <c r="K990" s="216">
        <f t="shared" si="290"/>
        <v>1</v>
      </c>
      <c r="L990" s="216">
        <f t="shared" si="290"/>
        <v>1</v>
      </c>
      <c r="M990" s="216">
        <f t="shared" si="290"/>
        <v>1</v>
      </c>
      <c r="N990" s="216">
        <f t="shared" si="290"/>
        <v>1</v>
      </c>
      <c r="O990" s="216">
        <f t="shared" si="290"/>
        <v>1</v>
      </c>
      <c r="P990" s="216">
        <f t="shared" si="290"/>
        <v>1</v>
      </c>
      <c r="Q990" s="200">
        <f>IFERROR(1-(Q985/$H$981),0)</f>
        <v>0</v>
      </c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207"/>
      <c r="N991" s="207"/>
      <c r="O991" s="207"/>
      <c r="P991" s="207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91">ROUNDUP(H986/H993,0)</f>
        <v>0</v>
      </c>
      <c r="I992" s="190">
        <f t="shared" si="291"/>
        <v>91</v>
      </c>
      <c r="J992" s="190">
        <f t="shared" si="291"/>
        <v>49</v>
      </c>
      <c r="K992" s="190">
        <f t="shared" si="291"/>
        <v>43</v>
      </c>
      <c r="L992" s="190">
        <f t="shared" si="291"/>
        <v>29</v>
      </c>
      <c r="M992" s="190">
        <f>ROUND(M986/M993,0)</f>
        <v>28</v>
      </c>
      <c r="N992" s="190">
        <f t="shared" ref="N992:P992" si="292">ROUNDUP(N986/N993,0)</f>
        <v>20</v>
      </c>
      <c r="O992" s="190">
        <f t="shared" si="292"/>
        <v>15</v>
      </c>
      <c r="P992" s="190">
        <f t="shared" si="292"/>
        <v>12</v>
      </c>
      <c r="Q992" s="201">
        <f>SUM(H992:P992)</f>
        <v>287</v>
      </c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56">
        <v>7200.0</v>
      </c>
      <c r="N993" s="156">
        <v>7200.0</v>
      </c>
      <c r="O993" s="156">
        <v>7200.0</v>
      </c>
      <c r="P993" s="156">
        <v>7200.0</v>
      </c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P994" si="293">SUM(H1008,H1011,H1014,H1017,H1020)</f>
        <v>0</v>
      </c>
      <c r="I994" s="188">
        <f t="shared" si="293"/>
        <v>654000</v>
      </c>
      <c r="J994" s="188">
        <f t="shared" si="293"/>
        <v>352000</v>
      </c>
      <c r="K994" s="188">
        <f t="shared" si="293"/>
        <v>308000</v>
      </c>
      <c r="L994" s="188">
        <f t="shared" si="293"/>
        <v>208000</v>
      </c>
      <c r="M994" s="188">
        <f t="shared" si="293"/>
        <v>200000</v>
      </c>
      <c r="N994" s="188">
        <f t="shared" si="293"/>
        <v>144000</v>
      </c>
      <c r="O994" s="188">
        <f t="shared" si="293"/>
        <v>108000</v>
      </c>
      <c r="P994" s="188">
        <f t="shared" si="293"/>
        <v>86000</v>
      </c>
      <c r="Q994" s="196">
        <f>SUM(H994:P994)</f>
        <v>2060000</v>
      </c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203">
        <v>0.6</v>
      </c>
      <c r="N995" s="203">
        <v>0.6</v>
      </c>
      <c r="O995" s="203">
        <v>0.6</v>
      </c>
      <c r="P995" s="203">
        <v>0.6</v>
      </c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203">
        <v>0.4</v>
      </c>
      <c r="N996" s="203">
        <v>0.4</v>
      </c>
      <c r="O996" s="203">
        <v>0.4</v>
      </c>
      <c r="P996" s="203">
        <v>0.4</v>
      </c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203">
        <v>0.0</v>
      </c>
      <c r="N997" s="203">
        <v>0.0</v>
      </c>
      <c r="O997" s="203">
        <v>0.0</v>
      </c>
      <c r="P997" s="203">
        <v>0.0</v>
      </c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203">
        <v>0.0</v>
      </c>
      <c r="N998" s="203">
        <v>0.0</v>
      </c>
      <c r="O998" s="203">
        <v>0.0</v>
      </c>
      <c r="P998" s="203">
        <v>0.0</v>
      </c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203">
        <v>0.0</v>
      </c>
      <c r="N999" s="203">
        <v>0.0</v>
      </c>
      <c r="O999" s="203">
        <v>0.0</v>
      </c>
      <c r="P999" s="203">
        <v>0.0</v>
      </c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04">
        <v>8000.0</v>
      </c>
      <c r="N1000" s="204">
        <v>8000.0</v>
      </c>
      <c r="O1000" s="204">
        <v>8000.0</v>
      </c>
      <c r="P1000" s="204">
        <v>8000.0</v>
      </c>
      <c r="Q1000" s="225">
        <v>30000.0</v>
      </c>
      <c r="R1000" s="225"/>
      <c r="S1000" s="225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204">
        <v>6000.0</v>
      </c>
      <c r="N1001" s="204">
        <v>6000.0</v>
      </c>
      <c r="O1001" s="204">
        <v>6000.0</v>
      </c>
      <c r="P1001" s="204">
        <v>6000.0</v>
      </c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204">
        <v>0.0</v>
      </c>
      <c r="N1002" s="204">
        <v>0.0</v>
      </c>
      <c r="O1002" s="204">
        <v>0.0</v>
      </c>
      <c r="P1002" s="204">
        <v>0.0</v>
      </c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204">
        <v>0.0</v>
      </c>
      <c r="N1003" s="204">
        <v>0.0</v>
      </c>
      <c r="O1003" s="204">
        <v>0.0</v>
      </c>
      <c r="P1003" s="204">
        <v>0.0</v>
      </c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204">
        <v>0.0</v>
      </c>
      <c r="N1004" s="204">
        <v>0.0</v>
      </c>
      <c r="O1004" s="204">
        <v>0.0</v>
      </c>
      <c r="P1004" s="204">
        <v>0.0</v>
      </c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62">
        <f>IFERROR(__xludf.DUMMYFUNCTION("MATCH(
  MIN(FILTER(M1000:M1004,M1000:M1004&gt;0)),
  M1000:M1004,
  0
)
"),2.0)</f>
        <v>2</v>
      </c>
      <c r="N1005" s="162">
        <f>IFERROR(__xludf.DUMMYFUNCTION("MATCH(
  MIN(FILTER(N1000:N1004,N1000:N1004&gt;0)),
  N1000:N1004,
  0
)
"),2.0)</f>
        <v>2</v>
      </c>
      <c r="O1005" s="162">
        <f>IFERROR(__xludf.DUMMYFUNCTION("MATCH(
  MIN(FILTER(O1000:O1004,O1000:O1004&gt;0)),
  O1000:O1004,
  0
)
"),2.0)</f>
        <v>2</v>
      </c>
      <c r="P1005" s="162">
        <f>IFERROR(__xludf.DUMMYFUNCTION("MATCH(
  MIN(FILTER(P1000:P1004,P1000:P1004&gt;0)),
  P1000:P1004,
  0
)
"),2.0)</f>
        <v>2</v>
      </c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P1007" si="294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94"/>
        <v>54</v>
      </c>
      <c r="J1007" s="148">
        <f t="shared" si="294"/>
        <v>29</v>
      </c>
      <c r="K1007" s="148">
        <f t="shared" si="294"/>
        <v>25</v>
      </c>
      <c r="L1007" s="148">
        <f t="shared" si="294"/>
        <v>17</v>
      </c>
      <c r="M1007" s="148">
        <f t="shared" si="294"/>
        <v>16</v>
      </c>
      <c r="N1007" s="148">
        <f t="shared" si="294"/>
        <v>12</v>
      </c>
      <c r="O1007" s="148">
        <f t="shared" si="294"/>
        <v>9</v>
      </c>
      <c r="P1007" s="148">
        <f t="shared" si="294"/>
        <v>7</v>
      </c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P1008" si="295">(H1007*H1000)</f>
        <v>0</v>
      </c>
      <c r="I1008" s="150">
        <f t="shared" si="295"/>
        <v>432000</v>
      </c>
      <c r="J1008" s="150">
        <f t="shared" si="295"/>
        <v>232000</v>
      </c>
      <c r="K1008" s="150">
        <f t="shared" si="295"/>
        <v>200000</v>
      </c>
      <c r="L1008" s="150">
        <f t="shared" si="295"/>
        <v>136000</v>
      </c>
      <c r="M1008" s="150">
        <f t="shared" si="295"/>
        <v>128000</v>
      </c>
      <c r="N1008" s="150">
        <f t="shared" si="295"/>
        <v>96000</v>
      </c>
      <c r="O1008" s="150">
        <f t="shared" si="295"/>
        <v>72000</v>
      </c>
      <c r="P1008" s="150">
        <f t="shared" si="295"/>
        <v>56000</v>
      </c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P1010" si="296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6"/>
        <v>37</v>
      </c>
      <c r="J1010" s="148">
        <f t="shared" si="296"/>
        <v>20</v>
      </c>
      <c r="K1010" s="148">
        <f t="shared" si="296"/>
        <v>18</v>
      </c>
      <c r="L1010" s="148">
        <f t="shared" si="296"/>
        <v>12</v>
      </c>
      <c r="M1010" s="148">
        <f t="shared" si="296"/>
        <v>12</v>
      </c>
      <c r="N1010" s="148">
        <f t="shared" si="296"/>
        <v>8</v>
      </c>
      <c r="O1010" s="148">
        <f t="shared" si="296"/>
        <v>6</v>
      </c>
      <c r="P1010" s="148">
        <f t="shared" si="296"/>
        <v>5</v>
      </c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P1011" si="297">(H1001*H1010)</f>
        <v>0</v>
      </c>
      <c r="I1011" s="150">
        <f t="shared" si="297"/>
        <v>222000</v>
      </c>
      <c r="J1011" s="150">
        <f t="shared" si="297"/>
        <v>120000</v>
      </c>
      <c r="K1011" s="150">
        <f t="shared" si="297"/>
        <v>108000</v>
      </c>
      <c r="L1011" s="150">
        <f t="shared" si="297"/>
        <v>72000</v>
      </c>
      <c r="M1011" s="150">
        <f t="shared" si="297"/>
        <v>72000</v>
      </c>
      <c r="N1011" s="150">
        <f t="shared" si="297"/>
        <v>48000</v>
      </c>
      <c r="O1011" s="150">
        <f t="shared" si="297"/>
        <v>36000</v>
      </c>
      <c r="P1011" s="150">
        <f t="shared" si="297"/>
        <v>30000</v>
      </c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48"/>
      <c r="N1012" s="148"/>
      <c r="O1012" s="148"/>
      <c r="P1012" s="14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P1013" si="298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8"/>
        <v>0</v>
      </c>
      <c r="J1013" s="148">
        <f t="shared" si="298"/>
        <v>0</v>
      </c>
      <c r="K1013" s="148">
        <f t="shared" si="298"/>
        <v>0</v>
      </c>
      <c r="L1013" s="148">
        <f t="shared" si="298"/>
        <v>0</v>
      </c>
      <c r="M1013" s="148">
        <f t="shared" si="298"/>
        <v>0</v>
      </c>
      <c r="N1013" s="148">
        <f t="shared" si="298"/>
        <v>0</v>
      </c>
      <c r="O1013" s="148">
        <f t="shared" si="298"/>
        <v>0</v>
      </c>
      <c r="P1013" s="148">
        <f t="shared" si="298"/>
        <v>0</v>
      </c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P1014" si="299">(H1002*H1013)</f>
        <v>0</v>
      </c>
      <c r="I1014" s="150">
        <f t="shared" si="299"/>
        <v>0</v>
      </c>
      <c r="J1014" s="150">
        <f t="shared" si="299"/>
        <v>0</v>
      </c>
      <c r="K1014" s="150">
        <f t="shared" si="299"/>
        <v>0</v>
      </c>
      <c r="L1014" s="150">
        <f t="shared" si="299"/>
        <v>0</v>
      </c>
      <c r="M1014" s="150">
        <f t="shared" si="299"/>
        <v>0</v>
      </c>
      <c r="N1014" s="150">
        <f t="shared" si="299"/>
        <v>0</v>
      </c>
      <c r="O1014" s="150">
        <f t="shared" si="299"/>
        <v>0</v>
      </c>
      <c r="P1014" s="150">
        <f t="shared" si="299"/>
        <v>0</v>
      </c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48"/>
      <c r="N1015" s="148"/>
      <c r="O1015" s="148"/>
      <c r="P1015" s="14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P1016" si="300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300"/>
        <v>0</v>
      </c>
      <c r="J1016" s="148">
        <f t="shared" si="300"/>
        <v>0</v>
      </c>
      <c r="K1016" s="148">
        <f t="shared" si="300"/>
        <v>0</v>
      </c>
      <c r="L1016" s="148">
        <f t="shared" si="300"/>
        <v>0</v>
      </c>
      <c r="M1016" s="148">
        <f t="shared" si="300"/>
        <v>0</v>
      </c>
      <c r="N1016" s="148">
        <f t="shared" si="300"/>
        <v>0</v>
      </c>
      <c r="O1016" s="148">
        <f t="shared" si="300"/>
        <v>0</v>
      </c>
      <c r="P1016" s="148">
        <f t="shared" si="300"/>
        <v>0</v>
      </c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P1017" si="301">(H1003*H1016)</f>
        <v>0</v>
      </c>
      <c r="I1017" s="150">
        <f t="shared" si="301"/>
        <v>0</v>
      </c>
      <c r="J1017" s="150">
        <f t="shared" si="301"/>
        <v>0</v>
      </c>
      <c r="K1017" s="150">
        <f t="shared" si="301"/>
        <v>0</v>
      </c>
      <c r="L1017" s="150">
        <f t="shared" si="301"/>
        <v>0</v>
      </c>
      <c r="M1017" s="150">
        <f t="shared" si="301"/>
        <v>0</v>
      </c>
      <c r="N1017" s="150">
        <f t="shared" si="301"/>
        <v>0</v>
      </c>
      <c r="O1017" s="150">
        <f t="shared" si="301"/>
        <v>0</v>
      </c>
      <c r="P1017" s="150">
        <f t="shared" si="301"/>
        <v>0</v>
      </c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48"/>
      <c r="N1018" s="148"/>
      <c r="O1018" s="148"/>
      <c r="P1018" s="14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P1019" si="302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302"/>
        <v>0</v>
      </c>
      <c r="J1019" s="148">
        <f t="shared" si="302"/>
        <v>0</v>
      </c>
      <c r="K1019" s="148">
        <f t="shared" si="302"/>
        <v>0</v>
      </c>
      <c r="L1019" s="148">
        <f t="shared" si="302"/>
        <v>0</v>
      </c>
      <c r="M1019" s="148">
        <f t="shared" si="302"/>
        <v>0</v>
      </c>
      <c r="N1019" s="148">
        <f t="shared" si="302"/>
        <v>0</v>
      </c>
      <c r="O1019" s="148">
        <f t="shared" si="302"/>
        <v>0</v>
      </c>
      <c r="P1019" s="148">
        <f t="shared" si="302"/>
        <v>0</v>
      </c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P1020" si="303">(H1004*H1019)</f>
        <v>0</v>
      </c>
      <c r="I1020" s="150">
        <f t="shared" si="303"/>
        <v>0</v>
      </c>
      <c r="J1020" s="150">
        <f t="shared" si="303"/>
        <v>0</v>
      </c>
      <c r="K1020" s="150">
        <f t="shared" si="303"/>
        <v>0</v>
      </c>
      <c r="L1020" s="150">
        <f t="shared" si="303"/>
        <v>0</v>
      </c>
      <c r="M1020" s="150">
        <f t="shared" si="303"/>
        <v>0</v>
      </c>
      <c r="N1020" s="150">
        <f t="shared" si="303"/>
        <v>0</v>
      </c>
      <c r="O1020" s="150">
        <f t="shared" si="303"/>
        <v>0</v>
      </c>
      <c r="P1020" s="150">
        <f t="shared" si="303"/>
        <v>0</v>
      </c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60"/>
      <c r="N1021" s="160"/>
      <c r="O1021" s="160"/>
      <c r="P1021" s="160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4"/>
      <c r="N1022" s="114"/>
      <c r="O1022" s="114"/>
      <c r="P1022" s="114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78"/>
      <c r="N1023" s="178"/>
      <c r="O1023" s="178"/>
      <c r="P1023" s="178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P1024" si="304">SUM(H1027,H1064,H1081,)</f>
        <v>31614500</v>
      </c>
      <c r="I1024" s="173">
        <f t="shared" si="304"/>
        <v>5436650</v>
      </c>
      <c r="J1024" s="173">
        <f t="shared" si="304"/>
        <v>3397115</v>
      </c>
      <c r="K1024" s="173">
        <f t="shared" si="304"/>
        <v>2740726.5</v>
      </c>
      <c r="L1024" s="173">
        <f t="shared" si="304"/>
        <v>1843719.15</v>
      </c>
      <c r="M1024" s="173">
        <f t="shared" si="304"/>
        <v>3550771.065</v>
      </c>
      <c r="N1024" s="173">
        <f t="shared" si="304"/>
        <v>1363084.172</v>
      </c>
      <c r="O1024" s="173">
        <f t="shared" si="304"/>
        <v>1763654.589</v>
      </c>
      <c r="P1024" s="173">
        <f t="shared" si="304"/>
        <v>2752347.048</v>
      </c>
      <c r="Q1024" s="223">
        <f>SUM(H1024:P1024)</f>
        <v>54462567.52</v>
      </c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63"/>
      <c r="N1025" s="163"/>
      <c r="O1025" s="163"/>
      <c r="P1025" s="163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63"/>
      <c r="N1026" s="163"/>
      <c r="O1026" s="163"/>
      <c r="P1026" s="163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P1027" si="305">SUM(H1029,H1036,H1043,H1050,H1057,)</f>
        <v>31583000</v>
      </c>
      <c r="I1027" s="178">
        <f t="shared" si="305"/>
        <v>0</v>
      </c>
      <c r="J1027" s="178">
        <f t="shared" si="305"/>
        <v>0</v>
      </c>
      <c r="K1027" s="178">
        <f t="shared" si="305"/>
        <v>0</v>
      </c>
      <c r="L1027" s="178">
        <f t="shared" si="305"/>
        <v>0</v>
      </c>
      <c r="M1027" s="178">
        <f t="shared" si="305"/>
        <v>0</v>
      </c>
      <c r="N1027" s="178">
        <f t="shared" si="305"/>
        <v>0</v>
      </c>
      <c r="O1027" s="178">
        <f t="shared" si="305"/>
        <v>0</v>
      </c>
      <c r="P1027" s="178">
        <f t="shared" si="305"/>
        <v>0</v>
      </c>
      <c r="Q1027" s="223">
        <f>SUM(H1027:P1027)</f>
        <v>31583000</v>
      </c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P1029" si="306">SUM(H1030:H1034)</f>
        <v>2028000</v>
      </c>
      <c r="I1029" s="178">
        <f t="shared" si="306"/>
        <v>0</v>
      </c>
      <c r="J1029" s="178">
        <f t="shared" si="306"/>
        <v>0</v>
      </c>
      <c r="K1029" s="178">
        <f t="shared" si="306"/>
        <v>0</v>
      </c>
      <c r="L1029" s="178">
        <f t="shared" si="306"/>
        <v>0</v>
      </c>
      <c r="M1029" s="178">
        <f t="shared" si="306"/>
        <v>0</v>
      </c>
      <c r="N1029" s="178">
        <f t="shared" si="306"/>
        <v>0</v>
      </c>
      <c r="O1029" s="178">
        <f t="shared" si="306"/>
        <v>0</v>
      </c>
      <c r="P1029" s="178">
        <f t="shared" si="306"/>
        <v>0</v>
      </c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1000000</v>
      </c>
      <c r="I1030" s="178" t="str">
        <f t="shared" ref="I1030:P1030" si="307">I428</f>
        <v/>
      </c>
      <c r="J1030" s="178" t="str">
        <f t="shared" si="307"/>
        <v/>
      </c>
      <c r="K1030" s="178" t="str">
        <f t="shared" si="307"/>
        <v/>
      </c>
      <c r="L1030" s="178" t="str">
        <f t="shared" si="307"/>
        <v/>
      </c>
      <c r="M1030" s="178" t="str">
        <f t="shared" si="307"/>
        <v/>
      </c>
      <c r="N1030" s="178" t="str">
        <f t="shared" si="307"/>
        <v/>
      </c>
      <c r="O1030" s="178" t="str">
        <f t="shared" si="307"/>
        <v/>
      </c>
      <c r="P1030" s="178" t="str">
        <f t="shared" si="307"/>
        <v/>
      </c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158000</v>
      </c>
      <c r="I1031" s="178" t="str">
        <f t="shared" ref="I1031:P1031" si="308">I430</f>
        <v/>
      </c>
      <c r="J1031" s="178" t="str">
        <f t="shared" si="308"/>
        <v/>
      </c>
      <c r="K1031" s="178" t="str">
        <f t="shared" si="308"/>
        <v/>
      </c>
      <c r="L1031" s="178" t="str">
        <f t="shared" si="308"/>
        <v/>
      </c>
      <c r="M1031" s="178" t="str">
        <f t="shared" si="308"/>
        <v/>
      </c>
      <c r="N1031" s="178" t="str">
        <f t="shared" si="308"/>
        <v/>
      </c>
      <c r="O1031" s="178" t="str">
        <f t="shared" si="308"/>
        <v/>
      </c>
      <c r="P1031" s="178" t="str">
        <f t="shared" si="308"/>
        <v/>
      </c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P1032" si="309">I432</f>
        <v/>
      </c>
      <c r="J1032" s="178" t="str">
        <f t="shared" si="309"/>
        <v/>
      </c>
      <c r="K1032" s="178" t="str">
        <f t="shared" si="309"/>
        <v/>
      </c>
      <c r="L1032" s="178" t="str">
        <f t="shared" si="309"/>
        <v/>
      </c>
      <c r="M1032" s="178" t="str">
        <f t="shared" si="309"/>
        <v/>
      </c>
      <c r="N1032" s="178" t="str">
        <f t="shared" si="309"/>
        <v/>
      </c>
      <c r="O1032" s="178" t="str">
        <f t="shared" si="309"/>
        <v/>
      </c>
      <c r="P1032" s="178" t="str">
        <f t="shared" si="309"/>
        <v/>
      </c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870000</v>
      </c>
      <c r="I1033" s="178" t="str">
        <f t="shared" ref="I1033:P1033" si="310">I434</f>
        <v/>
      </c>
      <c r="J1033" s="178" t="str">
        <f t="shared" si="310"/>
        <v/>
      </c>
      <c r="K1033" s="178" t="str">
        <f t="shared" si="310"/>
        <v/>
      </c>
      <c r="L1033" s="178" t="str">
        <f t="shared" si="310"/>
        <v/>
      </c>
      <c r="M1033" s="178" t="str">
        <f t="shared" si="310"/>
        <v/>
      </c>
      <c r="N1033" s="178" t="str">
        <f t="shared" si="310"/>
        <v/>
      </c>
      <c r="O1033" s="178" t="str">
        <f t="shared" si="310"/>
        <v/>
      </c>
      <c r="P1033" s="178" t="str">
        <f t="shared" si="310"/>
        <v/>
      </c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P1034" si="311">I436</f>
        <v/>
      </c>
      <c r="J1034" s="178" t="str">
        <f t="shared" si="311"/>
        <v/>
      </c>
      <c r="K1034" s="178" t="str">
        <f t="shared" si="311"/>
        <v/>
      </c>
      <c r="L1034" s="178" t="str">
        <f t="shared" si="311"/>
        <v/>
      </c>
      <c r="M1034" s="178" t="str">
        <f t="shared" si="311"/>
        <v/>
      </c>
      <c r="N1034" s="178" t="str">
        <f t="shared" si="311"/>
        <v/>
      </c>
      <c r="O1034" s="178" t="str">
        <f t="shared" si="311"/>
        <v/>
      </c>
      <c r="P1034" s="178" t="str">
        <f t="shared" si="311"/>
        <v/>
      </c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78"/>
      <c r="N1035" s="178"/>
      <c r="O1035" s="178"/>
      <c r="P1035" s="178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P1036" si="312">SUM(H1037:H1041)</f>
        <v>2119000</v>
      </c>
      <c r="I1036" s="178">
        <f t="shared" si="312"/>
        <v>0</v>
      </c>
      <c r="J1036" s="178">
        <f t="shared" si="312"/>
        <v>0</v>
      </c>
      <c r="K1036" s="178">
        <f t="shared" si="312"/>
        <v>0</v>
      </c>
      <c r="L1036" s="178">
        <f t="shared" si="312"/>
        <v>0</v>
      </c>
      <c r="M1036" s="178">
        <f t="shared" si="312"/>
        <v>0</v>
      </c>
      <c r="N1036" s="178">
        <f t="shared" si="312"/>
        <v>0</v>
      </c>
      <c r="O1036" s="178">
        <f t="shared" si="312"/>
        <v>0</v>
      </c>
      <c r="P1036" s="178">
        <f t="shared" si="312"/>
        <v>0</v>
      </c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1120000</v>
      </c>
      <c r="I1037" s="178" t="str">
        <f t="shared" ref="I1037:P1037" si="313">I454</f>
        <v/>
      </c>
      <c r="J1037" s="178" t="str">
        <f t="shared" si="313"/>
        <v/>
      </c>
      <c r="K1037" s="178" t="str">
        <f t="shared" si="313"/>
        <v/>
      </c>
      <c r="L1037" s="178" t="str">
        <f t="shared" si="313"/>
        <v/>
      </c>
      <c r="M1037" s="178" t="str">
        <f t="shared" si="313"/>
        <v/>
      </c>
      <c r="N1037" s="178" t="str">
        <f t="shared" si="313"/>
        <v/>
      </c>
      <c r="O1037" s="178" t="str">
        <f t="shared" si="313"/>
        <v/>
      </c>
      <c r="P1037" s="178" t="str">
        <f t="shared" si="313"/>
        <v/>
      </c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108000</v>
      </c>
      <c r="I1038" s="178" t="str">
        <f t="shared" ref="I1038:P1038" si="314">I456</f>
        <v/>
      </c>
      <c r="J1038" s="178" t="str">
        <f t="shared" si="314"/>
        <v/>
      </c>
      <c r="K1038" s="178" t="str">
        <f t="shared" si="314"/>
        <v/>
      </c>
      <c r="L1038" s="178" t="str">
        <f t="shared" si="314"/>
        <v/>
      </c>
      <c r="M1038" s="178" t="str">
        <f t="shared" si="314"/>
        <v/>
      </c>
      <c r="N1038" s="178" t="str">
        <f t="shared" si="314"/>
        <v/>
      </c>
      <c r="O1038" s="178" t="str">
        <f t="shared" si="314"/>
        <v/>
      </c>
      <c r="P1038" s="178" t="str">
        <f t="shared" si="314"/>
        <v/>
      </c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P1039" si="315">I458</f>
        <v/>
      </c>
      <c r="J1039" s="178" t="str">
        <f t="shared" si="315"/>
        <v/>
      </c>
      <c r="K1039" s="178" t="str">
        <f t="shared" si="315"/>
        <v/>
      </c>
      <c r="L1039" s="178" t="str">
        <f t="shared" si="315"/>
        <v/>
      </c>
      <c r="M1039" s="178" t="str">
        <f t="shared" si="315"/>
        <v/>
      </c>
      <c r="N1039" s="178" t="str">
        <f t="shared" si="315"/>
        <v/>
      </c>
      <c r="O1039" s="178" t="str">
        <f t="shared" si="315"/>
        <v/>
      </c>
      <c r="P1039" s="178" t="str">
        <f t="shared" si="315"/>
        <v/>
      </c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891000</v>
      </c>
      <c r="I1040" s="178" t="str">
        <f t="shared" ref="I1040:P1040" si="316">I460</f>
        <v/>
      </c>
      <c r="J1040" s="178" t="str">
        <f t="shared" si="316"/>
        <v/>
      </c>
      <c r="K1040" s="178" t="str">
        <f t="shared" si="316"/>
        <v/>
      </c>
      <c r="L1040" s="178" t="str">
        <f t="shared" si="316"/>
        <v/>
      </c>
      <c r="M1040" s="178" t="str">
        <f t="shared" si="316"/>
        <v/>
      </c>
      <c r="N1040" s="178" t="str">
        <f t="shared" si="316"/>
        <v/>
      </c>
      <c r="O1040" s="178" t="str">
        <f t="shared" si="316"/>
        <v/>
      </c>
      <c r="P1040" s="178" t="str">
        <f t="shared" si="316"/>
        <v/>
      </c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P1041" si="317">I462</f>
        <v/>
      </c>
      <c r="J1041" s="178" t="str">
        <f t="shared" si="317"/>
        <v/>
      </c>
      <c r="K1041" s="178" t="str">
        <f t="shared" si="317"/>
        <v/>
      </c>
      <c r="L1041" s="178" t="str">
        <f t="shared" si="317"/>
        <v/>
      </c>
      <c r="M1041" s="178" t="str">
        <f t="shared" si="317"/>
        <v/>
      </c>
      <c r="N1041" s="178" t="str">
        <f t="shared" si="317"/>
        <v/>
      </c>
      <c r="O1041" s="178" t="str">
        <f t="shared" si="317"/>
        <v/>
      </c>
      <c r="P1041" s="178" t="str">
        <f t="shared" si="317"/>
        <v/>
      </c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78"/>
      <c r="N1042" s="178"/>
      <c r="O1042" s="178"/>
      <c r="P1042" s="178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P1043" si="318">SUM(H1044:H1048)</f>
        <v>9043000</v>
      </c>
      <c r="I1043" s="178">
        <f t="shared" si="318"/>
        <v>0</v>
      </c>
      <c r="J1043" s="178">
        <f t="shared" si="318"/>
        <v>0</v>
      </c>
      <c r="K1043" s="178">
        <f t="shared" si="318"/>
        <v>0</v>
      </c>
      <c r="L1043" s="178">
        <f t="shared" si="318"/>
        <v>0</v>
      </c>
      <c r="M1043" s="178">
        <f t="shared" si="318"/>
        <v>0</v>
      </c>
      <c r="N1043" s="178">
        <f t="shared" si="318"/>
        <v>0</v>
      </c>
      <c r="O1043" s="178">
        <f t="shared" si="318"/>
        <v>0</v>
      </c>
      <c r="P1043" s="178">
        <f t="shared" si="318"/>
        <v>0</v>
      </c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5400000</v>
      </c>
      <c r="I1044" s="178"/>
      <c r="J1044" s="178"/>
      <c r="K1044" s="178"/>
      <c r="L1044" s="178"/>
      <c r="M1044" s="178"/>
      <c r="N1044" s="178"/>
      <c r="O1044" s="178"/>
      <c r="P1044" s="178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360000</v>
      </c>
      <c r="I1045" s="178"/>
      <c r="J1045" s="178"/>
      <c r="K1045" s="178"/>
      <c r="L1045" s="178"/>
      <c r="M1045" s="178"/>
      <c r="N1045" s="178"/>
      <c r="O1045" s="178"/>
      <c r="P1045" s="178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78"/>
      <c r="N1046" s="178"/>
      <c r="O1046" s="178"/>
      <c r="P1046" s="178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3283000</v>
      </c>
      <c r="I1047" s="178"/>
      <c r="J1047" s="178"/>
      <c r="K1047" s="178"/>
      <c r="L1047" s="178"/>
      <c r="M1047" s="178"/>
      <c r="N1047" s="178"/>
      <c r="O1047" s="178"/>
      <c r="P1047" s="178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78"/>
      <c r="N1048" s="178"/>
      <c r="O1048" s="178"/>
      <c r="P1048" s="178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78"/>
      <c r="N1049" s="178"/>
      <c r="O1049" s="178"/>
      <c r="P1049" s="178"/>
      <c r="Q1049" s="1"/>
      <c r="R1049" s="1"/>
      <c r="S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P1050" si="319">SUM(H1051:H1055)</f>
        <v>14010500</v>
      </c>
      <c r="I1050" s="178">
        <f t="shared" si="319"/>
        <v>0</v>
      </c>
      <c r="J1050" s="178">
        <f t="shared" si="319"/>
        <v>0</v>
      </c>
      <c r="K1050" s="178">
        <f t="shared" si="319"/>
        <v>0</v>
      </c>
      <c r="L1050" s="178">
        <f t="shared" si="319"/>
        <v>0</v>
      </c>
      <c r="M1050" s="178">
        <f t="shared" si="319"/>
        <v>0</v>
      </c>
      <c r="N1050" s="178">
        <f t="shared" si="319"/>
        <v>0</v>
      </c>
      <c r="O1050" s="178">
        <f t="shared" si="319"/>
        <v>0</v>
      </c>
      <c r="P1050" s="178">
        <f t="shared" si="319"/>
        <v>0</v>
      </c>
      <c r="Q1050" s="1"/>
      <c r="R1050" s="1"/>
      <c r="S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12780000</v>
      </c>
      <c r="I1051" s="178"/>
      <c r="J1051" s="178"/>
      <c r="K1051" s="178"/>
      <c r="L1051" s="178"/>
      <c r="M1051" s="178"/>
      <c r="N1051" s="178"/>
      <c r="O1051" s="178"/>
      <c r="P1051" s="178"/>
      <c r="Q1051" s="1"/>
      <c r="R1051" s="1"/>
      <c r="S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1230500</v>
      </c>
      <c r="I1052" s="178"/>
      <c r="J1052" s="178"/>
      <c r="K1052" s="178"/>
      <c r="L1052" s="178"/>
      <c r="M1052" s="178"/>
      <c r="N1052" s="178"/>
      <c r="O1052" s="178"/>
      <c r="P1052" s="178"/>
      <c r="Q1052" s="1"/>
      <c r="R1052" s="1"/>
      <c r="S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78"/>
      <c r="N1053" s="178"/>
      <c r="O1053" s="178"/>
      <c r="P1053" s="178"/>
      <c r="Q1053" s="1"/>
      <c r="R1053" s="1"/>
      <c r="S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78"/>
      <c r="N1054" s="178"/>
      <c r="O1054" s="178"/>
      <c r="P1054" s="178"/>
      <c r="Q1054" s="1"/>
      <c r="R1054" s="1"/>
      <c r="S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78"/>
      <c r="N1055" s="178"/>
      <c r="O1055" s="178"/>
      <c r="P1055" s="178"/>
      <c r="Q1055" s="1"/>
      <c r="R1055" s="1"/>
      <c r="S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78"/>
      <c r="N1056" s="178"/>
      <c r="O1056" s="178"/>
      <c r="P1056" s="178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P1057" si="320">SUM(H1058:H1062)</f>
        <v>4382500</v>
      </c>
      <c r="I1057" s="178">
        <f t="shared" si="320"/>
        <v>0</v>
      </c>
      <c r="J1057" s="178">
        <f t="shared" si="320"/>
        <v>0</v>
      </c>
      <c r="K1057" s="178">
        <f t="shared" si="320"/>
        <v>0</v>
      </c>
      <c r="L1057" s="178">
        <f t="shared" si="320"/>
        <v>0</v>
      </c>
      <c r="M1057" s="178">
        <f t="shared" si="320"/>
        <v>0</v>
      </c>
      <c r="N1057" s="178">
        <f t="shared" si="320"/>
        <v>0</v>
      </c>
      <c r="O1057" s="178">
        <f t="shared" si="320"/>
        <v>0</v>
      </c>
      <c r="P1057" s="178">
        <f t="shared" si="320"/>
        <v>0</v>
      </c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4000000</v>
      </c>
      <c r="I1058" s="178"/>
      <c r="J1058" s="178"/>
      <c r="K1058" s="178"/>
      <c r="L1058" s="178"/>
      <c r="M1058" s="178"/>
      <c r="N1058" s="178"/>
      <c r="O1058" s="178"/>
      <c r="P1058" s="178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382500</v>
      </c>
      <c r="I1059" s="178"/>
      <c r="J1059" s="178"/>
      <c r="K1059" s="178"/>
      <c r="L1059" s="178"/>
      <c r="M1059" s="178"/>
      <c r="N1059" s="178"/>
      <c r="O1059" s="178"/>
      <c r="P1059" s="178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78"/>
      <c r="N1060" s="178"/>
      <c r="O1060" s="178"/>
      <c r="P1060" s="178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78"/>
      <c r="N1061" s="178"/>
      <c r="O1061" s="178"/>
      <c r="P1061" s="178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78"/>
      <c r="N1062" s="178"/>
      <c r="O1062" s="178"/>
      <c r="P1062" s="178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78"/>
      <c r="N1063" s="178"/>
      <c r="O1063" s="178"/>
      <c r="P1063" s="178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P1064" si="321">SUM(H1066,H1071,H1076,)</f>
        <v>31500</v>
      </c>
      <c r="I1064" s="178">
        <f t="shared" si="321"/>
        <v>34650</v>
      </c>
      <c r="J1064" s="178">
        <f t="shared" si="321"/>
        <v>38115</v>
      </c>
      <c r="K1064" s="178">
        <f t="shared" si="321"/>
        <v>190726.5</v>
      </c>
      <c r="L1064" s="178">
        <f t="shared" si="321"/>
        <v>151719.15</v>
      </c>
      <c r="M1064" s="178">
        <f t="shared" si="321"/>
        <v>241771.065</v>
      </c>
      <c r="N1064" s="178">
        <f t="shared" si="321"/>
        <v>193084.1715</v>
      </c>
      <c r="O1064" s="178">
        <f t="shared" si="321"/>
        <v>917654.5887</v>
      </c>
      <c r="P1064" s="178">
        <f t="shared" si="321"/>
        <v>459347.0475</v>
      </c>
      <c r="Q1064" s="223">
        <f>SUM(H1064:P1064)</f>
        <v>2258567.523</v>
      </c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223"/>
      <c r="R1065" s="223"/>
      <c r="S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P1066" si="322">SUM(H1067:H1069)</f>
        <v>13500</v>
      </c>
      <c r="I1066" s="178">
        <f t="shared" si="322"/>
        <v>14850</v>
      </c>
      <c r="J1066" s="178">
        <f t="shared" si="322"/>
        <v>16335</v>
      </c>
      <c r="K1066" s="178">
        <f t="shared" si="322"/>
        <v>17968.5</v>
      </c>
      <c r="L1066" s="178">
        <f t="shared" si="322"/>
        <v>19765.35</v>
      </c>
      <c r="M1066" s="178">
        <f t="shared" si="322"/>
        <v>21741.885</v>
      </c>
      <c r="N1066" s="178">
        <f t="shared" si="322"/>
        <v>23916.0735</v>
      </c>
      <c r="O1066" s="178">
        <f t="shared" si="322"/>
        <v>26307.68085</v>
      </c>
      <c r="P1066" s="178">
        <f t="shared" si="322"/>
        <v>28938.44894</v>
      </c>
      <c r="Q1066" s="1"/>
      <c r="R1066" s="1"/>
      <c r="S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P1067" si="323">H571</f>
        <v>0</v>
      </c>
      <c r="I1067" s="178">
        <f t="shared" si="323"/>
        <v>0</v>
      </c>
      <c r="J1067" s="178">
        <f t="shared" si="323"/>
        <v>0</v>
      </c>
      <c r="K1067" s="178">
        <f t="shared" si="323"/>
        <v>0</v>
      </c>
      <c r="L1067" s="178">
        <f t="shared" si="323"/>
        <v>0</v>
      </c>
      <c r="M1067" s="178">
        <f t="shared" si="323"/>
        <v>0</v>
      </c>
      <c r="N1067" s="178">
        <f t="shared" si="323"/>
        <v>0</v>
      </c>
      <c r="O1067" s="178">
        <f t="shared" si="323"/>
        <v>0</v>
      </c>
      <c r="P1067" s="178">
        <f t="shared" si="323"/>
        <v>0</v>
      </c>
      <c r="Q1067" s="1"/>
      <c r="R1067" s="1"/>
      <c r="S1067" s="1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P1068" si="324">H605</f>
        <v>0</v>
      </c>
      <c r="I1068" s="178">
        <f t="shared" si="324"/>
        <v>0</v>
      </c>
      <c r="J1068" s="178">
        <f t="shared" si="324"/>
        <v>0</v>
      </c>
      <c r="K1068" s="178">
        <f t="shared" si="324"/>
        <v>0</v>
      </c>
      <c r="L1068" s="178">
        <f t="shared" si="324"/>
        <v>0</v>
      </c>
      <c r="M1068" s="178">
        <f t="shared" si="324"/>
        <v>0</v>
      </c>
      <c r="N1068" s="178">
        <f t="shared" si="324"/>
        <v>0</v>
      </c>
      <c r="O1068" s="178">
        <f t="shared" si="324"/>
        <v>0</v>
      </c>
      <c r="P1068" s="178">
        <f t="shared" si="324"/>
        <v>0</v>
      </c>
      <c r="Q1068" s="1"/>
      <c r="R1068" s="1"/>
      <c r="S1068" s="1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P1069" si="325">H624</f>
        <v>13500</v>
      </c>
      <c r="I1069" s="178">
        <f t="shared" si="325"/>
        <v>14850</v>
      </c>
      <c r="J1069" s="178">
        <f t="shared" si="325"/>
        <v>16335</v>
      </c>
      <c r="K1069" s="178">
        <f t="shared" si="325"/>
        <v>17968.5</v>
      </c>
      <c r="L1069" s="178">
        <f t="shared" si="325"/>
        <v>19765.35</v>
      </c>
      <c r="M1069" s="178">
        <f t="shared" si="325"/>
        <v>21741.885</v>
      </c>
      <c r="N1069" s="178">
        <f t="shared" si="325"/>
        <v>23916.0735</v>
      </c>
      <c r="O1069" s="178">
        <f t="shared" si="325"/>
        <v>26307.68085</v>
      </c>
      <c r="P1069" s="178">
        <f t="shared" si="325"/>
        <v>28938.44894</v>
      </c>
      <c r="Q1069" s="1"/>
      <c r="R1069" s="1"/>
      <c r="S1069" s="1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"/>
      <c r="R1070" s="1"/>
      <c r="S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 t="shared" ref="H1071:P1071" si="326">SUM(H1072:H1074)</f>
        <v>18000</v>
      </c>
      <c r="I1071" s="178">
        <f t="shared" si="326"/>
        <v>19800</v>
      </c>
      <c r="J1071" s="178">
        <f t="shared" si="326"/>
        <v>21780</v>
      </c>
      <c r="K1071" s="178">
        <f t="shared" si="326"/>
        <v>23958</v>
      </c>
      <c r="L1071" s="178">
        <f t="shared" si="326"/>
        <v>45553.8</v>
      </c>
      <c r="M1071" s="178">
        <f t="shared" si="326"/>
        <v>28989.18</v>
      </c>
      <c r="N1071" s="178">
        <f t="shared" si="326"/>
        <v>47248.098</v>
      </c>
      <c r="O1071" s="178">
        <f t="shared" si="326"/>
        <v>79876.9078</v>
      </c>
      <c r="P1071" s="178">
        <f t="shared" si="326"/>
        <v>50872.59858</v>
      </c>
      <c r="Q1071" s="1"/>
      <c r="R1071" s="1"/>
      <c r="S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P1072" si="327">H646</f>
        <v>0</v>
      </c>
      <c r="I1072" s="178">
        <f t="shared" si="327"/>
        <v>0</v>
      </c>
      <c r="J1072" s="178">
        <f t="shared" si="327"/>
        <v>0</v>
      </c>
      <c r="K1072" s="178">
        <f t="shared" si="327"/>
        <v>0</v>
      </c>
      <c r="L1072" s="178">
        <f t="shared" si="327"/>
        <v>19200</v>
      </c>
      <c r="M1072" s="178">
        <f t="shared" si="327"/>
        <v>0</v>
      </c>
      <c r="N1072" s="178">
        <f t="shared" si="327"/>
        <v>15360</v>
      </c>
      <c r="O1072" s="178">
        <f t="shared" si="327"/>
        <v>44800</v>
      </c>
      <c r="P1072" s="178">
        <f t="shared" si="327"/>
        <v>12288</v>
      </c>
      <c r="Q1072" s="1"/>
      <c r="R1072" s="1"/>
      <c r="S1072" s="1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P1073" si="328">H679</f>
        <v>0</v>
      </c>
      <c r="I1073" s="178">
        <f t="shared" si="328"/>
        <v>0</v>
      </c>
      <c r="J1073" s="178">
        <f t="shared" si="328"/>
        <v>0</v>
      </c>
      <c r="K1073" s="178">
        <f t="shared" si="328"/>
        <v>0</v>
      </c>
      <c r="L1073" s="178">
        <f t="shared" si="328"/>
        <v>0</v>
      </c>
      <c r="M1073" s="178">
        <f t="shared" si="328"/>
        <v>0</v>
      </c>
      <c r="N1073" s="178">
        <f t="shared" si="328"/>
        <v>0</v>
      </c>
      <c r="O1073" s="178">
        <f t="shared" si="328"/>
        <v>0</v>
      </c>
      <c r="P1073" s="178">
        <f t="shared" si="328"/>
        <v>0</v>
      </c>
      <c r="Q1073" s="1"/>
      <c r="R1073" s="1"/>
      <c r="S1073" s="1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P1074" si="329">H698</f>
        <v>18000</v>
      </c>
      <c r="I1074" s="178">
        <f t="shared" si="329"/>
        <v>19800</v>
      </c>
      <c r="J1074" s="178">
        <f t="shared" si="329"/>
        <v>21780</v>
      </c>
      <c r="K1074" s="178">
        <f t="shared" si="329"/>
        <v>23958</v>
      </c>
      <c r="L1074" s="178">
        <f t="shared" si="329"/>
        <v>26353.8</v>
      </c>
      <c r="M1074" s="178">
        <f t="shared" si="329"/>
        <v>28989.18</v>
      </c>
      <c r="N1074" s="178">
        <f t="shared" si="329"/>
        <v>31888.098</v>
      </c>
      <c r="O1074" s="178">
        <f t="shared" si="329"/>
        <v>35076.9078</v>
      </c>
      <c r="P1074" s="178">
        <f t="shared" si="329"/>
        <v>38584.59858</v>
      </c>
      <c r="Q1074" s="1"/>
      <c r="R1074" s="1"/>
      <c r="S1074" s="1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"/>
      <c r="R1075" s="1"/>
      <c r="S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 t="shared" ref="H1076:P1076" si="330">SUM(H1077:H1079)</f>
        <v>0</v>
      </c>
      <c r="I1076" s="178">
        <f t="shared" si="330"/>
        <v>0</v>
      </c>
      <c r="J1076" s="178">
        <f t="shared" si="330"/>
        <v>0</v>
      </c>
      <c r="K1076" s="178">
        <f t="shared" si="330"/>
        <v>148800</v>
      </c>
      <c r="L1076" s="178">
        <f t="shared" si="330"/>
        <v>86400</v>
      </c>
      <c r="M1076" s="178">
        <f t="shared" si="330"/>
        <v>191040</v>
      </c>
      <c r="N1076" s="178">
        <f t="shared" si="330"/>
        <v>121920</v>
      </c>
      <c r="O1076" s="178">
        <f t="shared" si="330"/>
        <v>811470</v>
      </c>
      <c r="P1076" s="178">
        <f t="shared" si="330"/>
        <v>379536</v>
      </c>
      <c r="Q1076" s="1"/>
      <c r="R1076" s="1"/>
      <c r="S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P1077" si="331">H720</f>
        <v>0</v>
      </c>
      <c r="I1077" s="178">
        <f t="shared" si="331"/>
        <v>0</v>
      </c>
      <c r="J1077" s="178">
        <f t="shared" si="331"/>
        <v>0</v>
      </c>
      <c r="K1077" s="178">
        <f t="shared" si="331"/>
        <v>148800</v>
      </c>
      <c r="L1077" s="178">
        <f t="shared" si="331"/>
        <v>86400</v>
      </c>
      <c r="M1077" s="178">
        <f t="shared" si="331"/>
        <v>191040</v>
      </c>
      <c r="N1077" s="178">
        <f t="shared" si="331"/>
        <v>121920</v>
      </c>
      <c r="O1077" s="178">
        <f t="shared" si="331"/>
        <v>200832</v>
      </c>
      <c r="P1077" s="178">
        <f t="shared" si="331"/>
        <v>135936</v>
      </c>
      <c r="Q1077" s="1"/>
      <c r="R1077" s="1"/>
      <c r="S1077" s="1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P1078" si="332">H754</f>
        <v>0</v>
      </c>
      <c r="I1078" s="178">
        <f t="shared" si="332"/>
        <v>0</v>
      </c>
      <c r="J1078" s="178">
        <f t="shared" si="332"/>
        <v>0</v>
      </c>
      <c r="K1078" s="178">
        <f t="shared" si="332"/>
        <v>0</v>
      </c>
      <c r="L1078" s="178">
        <f t="shared" si="332"/>
        <v>0</v>
      </c>
      <c r="M1078" s="178">
        <f t="shared" si="332"/>
        <v>0</v>
      </c>
      <c r="N1078" s="178">
        <f t="shared" si="332"/>
        <v>0</v>
      </c>
      <c r="O1078" s="178">
        <f t="shared" si="332"/>
        <v>610638</v>
      </c>
      <c r="P1078" s="178">
        <f t="shared" si="332"/>
        <v>243600</v>
      </c>
      <c r="Q1078" s="1"/>
      <c r="R1078" s="1"/>
      <c r="S1078" s="1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P1079" si="333">H774</f>
        <v>0</v>
      </c>
      <c r="I1079" s="178">
        <f t="shared" si="333"/>
        <v>0</v>
      </c>
      <c r="J1079" s="178">
        <f t="shared" si="333"/>
        <v>0</v>
      </c>
      <c r="K1079" s="178">
        <f t="shared" si="333"/>
        <v>0</v>
      </c>
      <c r="L1079" s="178">
        <f t="shared" si="333"/>
        <v>0</v>
      </c>
      <c r="M1079" s="178">
        <f t="shared" si="333"/>
        <v>0</v>
      </c>
      <c r="N1079" s="178">
        <f t="shared" si="333"/>
        <v>0</v>
      </c>
      <c r="O1079" s="178">
        <f t="shared" si="333"/>
        <v>0</v>
      </c>
      <c r="P1079" s="178">
        <f t="shared" si="333"/>
        <v>0</v>
      </c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P1081" si="334">SUM(H1083,H1090,H1097,H1104,H1111,)</f>
        <v>0</v>
      </c>
      <c r="I1081" s="178">
        <f t="shared" si="334"/>
        <v>5402000</v>
      </c>
      <c r="J1081" s="178">
        <f t="shared" si="334"/>
        <v>3359000</v>
      </c>
      <c r="K1081" s="178">
        <f t="shared" si="334"/>
        <v>2550000</v>
      </c>
      <c r="L1081" s="178">
        <f t="shared" si="334"/>
        <v>1692000</v>
      </c>
      <c r="M1081" s="178">
        <f t="shared" si="334"/>
        <v>3309000</v>
      </c>
      <c r="N1081" s="178">
        <f t="shared" si="334"/>
        <v>1170000</v>
      </c>
      <c r="O1081" s="178">
        <f t="shared" si="334"/>
        <v>846000</v>
      </c>
      <c r="P1081" s="178">
        <f t="shared" si="334"/>
        <v>2293000</v>
      </c>
      <c r="Q1081" s="223">
        <f>SUM(H1081:P1081)</f>
        <v>20621000</v>
      </c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223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P1083" si="335">SUM(H1084:H1088)</f>
        <v>0</v>
      </c>
      <c r="I1083" s="178">
        <f t="shared" si="335"/>
        <v>0</v>
      </c>
      <c r="J1083" s="178">
        <f t="shared" si="335"/>
        <v>170000</v>
      </c>
      <c r="K1083" s="178">
        <f t="shared" si="335"/>
        <v>0</v>
      </c>
      <c r="L1083" s="178">
        <f t="shared" si="335"/>
        <v>0</v>
      </c>
      <c r="M1083" s="178">
        <f t="shared" si="335"/>
        <v>490000</v>
      </c>
      <c r="N1083" s="178">
        <f t="shared" si="335"/>
        <v>0</v>
      </c>
      <c r="O1083" s="178">
        <f t="shared" si="335"/>
        <v>0</v>
      </c>
      <c r="P1083" s="178">
        <f t="shared" si="335"/>
        <v>490000</v>
      </c>
      <c r="Q1083" s="1"/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P1084" si="336">H827</f>
        <v>0</v>
      </c>
      <c r="I1084" s="179">
        <f t="shared" si="336"/>
        <v>0</v>
      </c>
      <c r="J1084" s="179">
        <f t="shared" si="336"/>
        <v>140000</v>
      </c>
      <c r="K1084" s="179">
        <f t="shared" si="336"/>
        <v>0</v>
      </c>
      <c r="L1084" s="179">
        <f t="shared" si="336"/>
        <v>0</v>
      </c>
      <c r="M1084" s="179">
        <f t="shared" si="336"/>
        <v>420000</v>
      </c>
      <c r="N1084" s="179">
        <f t="shared" si="336"/>
        <v>0</v>
      </c>
      <c r="O1084" s="179">
        <f t="shared" si="336"/>
        <v>0</v>
      </c>
      <c r="P1084" s="179">
        <f t="shared" si="336"/>
        <v>420000</v>
      </c>
      <c r="Q1084" s="1"/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P1085" si="337">H830</f>
        <v>0</v>
      </c>
      <c r="I1085" s="179">
        <f t="shared" si="337"/>
        <v>0</v>
      </c>
      <c r="J1085" s="179">
        <f t="shared" si="337"/>
        <v>30000</v>
      </c>
      <c r="K1085" s="179">
        <f t="shared" si="337"/>
        <v>0</v>
      </c>
      <c r="L1085" s="179">
        <f t="shared" si="337"/>
        <v>0</v>
      </c>
      <c r="M1085" s="179">
        <f t="shared" si="337"/>
        <v>70000</v>
      </c>
      <c r="N1085" s="179">
        <f t="shared" si="337"/>
        <v>0</v>
      </c>
      <c r="O1085" s="179">
        <f t="shared" si="337"/>
        <v>0</v>
      </c>
      <c r="P1085" s="179">
        <f t="shared" si="337"/>
        <v>70000</v>
      </c>
      <c r="Q1085" s="1"/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P1086" si="338">H833</f>
        <v>0</v>
      </c>
      <c r="I1086" s="179">
        <f t="shared" si="338"/>
        <v>0</v>
      </c>
      <c r="J1086" s="179">
        <f t="shared" si="338"/>
        <v>0</v>
      </c>
      <c r="K1086" s="179">
        <f t="shared" si="338"/>
        <v>0</v>
      </c>
      <c r="L1086" s="179">
        <f t="shared" si="338"/>
        <v>0</v>
      </c>
      <c r="M1086" s="179">
        <f t="shared" si="338"/>
        <v>0</v>
      </c>
      <c r="N1086" s="179">
        <f t="shared" si="338"/>
        <v>0</v>
      </c>
      <c r="O1086" s="179">
        <f t="shared" si="338"/>
        <v>0</v>
      </c>
      <c r="P1086" s="179">
        <f t="shared" si="338"/>
        <v>0</v>
      </c>
      <c r="Q1086" s="1"/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P1087" si="339">H836</f>
        <v>0</v>
      </c>
      <c r="I1087" s="179">
        <f t="shared" si="339"/>
        <v>0</v>
      </c>
      <c r="J1087" s="179">
        <f t="shared" si="339"/>
        <v>0</v>
      </c>
      <c r="K1087" s="179">
        <f t="shared" si="339"/>
        <v>0</v>
      </c>
      <c r="L1087" s="179">
        <f t="shared" si="339"/>
        <v>0</v>
      </c>
      <c r="M1087" s="179">
        <f t="shared" si="339"/>
        <v>0</v>
      </c>
      <c r="N1087" s="179">
        <f t="shared" si="339"/>
        <v>0</v>
      </c>
      <c r="O1087" s="179">
        <f t="shared" si="339"/>
        <v>0</v>
      </c>
      <c r="P1087" s="179">
        <f t="shared" si="339"/>
        <v>0</v>
      </c>
      <c r="Q1087" s="1"/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P1088" si="340">H839</f>
        <v>0</v>
      </c>
      <c r="I1088" s="179">
        <f t="shared" si="340"/>
        <v>0</v>
      </c>
      <c r="J1088" s="179">
        <f t="shared" si="340"/>
        <v>0</v>
      </c>
      <c r="K1088" s="179">
        <f t="shared" si="340"/>
        <v>0</v>
      </c>
      <c r="L1088" s="179">
        <f t="shared" si="340"/>
        <v>0</v>
      </c>
      <c r="M1088" s="179">
        <f t="shared" si="340"/>
        <v>0</v>
      </c>
      <c r="N1088" s="179">
        <f t="shared" si="340"/>
        <v>0</v>
      </c>
      <c r="O1088" s="179">
        <f t="shared" si="340"/>
        <v>0</v>
      </c>
      <c r="P1088" s="179">
        <f t="shared" si="340"/>
        <v>0</v>
      </c>
      <c r="Q1088" s="1"/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P1090" si="341">SUM(H1091:H1095)</f>
        <v>0</v>
      </c>
      <c r="I1090" s="178">
        <f t="shared" si="341"/>
        <v>0</v>
      </c>
      <c r="J1090" s="178">
        <f t="shared" si="341"/>
        <v>341000</v>
      </c>
      <c r="K1090" s="178">
        <f t="shared" si="341"/>
        <v>0</v>
      </c>
      <c r="L1090" s="178">
        <f t="shared" si="341"/>
        <v>0</v>
      </c>
      <c r="M1090" s="178">
        <f t="shared" si="341"/>
        <v>1151000</v>
      </c>
      <c r="N1090" s="178">
        <f t="shared" si="341"/>
        <v>0</v>
      </c>
      <c r="O1090" s="178">
        <f t="shared" si="341"/>
        <v>0</v>
      </c>
      <c r="P1090" s="178">
        <f t="shared" si="341"/>
        <v>1151000</v>
      </c>
      <c r="Q1090" s="1"/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P1091" si="342">H872</f>
        <v>0</v>
      </c>
      <c r="I1091" s="179">
        <f t="shared" si="342"/>
        <v>0</v>
      </c>
      <c r="J1091" s="179">
        <f t="shared" si="342"/>
        <v>175000</v>
      </c>
      <c r="K1091" s="179">
        <f t="shared" si="342"/>
        <v>0</v>
      </c>
      <c r="L1091" s="179">
        <f t="shared" si="342"/>
        <v>0</v>
      </c>
      <c r="M1091" s="179">
        <f t="shared" si="342"/>
        <v>525000</v>
      </c>
      <c r="N1091" s="179">
        <f t="shared" si="342"/>
        <v>0</v>
      </c>
      <c r="O1091" s="179">
        <f t="shared" si="342"/>
        <v>0</v>
      </c>
      <c r="P1091" s="179">
        <f t="shared" si="342"/>
        <v>525000</v>
      </c>
      <c r="Q1091" s="1"/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P1092" si="343">H875</f>
        <v>0</v>
      </c>
      <c r="I1092" s="179">
        <f t="shared" si="343"/>
        <v>0</v>
      </c>
      <c r="J1092" s="179">
        <f t="shared" si="343"/>
        <v>70000</v>
      </c>
      <c r="K1092" s="179">
        <f t="shared" si="343"/>
        <v>0</v>
      </c>
      <c r="L1092" s="179">
        <f t="shared" si="343"/>
        <v>0</v>
      </c>
      <c r="M1092" s="179">
        <f t="shared" si="343"/>
        <v>210000</v>
      </c>
      <c r="N1092" s="179">
        <f t="shared" si="343"/>
        <v>0</v>
      </c>
      <c r="O1092" s="179">
        <f t="shared" si="343"/>
        <v>0</v>
      </c>
      <c r="P1092" s="179">
        <f t="shared" si="343"/>
        <v>210000</v>
      </c>
      <c r="Q1092" s="1"/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P1093" si="344">H878</f>
        <v>0</v>
      </c>
      <c r="I1093" s="179">
        <f t="shared" si="344"/>
        <v>0</v>
      </c>
      <c r="J1093" s="179">
        <f t="shared" si="344"/>
        <v>24000</v>
      </c>
      <c r="K1093" s="179">
        <f t="shared" si="344"/>
        <v>0</v>
      </c>
      <c r="L1093" s="179">
        <f t="shared" si="344"/>
        <v>0</v>
      </c>
      <c r="M1093" s="179">
        <f t="shared" si="344"/>
        <v>56000</v>
      </c>
      <c r="N1093" s="179">
        <f t="shared" si="344"/>
        <v>0</v>
      </c>
      <c r="O1093" s="179">
        <f t="shared" si="344"/>
        <v>0</v>
      </c>
      <c r="P1093" s="179">
        <f t="shared" si="344"/>
        <v>56000</v>
      </c>
      <c r="Q1093" s="1"/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P1094" si="345">H881</f>
        <v>0</v>
      </c>
      <c r="I1094" s="179">
        <f t="shared" si="345"/>
        <v>0</v>
      </c>
      <c r="J1094" s="179">
        <f t="shared" si="345"/>
        <v>72000</v>
      </c>
      <c r="K1094" s="179">
        <f t="shared" si="345"/>
        <v>0</v>
      </c>
      <c r="L1094" s="179">
        <f t="shared" si="345"/>
        <v>0</v>
      </c>
      <c r="M1094" s="179">
        <f t="shared" si="345"/>
        <v>360000</v>
      </c>
      <c r="N1094" s="179">
        <f t="shared" si="345"/>
        <v>0</v>
      </c>
      <c r="O1094" s="179">
        <f t="shared" si="345"/>
        <v>0</v>
      </c>
      <c r="P1094" s="179">
        <f t="shared" si="345"/>
        <v>360000</v>
      </c>
      <c r="Q1094" s="1"/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P1095" si="346">H884</f>
        <v>0</v>
      </c>
      <c r="I1095" s="179">
        <f t="shared" si="346"/>
        <v>0</v>
      </c>
      <c r="J1095" s="179">
        <f t="shared" si="346"/>
        <v>0</v>
      </c>
      <c r="K1095" s="179">
        <f t="shared" si="346"/>
        <v>0</v>
      </c>
      <c r="L1095" s="179">
        <f t="shared" si="346"/>
        <v>0</v>
      </c>
      <c r="M1095" s="179">
        <f t="shared" si="346"/>
        <v>0</v>
      </c>
      <c r="N1095" s="179">
        <f t="shared" si="346"/>
        <v>0</v>
      </c>
      <c r="O1095" s="179">
        <f t="shared" si="346"/>
        <v>0</v>
      </c>
      <c r="P1095" s="179">
        <f t="shared" si="346"/>
        <v>0</v>
      </c>
      <c r="Q1095" s="1"/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P1097" si="347">SUM(H1098:H1102)</f>
        <v>0</v>
      </c>
      <c r="I1097" s="178">
        <f t="shared" si="347"/>
        <v>2664000</v>
      </c>
      <c r="J1097" s="178">
        <f t="shared" si="347"/>
        <v>1388000</v>
      </c>
      <c r="K1097" s="178">
        <f t="shared" si="347"/>
        <v>1258000</v>
      </c>
      <c r="L1097" s="178">
        <f t="shared" si="347"/>
        <v>824000</v>
      </c>
      <c r="M1097" s="178">
        <f t="shared" si="347"/>
        <v>818000</v>
      </c>
      <c r="N1097" s="178">
        <f t="shared" si="347"/>
        <v>570000</v>
      </c>
      <c r="O1097" s="178">
        <f t="shared" si="347"/>
        <v>404000</v>
      </c>
      <c r="P1097" s="178">
        <f t="shared" si="347"/>
        <v>302000</v>
      </c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P1098" si="348">H917</f>
        <v>0</v>
      </c>
      <c r="I1098" s="180">
        <f t="shared" si="348"/>
        <v>740000</v>
      </c>
      <c r="J1098" s="180">
        <f t="shared" si="348"/>
        <v>380000</v>
      </c>
      <c r="K1098" s="180">
        <f t="shared" si="348"/>
        <v>340000</v>
      </c>
      <c r="L1098" s="180">
        <f t="shared" si="348"/>
        <v>220000</v>
      </c>
      <c r="M1098" s="180">
        <f t="shared" si="348"/>
        <v>220000</v>
      </c>
      <c r="N1098" s="180">
        <f t="shared" si="348"/>
        <v>160000</v>
      </c>
      <c r="O1098" s="180">
        <f t="shared" si="348"/>
        <v>120000</v>
      </c>
      <c r="P1098" s="180">
        <f t="shared" si="348"/>
        <v>80000</v>
      </c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P1099" si="349">H920</f>
        <v>0</v>
      </c>
      <c r="I1099" s="170">
        <f t="shared" si="349"/>
        <v>520000</v>
      </c>
      <c r="J1099" s="170">
        <f t="shared" si="349"/>
        <v>270000</v>
      </c>
      <c r="K1099" s="170">
        <f t="shared" si="349"/>
        <v>240000</v>
      </c>
      <c r="L1099" s="170">
        <f t="shared" si="349"/>
        <v>160000</v>
      </c>
      <c r="M1099" s="170">
        <f t="shared" si="349"/>
        <v>160000</v>
      </c>
      <c r="N1099" s="170">
        <f t="shared" si="349"/>
        <v>110000</v>
      </c>
      <c r="O1099" s="170">
        <f t="shared" si="349"/>
        <v>80000</v>
      </c>
      <c r="P1099" s="170">
        <f t="shared" si="349"/>
        <v>60000</v>
      </c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P1100" si="350">H923</f>
        <v>0</v>
      </c>
      <c r="I1100" s="170">
        <f t="shared" si="350"/>
        <v>186000</v>
      </c>
      <c r="J1100" s="170">
        <f t="shared" si="350"/>
        <v>108000</v>
      </c>
      <c r="K1100" s="170">
        <f t="shared" si="350"/>
        <v>90000</v>
      </c>
      <c r="L1100" s="170">
        <f t="shared" si="350"/>
        <v>66000</v>
      </c>
      <c r="M1100" s="170">
        <f t="shared" si="350"/>
        <v>60000</v>
      </c>
      <c r="N1100" s="170">
        <f t="shared" si="350"/>
        <v>48000</v>
      </c>
      <c r="O1100" s="170">
        <f t="shared" si="350"/>
        <v>36000</v>
      </c>
      <c r="P1100" s="170">
        <f t="shared" si="350"/>
        <v>36000</v>
      </c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P1101" si="351">H926</f>
        <v>0</v>
      </c>
      <c r="I1101" s="170">
        <f t="shared" si="351"/>
        <v>1218000</v>
      </c>
      <c r="J1101" s="170">
        <f t="shared" si="351"/>
        <v>630000</v>
      </c>
      <c r="K1101" s="170">
        <f t="shared" si="351"/>
        <v>588000</v>
      </c>
      <c r="L1101" s="170">
        <f t="shared" si="351"/>
        <v>378000</v>
      </c>
      <c r="M1101" s="170">
        <f t="shared" si="351"/>
        <v>378000</v>
      </c>
      <c r="N1101" s="170">
        <f t="shared" si="351"/>
        <v>252000</v>
      </c>
      <c r="O1101" s="170">
        <f t="shared" si="351"/>
        <v>168000</v>
      </c>
      <c r="P1101" s="170">
        <f t="shared" si="351"/>
        <v>126000</v>
      </c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P1102" si="352">H929</f>
        <v>0</v>
      </c>
      <c r="I1102" s="170">
        <f t="shared" si="352"/>
        <v>0</v>
      </c>
      <c r="J1102" s="170">
        <f t="shared" si="352"/>
        <v>0</v>
      </c>
      <c r="K1102" s="170">
        <f t="shared" si="352"/>
        <v>0</v>
      </c>
      <c r="L1102" s="170">
        <f t="shared" si="352"/>
        <v>0</v>
      </c>
      <c r="M1102" s="170">
        <f t="shared" si="352"/>
        <v>0</v>
      </c>
      <c r="N1102" s="170">
        <f t="shared" si="352"/>
        <v>0</v>
      </c>
      <c r="O1102" s="170">
        <f t="shared" si="352"/>
        <v>0</v>
      </c>
      <c r="P1102" s="170">
        <f t="shared" si="352"/>
        <v>0</v>
      </c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P1104" si="353">SUM(H1105:H1109)</f>
        <v>0</v>
      </c>
      <c r="I1104" s="178">
        <f t="shared" si="353"/>
        <v>2084000</v>
      </c>
      <c r="J1104" s="178">
        <f t="shared" si="353"/>
        <v>1108000</v>
      </c>
      <c r="K1104" s="178">
        <f t="shared" si="353"/>
        <v>984000</v>
      </c>
      <c r="L1104" s="178">
        <f t="shared" si="353"/>
        <v>660000</v>
      </c>
      <c r="M1104" s="178">
        <f t="shared" si="353"/>
        <v>650000</v>
      </c>
      <c r="N1104" s="178">
        <f t="shared" si="353"/>
        <v>456000</v>
      </c>
      <c r="O1104" s="178">
        <f t="shared" si="353"/>
        <v>334000</v>
      </c>
      <c r="P1104" s="178">
        <f t="shared" si="353"/>
        <v>264000</v>
      </c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P1105" si="354">H963</f>
        <v>0</v>
      </c>
      <c r="I1105" s="170">
        <f t="shared" si="354"/>
        <v>1144000</v>
      </c>
      <c r="J1105" s="170">
        <f t="shared" si="354"/>
        <v>608000</v>
      </c>
      <c r="K1105" s="170">
        <f t="shared" si="354"/>
        <v>544000</v>
      </c>
      <c r="L1105" s="170">
        <f t="shared" si="354"/>
        <v>360000</v>
      </c>
      <c r="M1105" s="170">
        <f t="shared" si="354"/>
        <v>360000</v>
      </c>
      <c r="N1105" s="170">
        <f t="shared" si="354"/>
        <v>256000</v>
      </c>
      <c r="O1105" s="170">
        <f t="shared" si="354"/>
        <v>184000</v>
      </c>
      <c r="P1105" s="170">
        <f t="shared" si="354"/>
        <v>144000</v>
      </c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P1106" si="355">H966</f>
        <v>0</v>
      </c>
      <c r="I1106" s="170">
        <f t="shared" si="355"/>
        <v>940000</v>
      </c>
      <c r="J1106" s="170">
        <f t="shared" si="355"/>
        <v>500000</v>
      </c>
      <c r="K1106" s="170">
        <f t="shared" si="355"/>
        <v>440000</v>
      </c>
      <c r="L1106" s="170">
        <f t="shared" si="355"/>
        <v>300000</v>
      </c>
      <c r="M1106" s="170">
        <f t="shared" si="355"/>
        <v>290000</v>
      </c>
      <c r="N1106" s="170">
        <f t="shared" si="355"/>
        <v>200000</v>
      </c>
      <c r="O1106" s="170">
        <f t="shared" si="355"/>
        <v>150000</v>
      </c>
      <c r="P1106" s="170">
        <f t="shared" si="355"/>
        <v>120000</v>
      </c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P1107" si="356">H969</f>
        <v>0</v>
      </c>
      <c r="I1107" s="170">
        <f t="shared" si="356"/>
        <v>0</v>
      </c>
      <c r="J1107" s="170">
        <f t="shared" si="356"/>
        <v>0</v>
      </c>
      <c r="K1107" s="170">
        <f t="shared" si="356"/>
        <v>0</v>
      </c>
      <c r="L1107" s="170">
        <f t="shared" si="356"/>
        <v>0</v>
      </c>
      <c r="M1107" s="170">
        <f t="shared" si="356"/>
        <v>0</v>
      </c>
      <c r="N1107" s="170">
        <f t="shared" si="356"/>
        <v>0</v>
      </c>
      <c r="O1107" s="170">
        <f t="shared" si="356"/>
        <v>0</v>
      </c>
      <c r="P1107" s="170">
        <f t="shared" si="356"/>
        <v>0</v>
      </c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P1108" si="357">H972</f>
        <v>0</v>
      </c>
      <c r="I1108" s="170">
        <f t="shared" si="357"/>
        <v>0</v>
      </c>
      <c r="J1108" s="170">
        <f t="shared" si="357"/>
        <v>0</v>
      </c>
      <c r="K1108" s="170">
        <f t="shared" si="357"/>
        <v>0</v>
      </c>
      <c r="L1108" s="170">
        <f t="shared" si="357"/>
        <v>0</v>
      </c>
      <c r="M1108" s="170">
        <f t="shared" si="357"/>
        <v>0</v>
      </c>
      <c r="N1108" s="170">
        <f t="shared" si="357"/>
        <v>0</v>
      </c>
      <c r="O1108" s="170">
        <f t="shared" si="357"/>
        <v>0</v>
      </c>
      <c r="P1108" s="170">
        <f t="shared" si="357"/>
        <v>0</v>
      </c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P1109" si="358">H975</f>
        <v>0</v>
      </c>
      <c r="I1109" s="170">
        <f t="shared" si="358"/>
        <v>0</v>
      </c>
      <c r="J1109" s="170">
        <f t="shared" si="358"/>
        <v>0</v>
      </c>
      <c r="K1109" s="170">
        <f t="shared" si="358"/>
        <v>0</v>
      </c>
      <c r="L1109" s="170">
        <f t="shared" si="358"/>
        <v>0</v>
      </c>
      <c r="M1109" s="170">
        <f t="shared" si="358"/>
        <v>0</v>
      </c>
      <c r="N1109" s="170">
        <f t="shared" si="358"/>
        <v>0</v>
      </c>
      <c r="O1109" s="170">
        <f t="shared" si="358"/>
        <v>0</v>
      </c>
      <c r="P1109" s="170">
        <f t="shared" si="358"/>
        <v>0</v>
      </c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P1111" si="359">SUM(H1112:H1116)</f>
        <v>0</v>
      </c>
      <c r="I1111" s="178">
        <f t="shared" si="359"/>
        <v>654000</v>
      </c>
      <c r="J1111" s="178">
        <f t="shared" si="359"/>
        <v>352000</v>
      </c>
      <c r="K1111" s="178">
        <f t="shared" si="359"/>
        <v>308000</v>
      </c>
      <c r="L1111" s="178">
        <f t="shared" si="359"/>
        <v>208000</v>
      </c>
      <c r="M1111" s="178">
        <f t="shared" si="359"/>
        <v>200000</v>
      </c>
      <c r="N1111" s="178">
        <f t="shared" si="359"/>
        <v>144000</v>
      </c>
      <c r="O1111" s="178">
        <f t="shared" si="359"/>
        <v>108000</v>
      </c>
      <c r="P1111" s="178">
        <f t="shared" si="359"/>
        <v>86000</v>
      </c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P1112" si="360">H1008</f>
        <v>0</v>
      </c>
      <c r="I1112" s="170">
        <f t="shared" si="360"/>
        <v>432000</v>
      </c>
      <c r="J1112" s="170">
        <f t="shared" si="360"/>
        <v>232000</v>
      </c>
      <c r="K1112" s="170">
        <f t="shared" si="360"/>
        <v>200000</v>
      </c>
      <c r="L1112" s="170">
        <f t="shared" si="360"/>
        <v>136000</v>
      </c>
      <c r="M1112" s="170">
        <f t="shared" si="360"/>
        <v>128000</v>
      </c>
      <c r="N1112" s="170">
        <f t="shared" si="360"/>
        <v>96000</v>
      </c>
      <c r="O1112" s="170">
        <f t="shared" si="360"/>
        <v>72000</v>
      </c>
      <c r="P1112" s="170">
        <f t="shared" si="360"/>
        <v>56000</v>
      </c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P1113" si="361">H1011</f>
        <v>0</v>
      </c>
      <c r="I1113" s="170">
        <f t="shared" si="361"/>
        <v>222000</v>
      </c>
      <c r="J1113" s="170">
        <f t="shared" si="361"/>
        <v>120000</v>
      </c>
      <c r="K1113" s="170">
        <f t="shared" si="361"/>
        <v>108000</v>
      </c>
      <c r="L1113" s="170">
        <f t="shared" si="361"/>
        <v>72000</v>
      </c>
      <c r="M1113" s="170">
        <f t="shared" si="361"/>
        <v>72000</v>
      </c>
      <c r="N1113" s="170">
        <f t="shared" si="361"/>
        <v>48000</v>
      </c>
      <c r="O1113" s="170">
        <f t="shared" si="361"/>
        <v>36000</v>
      </c>
      <c r="P1113" s="170">
        <f t="shared" si="361"/>
        <v>30000</v>
      </c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P1114" si="362">H1014</f>
        <v>0</v>
      </c>
      <c r="I1114" s="170">
        <f t="shared" si="362"/>
        <v>0</v>
      </c>
      <c r="J1114" s="170">
        <f t="shared" si="362"/>
        <v>0</v>
      </c>
      <c r="K1114" s="170">
        <f t="shared" si="362"/>
        <v>0</v>
      </c>
      <c r="L1114" s="170">
        <f t="shared" si="362"/>
        <v>0</v>
      </c>
      <c r="M1114" s="170">
        <f t="shared" si="362"/>
        <v>0</v>
      </c>
      <c r="N1114" s="170">
        <f t="shared" si="362"/>
        <v>0</v>
      </c>
      <c r="O1114" s="170">
        <f t="shared" si="362"/>
        <v>0</v>
      </c>
      <c r="P1114" s="170">
        <f t="shared" si="362"/>
        <v>0</v>
      </c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P1115" si="363">H1017</f>
        <v>0</v>
      </c>
      <c r="I1115" s="170">
        <f t="shared" si="363"/>
        <v>0</v>
      </c>
      <c r="J1115" s="170">
        <f t="shared" si="363"/>
        <v>0</v>
      </c>
      <c r="K1115" s="170">
        <f t="shared" si="363"/>
        <v>0</v>
      </c>
      <c r="L1115" s="170">
        <f t="shared" si="363"/>
        <v>0</v>
      </c>
      <c r="M1115" s="170">
        <f t="shared" si="363"/>
        <v>0</v>
      </c>
      <c r="N1115" s="170">
        <f t="shared" si="363"/>
        <v>0</v>
      </c>
      <c r="O1115" s="170">
        <f t="shared" si="363"/>
        <v>0</v>
      </c>
      <c r="P1115" s="170">
        <f t="shared" si="363"/>
        <v>0</v>
      </c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P1116" si="364">H1020</f>
        <v>0</v>
      </c>
      <c r="I1116" s="170">
        <f t="shared" si="364"/>
        <v>0</v>
      </c>
      <c r="J1116" s="170">
        <f t="shared" si="364"/>
        <v>0</v>
      </c>
      <c r="K1116" s="170">
        <f t="shared" si="364"/>
        <v>0</v>
      </c>
      <c r="L1116" s="170">
        <f t="shared" si="364"/>
        <v>0</v>
      </c>
      <c r="M1116" s="170">
        <f t="shared" si="364"/>
        <v>0</v>
      </c>
      <c r="N1116" s="170">
        <f t="shared" si="364"/>
        <v>0</v>
      </c>
      <c r="O1116" s="170">
        <f t="shared" si="364"/>
        <v>0</v>
      </c>
      <c r="P1116" s="170">
        <f t="shared" si="364"/>
        <v>0</v>
      </c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Q1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15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4">
        <v>2026.0</v>
      </c>
      <c r="P1" s="5" t="s">
        <v>1</v>
      </c>
      <c r="Q1" s="6"/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357</v>
      </c>
      <c r="I2" s="9">
        <f t="shared" ref="I2:O2" si="1">H2+1</f>
        <v>6</v>
      </c>
      <c r="J2" s="9">
        <f t="shared" si="1"/>
        <v>7</v>
      </c>
      <c r="K2" s="9">
        <f t="shared" si="1"/>
        <v>8</v>
      </c>
      <c r="L2" s="9">
        <f t="shared" si="1"/>
        <v>9</v>
      </c>
      <c r="M2" s="9">
        <f t="shared" si="1"/>
        <v>10</v>
      </c>
      <c r="N2" s="9">
        <f t="shared" si="1"/>
        <v>11</v>
      </c>
      <c r="O2" s="9">
        <f t="shared" si="1"/>
        <v>12</v>
      </c>
      <c r="P2" s="10"/>
      <c r="Q2" s="6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14"/>
      <c r="O4" s="114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15"/>
      <c r="N5" s="1"/>
      <c r="O5" s="1"/>
      <c r="P5" s="1"/>
      <c r="Q5" s="1"/>
      <c r="R5" s="1"/>
      <c r="S5" s="1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15"/>
      <c r="N6" s="1"/>
      <c r="O6" s="1"/>
      <c r="P6" s="123"/>
      <c r="Q6" s="123"/>
      <c r="R6" s="123"/>
      <c r="S6" s="123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18"/>
      <c r="N7" s="118"/>
      <c r="O7" s="118"/>
      <c r="P7" s="122"/>
      <c r="Q7" s="122"/>
      <c r="R7" s="122"/>
      <c r="S7" s="122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- 2026'!L6</f>
        <v>6147919.008</v>
      </c>
      <c r="I8" s="120"/>
      <c r="J8" s="120"/>
      <c r="K8" s="120"/>
      <c r="L8" s="120"/>
      <c r="M8" s="120"/>
      <c r="N8" s="120"/>
      <c r="O8" s="120"/>
      <c r="P8" s="122"/>
      <c r="Q8" s="122"/>
      <c r="R8" s="122"/>
      <c r="S8" s="122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- 2026'!L9</f>
        <v>405.4099219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15164.69794</v>
      </c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3035.697942</v>
      </c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12129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558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619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2454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5774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2724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506.8776493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18"/>
      <c r="O27" s="118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15"/>
      <c r="N28" s="115"/>
      <c r="O28" s="115"/>
      <c r="P28" s="1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12129</v>
      </c>
      <c r="I29" s="115"/>
      <c r="J29" s="115"/>
      <c r="K29" s="115"/>
      <c r="L29" s="115"/>
      <c r="M29" s="115"/>
      <c r="N29" s="115"/>
      <c r="O29" s="115"/>
      <c r="P29" s="1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0.2926869486</v>
      </c>
      <c r="I30" s="134"/>
      <c r="J30" s="134"/>
      <c r="K30" s="134"/>
      <c r="L30" s="134"/>
      <c r="M30" s="134"/>
      <c r="N30" s="134"/>
      <c r="O30" s="134"/>
      <c r="P30" s="1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3550</v>
      </c>
      <c r="I31" s="115"/>
      <c r="J31" s="115"/>
      <c r="K31" s="115"/>
      <c r="L31" s="115"/>
      <c r="M31" s="115"/>
      <c r="N31" s="115"/>
      <c r="O31" s="115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35"/>
      <c r="N32" s="135"/>
      <c r="O32" s="135"/>
      <c r="P32" s="1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15"/>
      <c r="N33" s="115"/>
      <c r="O33" s="115"/>
      <c r="P33" s="1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558</v>
      </c>
      <c r="I34" s="115"/>
      <c r="J34" s="115"/>
      <c r="K34" s="115"/>
      <c r="L34" s="115"/>
      <c r="M34" s="115"/>
      <c r="N34" s="115"/>
      <c r="O34" s="115"/>
      <c r="P34" s="1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26"/>
      <c r="N35" s="126"/>
      <c r="O35" s="126"/>
      <c r="P35" s="1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111</v>
      </c>
      <c r="I36" s="115"/>
      <c r="J36" s="115"/>
      <c r="K36" s="115"/>
      <c r="L36" s="115"/>
      <c r="M36" s="115"/>
      <c r="N36" s="115"/>
      <c r="O36" s="115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15"/>
      <c r="N37" s="115"/>
      <c r="O37" s="115"/>
      <c r="P37" s="1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15"/>
      <c r="N38" s="115"/>
      <c r="O38" s="115"/>
      <c r="P38" s="1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619</v>
      </c>
      <c r="I39" s="115"/>
      <c r="J39" s="115"/>
      <c r="K39" s="115"/>
      <c r="L39" s="115"/>
      <c r="M39" s="115"/>
      <c r="N39" s="115"/>
      <c r="O39" s="115"/>
      <c r="P39" s="1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26"/>
      <c r="N40" s="126"/>
      <c r="O40" s="126"/>
      <c r="P40" s="1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154</v>
      </c>
      <c r="I41" s="115"/>
      <c r="J41" s="115"/>
      <c r="K41" s="115"/>
      <c r="L41" s="115"/>
      <c r="M41" s="115"/>
      <c r="N41" s="115"/>
      <c r="O41" s="115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15"/>
      <c r="N42" s="115"/>
      <c r="O42" s="115"/>
      <c r="P42" s="1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15"/>
      <c r="N43" s="115"/>
      <c r="O43" s="115"/>
      <c r="P43" s="1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2454</v>
      </c>
      <c r="I44" s="115"/>
      <c r="J44" s="115"/>
      <c r="K44" s="115"/>
      <c r="L44" s="115"/>
      <c r="M44" s="115"/>
      <c r="N44" s="115"/>
      <c r="O44" s="115"/>
      <c r="P44" s="1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26"/>
      <c r="N45" s="126"/>
      <c r="O45" s="126"/>
      <c r="P45" s="1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736</v>
      </c>
      <c r="I46" s="115"/>
      <c r="J46" s="115"/>
      <c r="K46" s="115"/>
      <c r="L46" s="115"/>
      <c r="M46" s="115"/>
      <c r="N46" s="115"/>
      <c r="O46" s="115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15"/>
      <c r="N47" s="115"/>
      <c r="O47" s="115"/>
      <c r="P47" s="1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15"/>
      <c r="N48" s="115"/>
      <c r="O48" s="115"/>
      <c r="P48" s="1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5774</v>
      </c>
      <c r="I49" s="115"/>
      <c r="J49" s="115"/>
      <c r="K49" s="115"/>
      <c r="L49" s="115"/>
      <c r="M49" s="115"/>
      <c r="N49" s="115"/>
      <c r="O49" s="115"/>
      <c r="P49" s="1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26"/>
      <c r="N50" s="126"/>
      <c r="O50" s="126"/>
      <c r="P50" s="1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1732</v>
      </c>
      <c r="I51" s="115"/>
      <c r="J51" s="115"/>
      <c r="K51" s="115"/>
      <c r="L51" s="115"/>
      <c r="M51" s="115"/>
      <c r="N51" s="115"/>
      <c r="O51" s="115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15"/>
      <c r="N52" s="115"/>
      <c r="O52" s="115"/>
      <c r="P52" s="1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15"/>
      <c r="N53" s="115"/>
      <c r="O53" s="115"/>
      <c r="P53" s="1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2724</v>
      </c>
      <c r="I54" s="115"/>
      <c r="J54" s="115"/>
      <c r="K54" s="115"/>
      <c r="L54" s="115"/>
      <c r="M54" s="115"/>
      <c r="N54" s="115"/>
      <c r="O54" s="115"/>
      <c r="P54" s="1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26"/>
      <c r="N55" s="126"/>
      <c r="O55" s="126"/>
      <c r="P55" s="1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817</v>
      </c>
      <c r="I56" s="115"/>
      <c r="J56" s="115"/>
      <c r="K56" s="115"/>
      <c r="L56" s="115"/>
      <c r="M56" s="115"/>
      <c r="N56" s="115"/>
      <c r="O56" s="115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15"/>
      <c r="N57" s="115"/>
      <c r="O57" s="115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15"/>
      <c r="N58" s="115"/>
      <c r="O58" s="115"/>
      <c r="P58" s="1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18"/>
      <c r="N59" s="118"/>
      <c r="O59" s="118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15"/>
      <c r="N60" s="115"/>
      <c r="O60" s="115"/>
      <c r="P60" s="1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3550</v>
      </c>
      <c r="I61" s="115"/>
      <c r="J61" s="115"/>
      <c r="K61" s="115"/>
      <c r="L61" s="115"/>
      <c r="M61" s="115"/>
      <c r="N61" s="115"/>
      <c r="O61" s="115"/>
      <c r="P61" s="1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1.073943662</v>
      </c>
      <c r="I62" s="138"/>
      <c r="J62" s="138"/>
      <c r="K62" s="138"/>
      <c r="L62" s="138"/>
      <c r="M62" s="138"/>
      <c r="N62" s="138"/>
      <c r="O62" s="138"/>
      <c r="P62" s="1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3812.5</v>
      </c>
      <c r="I63" s="115"/>
      <c r="J63" s="115"/>
      <c r="K63" s="115"/>
      <c r="L63" s="115"/>
      <c r="M63" s="115"/>
      <c r="N63" s="115"/>
      <c r="O63" s="115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15"/>
      <c r="N64" s="115"/>
      <c r="O64" s="115"/>
      <c r="P64" s="1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15"/>
      <c r="N65" s="115"/>
      <c r="O65" s="115"/>
      <c r="P65" s="1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111</v>
      </c>
      <c r="I66" s="115"/>
      <c r="J66" s="115"/>
      <c r="K66" s="115"/>
      <c r="L66" s="115"/>
      <c r="M66" s="115"/>
      <c r="N66" s="115"/>
      <c r="O66" s="115"/>
      <c r="P66" s="1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26"/>
      <c r="N67" s="126"/>
      <c r="O67" s="126"/>
      <c r="P67" s="1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118.75</v>
      </c>
      <c r="I68" s="115"/>
      <c r="J68" s="115"/>
      <c r="K68" s="115"/>
      <c r="L68" s="115"/>
      <c r="M68" s="115"/>
      <c r="N68" s="115"/>
      <c r="O68" s="115"/>
      <c r="P68" s="1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95</v>
      </c>
      <c r="I69" s="115"/>
      <c r="J69" s="115"/>
      <c r="K69" s="115"/>
      <c r="L69" s="115"/>
      <c r="M69" s="115"/>
      <c r="N69" s="115"/>
      <c r="O69" s="115"/>
      <c r="P69" s="1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23.75</v>
      </c>
      <c r="I70" s="115"/>
      <c r="J70" s="115"/>
      <c r="K70" s="115"/>
      <c r="L70" s="115"/>
      <c r="M70" s="115"/>
      <c r="N70" s="115"/>
      <c r="O70" s="115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15"/>
      <c r="N71" s="115"/>
      <c r="O71" s="115"/>
      <c r="P71" s="1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26"/>
      <c r="M72" s="126"/>
      <c r="N72" s="126"/>
      <c r="O72" s="126"/>
      <c r="P72" s="1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154</v>
      </c>
      <c r="I73" s="115"/>
      <c r="J73" s="115"/>
      <c r="K73" s="115"/>
      <c r="L73" s="115"/>
      <c r="M73" s="115"/>
      <c r="N73" s="115"/>
      <c r="O73" s="115"/>
      <c r="P73" s="1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15"/>
      <c r="M74" s="115"/>
      <c r="N74" s="115"/>
      <c r="O74" s="115"/>
      <c r="P74" s="1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165</v>
      </c>
      <c r="I75" s="115"/>
      <c r="J75" s="115"/>
      <c r="K75" s="115"/>
      <c r="L75" s="115"/>
      <c r="M75" s="115"/>
      <c r="N75" s="115"/>
      <c r="O75" s="115"/>
      <c r="P75" s="1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132</v>
      </c>
      <c r="I76" s="115"/>
      <c r="J76" s="115"/>
      <c r="K76" s="115"/>
      <c r="L76" s="115"/>
      <c r="M76" s="115"/>
      <c r="N76" s="115"/>
      <c r="O76" s="115"/>
      <c r="P76" s="1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33</v>
      </c>
      <c r="I77" s="126"/>
      <c r="J77" s="126"/>
      <c r="K77" s="126"/>
      <c r="L77" s="126"/>
      <c r="M77" s="126"/>
      <c r="N77" s="126"/>
      <c r="O77" s="126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15"/>
      <c r="N78" s="115"/>
      <c r="O78" s="115"/>
      <c r="P78" s="1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15"/>
      <c r="N79" s="115"/>
      <c r="O79" s="115"/>
      <c r="P79" s="1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736</v>
      </c>
      <c r="I80" s="115"/>
      <c r="J80" s="115"/>
      <c r="K80" s="115"/>
      <c r="L80" s="115"/>
      <c r="M80" s="115"/>
      <c r="N80" s="115"/>
      <c r="O80" s="115"/>
      <c r="P80" s="1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15"/>
      <c r="M81" s="115"/>
      <c r="N81" s="115"/>
      <c r="O81" s="115"/>
      <c r="P81" s="1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790</v>
      </c>
      <c r="I82" s="126"/>
      <c r="J82" s="126"/>
      <c r="K82" s="126"/>
      <c r="L82" s="126"/>
      <c r="M82" s="126"/>
      <c r="N82" s="126"/>
      <c r="O82" s="126"/>
      <c r="P82" s="1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632</v>
      </c>
      <c r="I83" s="115"/>
      <c r="J83" s="115"/>
      <c r="K83" s="115"/>
      <c r="L83" s="115"/>
      <c r="M83" s="115"/>
      <c r="N83" s="115"/>
      <c r="O83" s="115"/>
      <c r="P83" s="1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158</v>
      </c>
      <c r="I84" s="115"/>
      <c r="J84" s="115"/>
      <c r="K84" s="115"/>
      <c r="L84" s="115"/>
      <c r="M84" s="115"/>
      <c r="N84" s="115"/>
      <c r="O84" s="115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15"/>
      <c r="N85" s="115"/>
      <c r="O85" s="115"/>
      <c r="P85" s="1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15"/>
      <c r="N86" s="115"/>
      <c r="O86" s="115"/>
      <c r="P86" s="1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1732</v>
      </c>
      <c r="I87" s="126"/>
      <c r="J87" s="126"/>
      <c r="K87" s="126"/>
      <c r="L87" s="126"/>
      <c r="M87" s="126"/>
      <c r="N87" s="126"/>
      <c r="O87" s="126"/>
      <c r="P87" s="1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15"/>
      <c r="M88" s="115"/>
      <c r="N88" s="115"/>
      <c r="O88" s="115"/>
      <c r="P88" s="1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1861.25</v>
      </c>
      <c r="I89" s="115"/>
      <c r="J89" s="115"/>
      <c r="K89" s="115"/>
      <c r="L89" s="115"/>
      <c r="M89" s="115"/>
      <c r="N89" s="115"/>
      <c r="O89" s="115"/>
      <c r="P89" s="1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1489</v>
      </c>
      <c r="I90" s="115"/>
      <c r="J90" s="115"/>
      <c r="K90" s="115"/>
      <c r="L90" s="115"/>
      <c r="M90" s="115"/>
      <c r="N90" s="115"/>
      <c r="O90" s="115"/>
      <c r="P90" s="1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372.25</v>
      </c>
      <c r="I91" s="115"/>
      <c r="J91" s="115"/>
      <c r="K91" s="115"/>
      <c r="L91" s="115"/>
      <c r="M91" s="115"/>
      <c r="N91" s="115"/>
      <c r="O91" s="115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15"/>
      <c r="N92" s="115"/>
      <c r="O92" s="115"/>
      <c r="P92" s="1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15"/>
      <c r="N93" s="115"/>
      <c r="O93" s="115"/>
      <c r="P93" s="1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817</v>
      </c>
      <c r="I94" s="115"/>
      <c r="J94" s="115"/>
      <c r="K94" s="115"/>
      <c r="L94" s="115"/>
      <c r="M94" s="115"/>
      <c r="N94" s="115"/>
      <c r="O94" s="115"/>
      <c r="P94" s="1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15"/>
      <c r="M95" s="115"/>
      <c r="N95" s="115"/>
      <c r="O95" s="115"/>
      <c r="P95" s="1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877.5</v>
      </c>
      <c r="I96" s="115"/>
      <c r="J96" s="115"/>
      <c r="K96" s="115"/>
      <c r="L96" s="115"/>
      <c r="M96" s="115"/>
      <c r="N96" s="115"/>
      <c r="O96" s="115"/>
      <c r="P96" s="1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702</v>
      </c>
      <c r="I97" s="115"/>
      <c r="J97" s="115"/>
      <c r="K97" s="115"/>
      <c r="L97" s="115"/>
      <c r="M97" s="115"/>
      <c r="N97" s="115"/>
      <c r="O97" s="115"/>
      <c r="P97" s="1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175.5</v>
      </c>
      <c r="I98" s="115"/>
      <c r="J98" s="115"/>
      <c r="K98" s="115"/>
      <c r="L98" s="115"/>
      <c r="M98" s="115"/>
      <c r="N98" s="115"/>
      <c r="O98" s="115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15"/>
      <c r="N99" s="115"/>
      <c r="O99" s="115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15"/>
      <c r="N100" s="115"/>
      <c r="O100" s="115"/>
      <c r="P100" s="1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18"/>
      <c r="N101" s="118"/>
      <c r="O101" s="118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15"/>
      <c r="N102" s="115"/>
      <c r="O102" s="115"/>
      <c r="P102" s="1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3812.5</v>
      </c>
      <c r="I103" s="115"/>
      <c r="J103" s="115"/>
      <c r="K103" s="115"/>
      <c r="L103" s="115"/>
      <c r="M103" s="115"/>
      <c r="N103" s="115"/>
      <c r="O103" s="115"/>
      <c r="P103" s="1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0.3000655738</v>
      </c>
      <c r="I104" s="143"/>
      <c r="J104" s="143"/>
      <c r="K104" s="143"/>
      <c r="L104" s="143"/>
      <c r="M104" s="143"/>
      <c r="N104" s="143"/>
      <c r="O104" s="143"/>
      <c r="P104" s="1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0.09431939979</v>
      </c>
      <c r="I105" s="143"/>
      <c r="J105" s="143"/>
      <c r="K105" s="143"/>
      <c r="L105" s="143"/>
      <c r="M105" s="143"/>
      <c r="N105" s="143"/>
      <c r="O105" s="143"/>
      <c r="P105" s="1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1144</v>
      </c>
      <c r="I106" s="115"/>
      <c r="J106" s="115"/>
      <c r="K106" s="115"/>
      <c r="L106" s="115"/>
      <c r="M106" s="115"/>
      <c r="N106" s="115"/>
      <c r="O106" s="115"/>
      <c r="P106" s="1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29097.46503</v>
      </c>
      <c r="I107" s="115"/>
      <c r="J107" s="115"/>
      <c r="K107" s="115"/>
      <c r="L107" s="115"/>
      <c r="M107" s="115"/>
      <c r="N107" s="115"/>
      <c r="O107" s="115"/>
      <c r="P107" s="1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33287500</v>
      </c>
      <c r="I108" s="115"/>
      <c r="J108" s="115"/>
      <c r="K108" s="115"/>
      <c r="L108" s="115"/>
      <c r="M108" s="115"/>
      <c r="N108" s="115"/>
      <c r="O108" s="115"/>
      <c r="P108" s="1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15"/>
      <c r="N109" s="115"/>
      <c r="O109" s="115"/>
      <c r="P109" s="1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43"/>
      <c r="N110" s="143"/>
      <c r="O110" s="143"/>
      <c r="P110" s="1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118.75</v>
      </c>
      <c r="I111" s="135"/>
      <c r="J111" s="135"/>
      <c r="K111" s="135"/>
      <c r="L111" s="135"/>
      <c r="M111" s="135"/>
      <c r="N111" s="135"/>
      <c r="O111" s="135"/>
      <c r="P111" s="1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29"/>
      <c r="N112" s="129"/>
      <c r="O112" s="129"/>
      <c r="P112" s="1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0.06451612903</v>
      </c>
      <c r="I113" s="143"/>
      <c r="J113" s="143"/>
      <c r="K113" s="143"/>
      <c r="L113" s="143"/>
      <c r="M113" s="143"/>
      <c r="N113" s="143"/>
      <c r="O113" s="143"/>
      <c r="P113" s="1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36</v>
      </c>
      <c r="I114" s="148"/>
      <c r="J114" s="148"/>
      <c r="K114" s="148"/>
      <c r="L114" s="148"/>
      <c r="M114" s="148"/>
      <c r="N114" s="148"/>
      <c r="O114" s="148"/>
      <c r="P114" s="1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61750</v>
      </c>
      <c r="I115" s="150"/>
      <c r="J115" s="150"/>
      <c r="K115" s="150"/>
      <c r="L115" s="150"/>
      <c r="M115" s="150"/>
      <c r="N115" s="150"/>
      <c r="O115" s="150"/>
      <c r="P115" s="1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2223000</v>
      </c>
      <c r="I116" s="150"/>
      <c r="J116" s="150"/>
      <c r="K116" s="150"/>
      <c r="L116" s="150"/>
      <c r="M116" s="150"/>
      <c r="N116" s="150"/>
      <c r="O116" s="150"/>
      <c r="P116" s="1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53"/>
      <c r="N117" s="153"/>
      <c r="O117" s="153"/>
      <c r="P117" s="1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53"/>
      <c r="N118" s="153"/>
      <c r="O118" s="153"/>
      <c r="P118" s="1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55"/>
      <c r="N119" s="155"/>
      <c r="O119" s="155"/>
      <c r="P119" s="1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55"/>
      <c r="N120" s="155"/>
      <c r="O120" s="155"/>
      <c r="P120" s="1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55"/>
      <c r="N121" s="155"/>
      <c r="O121" s="155"/>
      <c r="P121" s="1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50000.0</v>
      </c>
      <c r="I122" s="157"/>
      <c r="J122" s="157"/>
      <c r="K122" s="157"/>
      <c r="L122" s="157"/>
      <c r="M122" s="157"/>
      <c r="N122" s="157"/>
      <c r="O122" s="157"/>
      <c r="P122" s="1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57"/>
      <c r="N123" s="157"/>
      <c r="O123" s="157"/>
      <c r="P123" s="1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57"/>
      <c r="N124" s="157"/>
      <c r="O124" s="157"/>
      <c r="P124" s="1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57"/>
      <c r="N125" s="157"/>
      <c r="O125" s="157"/>
      <c r="P125" s="1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59"/>
      <c r="N126" s="159"/>
      <c r="O126" s="159"/>
      <c r="P126" s="1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62"/>
      <c r="K127" s="162"/>
      <c r="L127" s="162"/>
      <c r="M127" s="162"/>
      <c r="N127" s="162"/>
      <c r="O127" s="162"/>
      <c r="P127" s="1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21</v>
      </c>
      <c r="I128" s="148"/>
      <c r="J128" s="148"/>
      <c r="K128" s="148"/>
      <c r="L128" s="148"/>
      <c r="M128" s="148"/>
      <c r="N128" s="148"/>
      <c r="O128" s="148"/>
      <c r="P128" s="1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1050000</v>
      </c>
      <c r="I129" s="150"/>
      <c r="J129" s="150"/>
      <c r="K129" s="150"/>
      <c r="L129" s="150"/>
      <c r="M129" s="150"/>
      <c r="N129" s="150"/>
      <c r="O129" s="150"/>
      <c r="P129" s="1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5</v>
      </c>
      <c r="I130" s="148"/>
      <c r="J130" s="148"/>
      <c r="K130" s="148"/>
      <c r="L130" s="148"/>
      <c r="M130" s="148"/>
      <c r="N130" s="148"/>
      <c r="O130" s="148"/>
      <c r="P130" s="1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158000</v>
      </c>
      <c r="I131" s="150"/>
      <c r="J131" s="150"/>
      <c r="K131" s="150"/>
      <c r="L131" s="150"/>
      <c r="M131" s="150"/>
      <c r="N131" s="150"/>
      <c r="O131" s="150"/>
      <c r="P131" s="1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48"/>
      <c r="N132" s="148"/>
      <c r="O132" s="148"/>
      <c r="P132" s="1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50"/>
      <c r="N133" s="150"/>
      <c r="O133" s="150"/>
      <c r="P133" s="1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7</v>
      </c>
      <c r="I134" s="148"/>
      <c r="J134" s="148"/>
      <c r="K134" s="148"/>
      <c r="L134" s="148"/>
      <c r="M134" s="148"/>
      <c r="N134" s="148"/>
      <c r="O134" s="148"/>
      <c r="P134" s="1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1015000</v>
      </c>
      <c r="I135" s="150"/>
      <c r="J135" s="150"/>
      <c r="K135" s="150"/>
      <c r="L135" s="150"/>
      <c r="M135" s="150"/>
      <c r="N135" s="150"/>
      <c r="O135" s="150"/>
      <c r="P135" s="1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48"/>
      <c r="N136" s="148"/>
      <c r="O136" s="148"/>
      <c r="P136" s="1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50"/>
      <c r="N137" s="150"/>
      <c r="O137" s="150"/>
      <c r="P137" s="1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63"/>
      <c r="N138" s="163"/>
      <c r="O138" s="163"/>
      <c r="P138" s="1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43"/>
      <c r="N139" s="143"/>
      <c r="O139" s="143"/>
      <c r="P139" s="1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165</v>
      </c>
      <c r="I140" s="148"/>
      <c r="J140" s="148"/>
      <c r="K140" s="148"/>
      <c r="L140" s="148"/>
      <c r="M140" s="148"/>
      <c r="N140" s="148"/>
      <c r="O140" s="148"/>
      <c r="P140" s="1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29"/>
      <c r="N141" s="129"/>
      <c r="O141" s="129"/>
      <c r="P141" s="1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0.08077544426</v>
      </c>
      <c r="I142" s="143"/>
      <c r="J142" s="143"/>
      <c r="K142" s="143"/>
      <c r="L142" s="143"/>
      <c r="M142" s="143"/>
      <c r="N142" s="143"/>
      <c r="O142" s="143"/>
      <c r="P142" s="1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50</v>
      </c>
      <c r="I143" s="148"/>
      <c r="J143" s="148"/>
      <c r="K143" s="148"/>
      <c r="L143" s="148"/>
      <c r="M143" s="148"/>
      <c r="N143" s="148"/>
      <c r="O143" s="148"/>
      <c r="P143" s="1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45600</v>
      </c>
      <c r="I144" s="150"/>
      <c r="J144" s="150"/>
      <c r="K144" s="150"/>
      <c r="L144" s="150"/>
      <c r="M144" s="150"/>
      <c r="N144" s="150"/>
      <c r="O144" s="150"/>
      <c r="P144" s="1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2280000</v>
      </c>
      <c r="I145" s="150"/>
      <c r="J145" s="150"/>
      <c r="K145" s="150"/>
      <c r="L145" s="150"/>
      <c r="M145" s="150"/>
      <c r="N145" s="150"/>
      <c r="O145" s="150"/>
      <c r="P145" s="1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55"/>
      <c r="N146" s="155"/>
      <c r="O146" s="155"/>
      <c r="P146" s="1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53"/>
      <c r="N147" s="153"/>
      <c r="O147" s="153"/>
      <c r="P147" s="1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55"/>
      <c r="N148" s="155"/>
      <c r="O148" s="155"/>
      <c r="P148" s="1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55"/>
      <c r="N149" s="155"/>
      <c r="O149" s="155"/>
      <c r="P149" s="1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55"/>
      <c r="N150" s="155"/>
      <c r="O150" s="155"/>
      <c r="P150" s="1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40000.0</v>
      </c>
      <c r="I151" s="159"/>
      <c r="J151" s="159"/>
      <c r="K151" s="159"/>
      <c r="L151" s="159"/>
      <c r="M151" s="159"/>
      <c r="N151" s="159"/>
      <c r="O151" s="159"/>
      <c r="P151" s="1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57"/>
      <c r="N152" s="157"/>
      <c r="O152" s="157"/>
      <c r="P152" s="1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57"/>
      <c r="M153" s="157"/>
      <c r="N153" s="157"/>
      <c r="O153" s="157"/>
      <c r="P153" s="1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59"/>
      <c r="N154" s="159"/>
      <c r="O154" s="159"/>
      <c r="P154" s="1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59"/>
      <c r="N155" s="159"/>
      <c r="O155" s="159"/>
      <c r="P155" s="1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62"/>
      <c r="N156" s="162"/>
      <c r="O156" s="162"/>
      <c r="P156" s="1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30</v>
      </c>
      <c r="I157" s="148"/>
      <c r="J157" s="148"/>
      <c r="K157" s="148"/>
      <c r="L157" s="148"/>
      <c r="M157" s="148"/>
      <c r="N157" s="148"/>
      <c r="O157" s="148"/>
      <c r="P157" s="1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1200000</v>
      </c>
      <c r="I158" s="150"/>
      <c r="J158" s="150"/>
      <c r="K158" s="150"/>
      <c r="L158" s="150"/>
      <c r="M158" s="150"/>
      <c r="N158" s="150"/>
      <c r="O158" s="150"/>
      <c r="P158" s="1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5</v>
      </c>
      <c r="I159" s="148"/>
      <c r="J159" s="148"/>
      <c r="K159" s="148"/>
      <c r="L159" s="148"/>
      <c r="M159" s="148"/>
      <c r="N159" s="148"/>
      <c r="O159" s="148"/>
      <c r="P159" s="1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90000</v>
      </c>
      <c r="I160" s="150"/>
      <c r="J160" s="150"/>
      <c r="K160" s="150"/>
      <c r="L160" s="150"/>
      <c r="M160" s="150"/>
      <c r="N160" s="150"/>
      <c r="O160" s="150"/>
      <c r="P160" s="1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48"/>
      <c r="N161" s="148"/>
      <c r="O161" s="148"/>
      <c r="P161" s="1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50"/>
      <c r="N162" s="150"/>
      <c r="O162" s="150"/>
      <c r="P162" s="1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10</v>
      </c>
      <c r="I163" s="148"/>
      <c r="J163" s="148"/>
      <c r="K163" s="148"/>
      <c r="L163" s="148"/>
      <c r="M163" s="148"/>
      <c r="N163" s="148"/>
      <c r="O163" s="148"/>
      <c r="P163" s="1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990000</v>
      </c>
      <c r="I164" s="150"/>
      <c r="J164" s="150"/>
      <c r="K164" s="150"/>
      <c r="L164" s="150"/>
      <c r="M164" s="150"/>
      <c r="N164" s="150"/>
      <c r="O164" s="150"/>
      <c r="P164" s="1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5</v>
      </c>
      <c r="I165" s="148"/>
      <c r="J165" s="148"/>
      <c r="K165" s="148"/>
      <c r="L165" s="148"/>
      <c r="M165" s="148"/>
      <c r="N165" s="148"/>
      <c r="O165" s="148"/>
      <c r="P165" s="1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50"/>
      <c r="N166" s="150"/>
      <c r="O166" s="150"/>
      <c r="P166" s="1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50"/>
      <c r="N167" s="150"/>
      <c r="O167" s="150"/>
      <c r="P167" s="1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43"/>
      <c r="N168" s="143"/>
      <c r="O168" s="143"/>
      <c r="P168" s="1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43"/>
      <c r="N169" s="143"/>
      <c r="O169" s="143"/>
      <c r="P169" s="1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790</v>
      </c>
      <c r="I170" s="148"/>
      <c r="J170" s="148"/>
      <c r="K170" s="148"/>
      <c r="L170" s="148"/>
      <c r="M170" s="148"/>
      <c r="N170" s="148"/>
      <c r="O170" s="148"/>
      <c r="P170" s="1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29"/>
      <c r="N171" s="129"/>
      <c r="O171" s="129"/>
      <c r="P171" s="1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0.09657701711</v>
      </c>
      <c r="I172" s="143"/>
      <c r="J172" s="143"/>
      <c r="K172" s="143"/>
      <c r="L172" s="143"/>
      <c r="M172" s="143"/>
      <c r="N172" s="143"/>
      <c r="O172" s="143"/>
      <c r="P172" s="1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237</v>
      </c>
      <c r="I173" s="166"/>
      <c r="J173" s="166"/>
      <c r="K173" s="166"/>
      <c r="L173" s="166"/>
      <c r="M173" s="166"/>
      <c r="N173" s="166"/>
      <c r="O173" s="166"/>
      <c r="P173" s="1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40164.55696</v>
      </c>
      <c r="I174" s="150"/>
      <c r="J174" s="150"/>
      <c r="K174" s="150"/>
      <c r="L174" s="150"/>
      <c r="M174" s="150"/>
      <c r="N174" s="150"/>
      <c r="O174" s="150"/>
      <c r="P174" s="1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9519000</v>
      </c>
      <c r="I175" s="150"/>
      <c r="J175" s="150"/>
      <c r="K175" s="150"/>
      <c r="L175" s="150"/>
      <c r="M175" s="150"/>
      <c r="N175" s="150"/>
      <c r="O175" s="150"/>
      <c r="P175" s="1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53"/>
      <c r="N176" s="153"/>
      <c r="O176" s="153"/>
      <c r="P176" s="1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53"/>
      <c r="N177" s="153"/>
      <c r="O177" s="153"/>
      <c r="P177" s="1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55"/>
      <c r="N178" s="155"/>
      <c r="O178" s="155"/>
      <c r="P178" s="1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55"/>
      <c r="N179" s="155"/>
      <c r="O179" s="155"/>
      <c r="P179" s="1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55"/>
      <c r="N180" s="155"/>
      <c r="O180" s="155"/>
      <c r="P180" s="1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40000.0</v>
      </c>
      <c r="I181" s="157"/>
      <c r="J181" s="157"/>
      <c r="K181" s="157"/>
      <c r="L181" s="157"/>
      <c r="M181" s="157"/>
      <c r="N181" s="157"/>
      <c r="O181" s="157"/>
      <c r="P181" s="1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57"/>
      <c r="N182" s="157"/>
      <c r="O182" s="157"/>
      <c r="P182" s="1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57"/>
      <c r="N183" s="157"/>
      <c r="O183" s="157"/>
      <c r="P183" s="1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59"/>
      <c r="N184" s="159"/>
      <c r="O184" s="159"/>
      <c r="P184" s="1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59"/>
      <c r="N185" s="159"/>
      <c r="O185" s="159"/>
      <c r="P185" s="1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62"/>
      <c r="N186" s="162"/>
      <c r="O186" s="162"/>
      <c r="P186" s="1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142</v>
      </c>
      <c r="I187" s="148"/>
      <c r="J187" s="148"/>
      <c r="K187" s="148"/>
      <c r="L187" s="148"/>
      <c r="M187" s="148"/>
      <c r="N187" s="148"/>
      <c r="O187" s="148"/>
      <c r="P187" s="1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5680000</v>
      </c>
      <c r="I188" s="150"/>
      <c r="J188" s="150"/>
      <c r="K188" s="150"/>
      <c r="L188" s="150"/>
      <c r="M188" s="150"/>
      <c r="N188" s="150"/>
      <c r="O188" s="150"/>
      <c r="P188" s="1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24</v>
      </c>
      <c r="I189" s="148"/>
      <c r="J189" s="148"/>
      <c r="K189" s="148"/>
      <c r="L189" s="148"/>
      <c r="M189" s="148"/>
      <c r="N189" s="148"/>
      <c r="O189" s="148"/>
      <c r="P189" s="1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360000</v>
      </c>
      <c r="I190" s="150"/>
      <c r="J190" s="150"/>
      <c r="K190" s="150"/>
      <c r="L190" s="150"/>
      <c r="M190" s="150"/>
      <c r="N190" s="150"/>
      <c r="O190" s="150"/>
      <c r="P190" s="1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48"/>
      <c r="N191" s="148"/>
      <c r="O191" s="148"/>
      <c r="P191" s="1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50"/>
      <c r="N192" s="150"/>
      <c r="O192" s="150"/>
      <c r="P192" s="1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71</v>
      </c>
      <c r="I193" s="148"/>
      <c r="J193" s="148"/>
      <c r="K193" s="148"/>
      <c r="L193" s="148"/>
      <c r="M193" s="148"/>
      <c r="N193" s="148"/>
      <c r="O193" s="148"/>
      <c r="P193" s="1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3479000</v>
      </c>
      <c r="I194" s="150"/>
      <c r="J194" s="150"/>
      <c r="K194" s="150"/>
      <c r="L194" s="150"/>
      <c r="M194" s="150"/>
      <c r="N194" s="150"/>
      <c r="O194" s="150"/>
      <c r="P194" s="1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48"/>
      <c r="N195" s="148"/>
      <c r="O195" s="148"/>
      <c r="P195" s="1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50"/>
      <c r="N196" s="150"/>
      <c r="O196" s="150"/>
      <c r="P196" s="1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50"/>
      <c r="N197" s="150"/>
      <c r="O197" s="150"/>
      <c r="P197" s="1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43"/>
      <c r="N198" s="143"/>
      <c r="O198" s="143"/>
      <c r="P198" s="1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43"/>
      <c r="N199" s="143"/>
      <c r="O199" s="143"/>
      <c r="P199" s="1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1861.25</v>
      </c>
      <c r="I200" s="148"/>
      <c r="J200" s="148"/>
      <c r="K200" s="148"/>
      <c r="L200" s="148"/>
      <c r="M200" s="148"/>
      <c r="N200" s="148"/>
      <c r="O200" s="148"/>
      <c r="P200" s="1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26"/>
      <c r="N201" s="126"/>
      <c r="O201" s="126"/>
      <c r="P201" s="1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0.09664011084</v>
      </c>
      <c r="I202" s="143"/>
      <c r="J202" s="143"/>
      <c r="K202" s="143"/>
      <c r="L202" s="143"/>
      <c r="M202" s="143"/>
      <c r="N202" s="143"/>
      <c r="O202" s="143"/>
      <c r="P202" s="1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558</v>
      </c>
      <c r="I203" s="148"/>
      <c r="J203" s="148"/>
      <c r="K203" s="148"/>
      <c r="L203" s="148"/>
      <c r="M203" s="148"/>
      <c r="N203" s="148"/>
      <c r="O203" s="148"/>
      <c r="P203" s="1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26286.73835</v>
      </c>
      <c r="I204" s="150"/>
      <c r="J204" s="150"/>
      <c r="K204" s="150"/>
      <c r="L204" s="150"/>
      <c r="M204" s="150"/>
      <c r="N204" s="150"/>
      <c r="O204" s="150"/>
      <c r="P204" s="1"/>
      <c r="Q204" s="1"/>
      <c r="R204" s="1"/>
      <c r="S204" s="1"/>
    </row>
    <row r="205" collapsed="1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14668000</v>
      </c>
      <c r="I205" s="150"/>
      <c r="J205" s="150"/>
      <c r="K205" s="150"/>
      <c r="L205" s="150"/>
      <c r="M205" s="150"/>
      <c r="N205" s="150"/>
      <c r="O205" s="150"/>
      <c r="P205" s="1"/>
      <c r="Q205" s="1"/>
      <c r="R205" s="1"/>
      <c r="S205" s="1"/>
    </row>
    <row r="206" hidden="1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55"/>
      <c r="N206" s="155"/>
      <c r="O206" s="155"/>
      <c r="P206" s="1"/>
      <c r="Q206" s="1"/>
      <c r="R206" s="1"/>
      <c r="S206" s="1"/>
    </row>
    <row r="207" hidden="1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55"/>
      <c r="N207" s="155"/>
      <c r="O207" s="155"/>
      <c r="P207" s="1"/>
      <c r="Q207" s="1"/>
      <c r="R207" s="1"/>
      <c r="S207" s="1"/>
    </row>
    <row r="208" hidden="1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55"/>
      <c r="N208" s="155"/>
      <c r="O208" s="155"/>
      <c r="P208" s="1"/>
      <c r="Q208" s="1"/>
      <c r="R208" s="1"/>
      <c r="S208" s="1"/>
    </row>
    <row r="209" hidden="1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53"/>
      <c r="N209" s="153"/>
      <c r="O209" s="153"/>
      <c r="P209" s="1"/>
      <c r="Q209" s="1"/>
      <c r="R209" s="1"/>
      <c r="S209" s="1"/>
    </row>
    <row r="210" hidden="1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55"/>
      <c r="N210" s="155"/>
      <c r="O210" s="155"/>
      <c r="P210" s="1"/>
      <c r="Q210" s="1"/>
      <c r="R210" s="1"/>
      <c r="S210" s="1"/>
    </row>
    <row r="211" hidden="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30000.0</v>
      </c>
      <c r="I211" s="157"/>
      <c r="J211" s="157"/>
      <c r="K211" s="157"/>
      <c r="L211" s="157"/>
      <c r="M211" s="157"/>
      <c r="N211" s="157"/>
      <c r="O211" s="157"/>
      <c r="P211" s="1"/>
      <c r="Q211" s="1"/>
      <c r="R211" s="1"/>
      <c r="S211" s="1"/>
    </row>
    <row r="212" hidden="1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57"/>
      <c r="N212" s="157"/>
      <c r="O212" s="157"/>
      <c r="P212" s="1"/>
      <c r="Q212" s="1"/>
      <c r="R212" s="1"/>
      <c r="S212" s="1"/>
    </row>
    <row r="213" hidden="1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59"/>
      <c r="N213" s="159"/>
      <c r="O213" s="159"/>
      <c r="P213" s="1"/>
      <c r="Q213" s="1"/>
      <c r="R213" s="1"/>
      <c r="S213" s="1"/>
    </row>
    <row r="214" hidden="1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59"/>
      <c r="N214" s="159"/>
      <c r="O214" s="159"/>
      <c r="P214" s="1"/>
      <c r="Q214" s="1"/>
      <c r="R214" s="1"/>
      <c r="S214" s="1"/>
    </row>
    <row r="215" hidden="1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59"/>
      <c r="N215" s="159"/>
      <c r="O215" s="159"/>
      <c r="P215" s="1"/>
      <c r="Q215" s="1"/>
      <c r="R215" s="1"/>
      <c r="S215" s="1"/>
    </row>
    <row r="216" hidden="1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62"/>
      <c r="N216" s="162"/>
      <c r="O216" s="162"/>
      <c r="P216" s="1"/>
      <c r="Q216" s="1"/>
      <c r="R216" s="1"/>
      <c r="S216" s="1"/>
    </row>
    <row r="217" hidden="1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446</v>
      </c>
      <c r="I217" s="148"/>
      <c r="J217" s="148"/>
      <c r="K217" s="148"/>
      <c r="L217" s="148"/>
      <c r="M217" s="148"/>
      <c r="N217" s="148"/>
      <c r="O217" s="148"/>
      <c r="P217" s="1"/>
      <c r="Q217" s="1"/>
      <c r="R217" s="1"/>
      <c r="S217" s="1"/>
    </row>
    <row r="218" hidden="1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13380000</v>
      </c>
      <c r="I218" s="150"/>
      <c r="J218" s="150"/>
      <c r="K218" s="150"/>
      <c r="L218" s="150"/>
      <c r="M218" s="150"/>
      <c r="N218" s="150"/>
      <c r="O218" s="150"/>
      <c r="P218" s="1"/>
      <c r="Q218" s="1"/>
      <c r="R218" s="1"/>
      <c r="S218" s="1"/>
    </row>
    <row r="219" hidden="1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112</v>
      </c>
      <c r="I219" s="148"/>
      <c r="J219" s="148"/>
      <c r="K219" s="148"/>
      <c r="L219" s="148"/>
      <c r="M219" s="148"/>
      <c r="N219" s="148"/>
      <c r="O219" s="148"/>
      <c r="P219" s="1"/>
      <c r="Q219" s="1"/>
      <c r="R219" s="1"/>
      <c r="S219" s="1"/>
    </row>
    <row r="220" hidden="1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1288000</v>
      </c>
      <c r="I220" s="150"/>
      <c r="J220" s="150"/>
      <c r="K220" s="150"/>
      <c r="L220" s="150"/>
      <c r="M220" s="150"/>
      <c r="N220" s="150"/>
      <c r="O220" s="150"/>
      <c r="P220" s="1"/>
      <c r="Q220" s="1"/>
      <c r="R220" s="1"/>
      <c r="S220" s="1"/>
    </row>
    <row r="221" hidden="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48"/>
      <c r="N221" s="148"/>
      <c r="O221" s="148"/>
      <c r="P221" s="1"/>
      <c r="Q221" s="1"/>
      <c r="R221" s="1"/>
      <c r="S221" s="1"/>
    </row>
    <row r="222" hidden="1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50"/>
      <c r="N222" s="150"/>
      <c r="O222" s="150"/>
      <c r="P222" s="1"/>
      <c r="Q222" s="1"/>
      <c r="R222" s="1"/>
      <c r="S222" s="1"/>
    </row>
    <row r="223" hidden="1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48"/>
      <c r="N223" s="148"/>
      <c r="O223" s="148"/>
      <c r="P223" s="1"/>
      <c r="Q223" s="1"/>
      <c r="R223" s="1"/>
      <c r="S223" s="1"/>
    </row>
    <row r="224" hidden="1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50"/>
      <c r="N224" s="150"/>
      <c r="O224" s="150"/>
      <c r="P224" s="1"/>
      <c r="Q224" s="1"/>
      <c r="R224" s="1"/>
      <c r="S224" s="1"/>
    </row>
    <row r="225" hidden="1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48"/>
      <c r="N225" s="148"/>
      <c r="O225" s="148"/>
      <c r="P225" s="1"/>
      <c r="Q225" s="1"/>
      <c r="R225" s="1"/>
      <c r="S225" s="1"/>
    </row>
    <row r="226" hidden="1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50"/>
      <c r="N226" s="150"/>
      <c r="O226" s="150"/>
      <c r="P226" s="1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15"/>
      <c r="N227" s="115"/>
      <c r="O227" s="115"/>
      <c r="P227" s="1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43"/>
      <c r="N228" s="143"/>
      <c r="O228" s="143"/>
      <c r="P228" s="1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877.5</v>
      </c>
      <c r="I229" s="148"/>
      <c r="J229" s="148"/>
      <c r="K229" s="148"/>
      <c r="L229" s="148"/>
      <c r="M229" s="148"/>
      <c r="N229" s="148"/>
      <c r="O229" s="148"/>
      <c r="P229" s="1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29"/>
      <c r="N230" s="129"/>
      <c r="O230" s="129"/>
      <c r="P230" s="1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0.09654919236</v>
      </c>
      <c r="I231" s="143"/>
      <c r="J231" s="143"/>
      <c r="K231" s="143"/>
      <c r="L231" s="143"/>
      <c r="M231" s="143"/>
      <c r="N231" s="143"/>
      <c r="O231" s="143"/>
      <c r="P231" s="1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263</v>
      </c>
      <c r="I232" s="148"/>
      <c r="J232" s="148"/>
      <c r="K232" s="148"/>
      <c r="L232" s="148"/>
      <c r="M232" s="148"/>
      <c r="N232" s="148"/>
      <c r="O232" s="148"/>
      <c r="P232" s="1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17480.98859</v>
      </c>
      <c r="I233" s="150"/>
      <c r="J233" s="150"/>
      <c r="K233" s="150"/>
      <c r="L233" s="150"/>
      <c r="M233" s="150"/>
      <c r="N233" s="150"/>
      <c r="O233" s="150"/>
      <c r="P233" s="1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4597500</v>
      </c>
      <c r="I234" s="150"/>
      <c r="J234" s="150"/>
      <c r="K234" s="150"/>
      <c r="L234" s="150"/>
      <c r="M234" s="150"/>
      <c r="N234" s="150"/>
      <c r="O234" s="150"/>
      <c r="P234" s="1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55"/>
      <c r="N235" s="155"/>
      <c r="O235" s="155"/>
      <c r="P235" s="1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55"/>
      <c r="N236" s="155"/>
      <c r="O236" s="155"/>
      <c r="P236" s="1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55"/>
      <c r="N237" s="155"/>
      <c r="O237" s="155"/>
      <c r="P237" s="1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53"/>
      <c r="N238" s="153"/>
      <c r="O238" s="153"/>
      <c r="P238" s="1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55"/>
      <c r="N239" s="155"/>
      <c r="O239" s="155"/>
      <c r="P239" s="1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20000.0</v>
      </c>
      <c r="I240" s="157"/>
      <c r="J240" s="157"/>
      <c r="K240" s="157"/>
      <c r="L240" s="157"/>
      <c r="M240" s="157"/>
      <c r="N240" s="157"/>
      <c r="O240" s="157"/>
      <c r="P240" s="1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57"/>
      <c r="N241" s="157"/>
      <c r="O241" s="157"/>
      <c r="P241" s="1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59"/>
      <c r="N242" s="159"/>
      <c r="O242" s="159"/>
      <c r="P242" s="1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59"/>
      <c r="N243" s="159"/>
      <c r="O243" s="159"/>
      <c r="P243" s="1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59"/>
      <c r="N244" s="159"/>
      <c r="O244" s="159"/>
      <c r="P244" s="1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62"/>
      <c r="N245" s="162"/>
      <c r="O245" s="162"/>
      <c r="P245" s="1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210</v>
      </c>
      <c r="I246" s="148"/>
      <c r="J246" s="148"/>
      <c r="K246" s="148"/>
      <c r="L246" s="148"/>
      <c r="M246" s="148"/>
      <c r="N246" s="148"/>
      <c r="O246" s="148"/>
      <c r="P246" s="1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4200000</v>
      </c>
      <c r="I247" s="150"/>
      <c r="J247" s="150"/>
      <c r="K247" s="150"/>
      <c r="L247" s="150"/>
      <c r="M247" s="150"/>
      <c r="N247" s="150"/>
      <c r="O247" s="150"/>
      <c r="P247" s="1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53</v>
      </c>
      <c r="I248" s="148"/>
      <c r="J248" s="148"/>
      <c r="K248" s="148"/>
      <c r="L248" s="148"/>
      <c r="M248" s="148"/>
      <c r="N248" s="148"/>
      <c r="O248" s="148"/>
      <c r="P248" s="1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397500</v>
      </c>
      <c r="I249" s="150"/>
      <c r="J249" s="150"/>
      <c r="K249" s="150"/>
      <c r="L249" s="150"/>
      <c r="M249" s="150"/>
      <c r="N249" s="150"/>
      <c r="O249" s="150"/>
      <c r="P249" s="1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48"/>
      <c r="N250" s="148"/>
      <c r="O250" s="148"/>
      <c r="P250" s="1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50"/>
      <c r="N251" s="150"/>
      <c r="O251" s="150"/>
      <c r="P251" s="1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48"/>
      <c r="N252" s="148"/>
      <c r="O252" s="148"/>
      <c r="P252" s="1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50"/>
      <c r="N253" s="150"/>
      <c r="O253" s="150"/>
      <c r="P253" s="1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48"/>
      <c r="N254" s="148"/>
      <c r="O254" s="148"/>
      <c r="P254" s="1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50"/>
      <c r="N255" s="150"/>
      <c r="O255" s="150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63"/>
      <c r="N256" s="163"/>
      <c r="O256" s="163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15"/>
      <c r="N257" s="115"/>
      <c r="O257" s="115"/>
      <c r="P257" s="1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18"/>
      <c r="N258" s="118"/>
      <c r="O258" s="118"/>
      <c r="P258" s="1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1144</v>
      </c>
      <c r="I259" s="115"/>
      <c r="J259" s="115"/>
      <c r="K259" s="115"/>
      <c r="L259" s="115"/>
      <c r="M259" s="115"/>
      <c r="N259" s="115"/>
      <c r="O259" s="115"/>
      <c r="P259" s="1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0.923951049</v>
      </c>
      <c r="I260" s="168"/>
      <c r="J260" s="168"/>
      <c r="K260" s="168"/>
      <c r="L260" s="168"/>
      <c r="M260" s="168"/>
      <c r="N260" s="168"/>
      <c r="O260" s="168"/>
      <c r="P260" s="1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1057</v>
      </c>
      <c r="I261" s="169"/>
      <c r="J261" s="169"/>
      <c r="K261" s="169"/>
      <c r="L261" s="169"/>
      <c r="M261" s="169"/>
      <c r="N261" s="169"/>
      <c r="O261" s="169"/>
      <c r="P261" s="1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15"/>
      <c r="N262" s="115"/>
      <c r="O262" s="115"/>
      <c r="P262" s="1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33287500</v>
      </c>
      <c r="I263" s="170"/>
      <c r="J263" s="170"/>
      <c r="K263" s="170"/>
      <c r="L263" s="170"/>
      <c r="M263" s="170"/>
      <c r="N263" s="170"/>
      <c r="O263" s="170"/>
      <c r="P263" s="1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68"/>
      <c r="N264" s="168"/>
      <c r="O264" s="168"/>
      <c r="P264" s="1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30957375</v>
      </c>
      <c r="I265" s="150"/>
      <c r="J265" s="150"/>
      <c r="K265" s="150"/>
      <c r="L265" s="150"/>
      <c r="M265" s="150"/>
      <c r="N265" s="150"/>
      <c r="O265" s="150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15"/>
      <c r="N266" s="115"/>
      <c r="O266" s="115"/>
      <c r="P266" s="1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38"/>
      <c r="N267" s="138"/>
      <c r="O267" s="138"/>
      <c r="P267" s="1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36</v>
      </c>
      <c r="I268" s="13"/>
      <c r="J268" s="13"/>
      <c r="K268" s="13"/>
      <c r="L268" s="13"/>
      <c r="M268" s="13"/>
      <c r="N268" s="13"/>
      <c r="O268" s="13"/>
      <c r="P268" s="1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0.8888888889</v>
      </c>
      <c r="I269" s="168"/>
      <c r="J269" s="168"/>
      <c r="K269" s="168"/>
      <c r="L269" s="168"/>
      <c r="M269" s="168"/>
      <c r="N269" s="168"/>
      <c r="O269" s="168"/>
      <c r="P269" s="1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32</v>
      </c>
      <c r="I270" s="166"/>
      <c r="J270" s="166"/>
      <c r="K270" s="166"/>
      <c r="L270" s="166"/>
      <c r="M270" s="166"/>
      <c r="N270" s="166"/>
      <c r="O270" s="166"/>
      <c r="P270" s="1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68"/>
      <c r="N271" s="168"/>
      <c r="O271" s="168"/>
      <c r="P271" s="1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2067390</v>
      </c>
      <c r="I272" s="150"/>
      <c r="J272" s="150"/>
      <c r="K272" s="150"/>
      <c r="L272" s="150"/>
      <c r="M272" s="150"/>
      <c r="N272" s="150"/>
      <c r="O272" s="150"/>
      <c r="P272" s="1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55"/>
      <c r="N273" s="155"/>
      <c r="O273" s="155"/>
      <c r="P273" s="1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55"/>
      <c r="N274" s="155"/>
      <c r="O274" s="155"/>
      <c r="P274" s="1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55"/>
      <c r="N275" s="155"/>
      <c r="O275" s="155"/>
      <c r="P275" s="1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55"/>
      <c r="N276" s="155"/>
      <c r="O276" s="155"/>
      <c r="P276" s="1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55"/>
      <c r="N277" s="155"/>
      <c r="O277" s="155"/>
      <c r="P277" s="1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55"/>
      <c r="N278" s="155"/>
      <c r="O278" s="155"/>
      <c r="P278" s="1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55"/>
      <c r="N279" s="155"/>
      <c r="O279" s="155"/>
      <c r="P279" s="1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55"/>
      <c r="N280" s="155"/>
      <c r="O280" s="155"/>
      <c r="P280" s="1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52"/>
      <c r="N281" s="152"/>
      <c r="O281" s="152"/>
      <c r="P281" s="160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52"/>
      <c r="N282" s="152"/>
      <c r="O282" s="152"/>
      <c r="P282" s="160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20</v>
      </c>
      <c r="I283" s="166"/>
      <c r="J283" s="166"/>
      <c r="K283" s="166"/>
      <c r="L283" s="166"/>
      <c r="M283" s="166"/>
      <c r="N283" s="166"/>
      <c r="O283" s="166"/>
      <c r="P283" s="1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976500</v>
      </c>
      <c r="I284" s="150"/>
      <c r="J284" s="150"/>
      <c r="K284" s="150"/>
      <c r="L284" s="150"/>
      <c r="M284" s="150"/>
      <c r="N284" s="150"/>
      <c r="O284" s="150"/>
      <c r="P284" s="1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5</v>
      </c>
      <c r="I285" s="166"/>
      <c r="J285" s="166"/>
      <c r="K285" s="166"/>
      <c r="L285" s="166"/>
      <c r="M285" s="166"/>
      <c r="N285" s="166"/>
      <c r="O285" s="166"/>
      <c r="P285" s="1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146940</v>
      </c>
      <c r="I286" s="150"/>
      <c r="J286" s="150"/>
      <c r="K286" s="150"/>
      <c r="L286" s="150"/>
      <c r="M286" s="150"/>
      <c r="N286" s="150"/>
      <c r="O286" s="150"/>
      <c r="P286" s="1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66"/>
      <c r="N287" s="166"/>
      <c r="O287" s="166"/>
      <c r="P287" s="1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50"/>
      <c r="N288" s="150"/>
      <c r="O288" s="150"/>
      <c r="P288" s="1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7</v>
      </c>
      <c r="I289" s="166"/>
      <c r="J289" s="166"/>
      <c r="K289" s="166"/>
      <c r="L289" s="166"/>
      <c r="M289" s="166"/>
      <c r="N289" s="166"/>
      <c r="O289" s="166"/>
      <c r="P289" s="1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943950</v>
      </c>
      <c r="I290" s="150"/>
      <c r="J290" s="150"/>
      <c r="K290" s="150"/>
      <c r="L290" s="150"/>
      <c r="M290" s="150"/>
      <c r="N290" s="150"/>
      <c r="O290" s="150"/>
      <c r="P290" s="1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66"/>
      <c r="N291" s="166"/>
      <c r="O291" s="166"/>
      <c r="P291" s="1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50"/>
      <c r="N292" s="150"/>
      <c r="O292" s="150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38"/>
      <c r="N294" s="138"/>
      <c r="O294" s="138"/>
      <c r="P294" s="1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50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</v>
      </c>
      <c r="I296" s="168"/>
      <c r="J296" s="168"/>
      <c r="K296" s="168"/>
      <c r="L296" s="168"/>
      <c r="M296" s="168"/>
      <c r="N296" s="168"/>
      <c r="O296" s="168"/>
      <c r="P296" s="1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42</v>
      </c>
      <c r="I297" s="148"/>
      <c r="J297" s="148"/>
      <c r="K297" s="148"/>
      <c r="L297" s="148"/>
      <c r="M297" s="148"/>
      <c r="N297" s="148"/>
      <c r="O297" s="148"/>
      <c r="P297" s="1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68"/>
      <c r="N298" s="168"/>
      <c r="O298" s="168"/>
      <c r="P298" s="1"/>
      <c r="Q298" s="1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2120400</v>
      </c>
      <c r="I299" s="173"/>
      <c r="J299" s="173"/>
      <c r="K299" s="173"/>
      <c r="L299" s="173"/>
      <c r="M299" s="173"/>
      <c r="N299" s="173"/>
      <c r="O299" s="173"/>
      <c r="P299" s="1"/>
      <c r="Q299" s="1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55"/>
      <c r="N300" s="155"/>
      <c r="O300" s="155"/>
      <c r="P300" s="1"/>
      <c r="Q300" s="1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55"/>
      <c r="N301" s="155"/>
      <c r="O301" s="155"/>
      <c r="P301" s="1"/>
      <c r="Q301" s="1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55"/>
      <c r="N302" s="155"/>
      <c r="O302" s="155"/>
      <c r="P302" s="1"/>
      <c r="Q302" s="1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55"/>
      <c r="N303" s="155"/>
      <c r="O303" s="155"/>
      <c r="P303" s="1"/>
      <c r="Q303" s="1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55"/>
      <c r="N304" s="155"/>
      <c r="O304" s="155"/>
      <c r="P304" s="1"/>
      <c r="Q304" s="1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55"/>
      <c r="N305" s="155"/>
      <c r="O305" s="155"/>
      <c r="P305" s="1"/>
      <c r="Q305" s="1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55"/>
      <c r="N306" s="155"/>
      <c r="O306" s="155"/>
      <c r="P306" s="1"/>
      <c r="Q306" s="1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55"/>
      <c r="N307" s="155"/>
      <c r="O307" s="155"/>
      <c r="P307" s="1"/>
      <c r="Q307" s="1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55"/>
      <c r="N308" s="155"/>
      <c r="O308" s="155"/>
      <c r="P308" s="1"/>
      <c r="Q308" s="1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55"/>
      <c r="N309" s="155"/>
      <c r="O309" s="155"/>
      <c r="P309" s="1"/>
      <c r="Q309" s="1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28</v>
      </c>
      <c r="I310" s="148"/>
      <c r="J310" s="148"/>
      <c r="K310" s="148"/>
      <c r="L310" s="148"/>
      <c r="M310" s="148"/>
      <c r="N310" s="148"/>
      <c r="O310" s="148"/>
      <c r="P310" s="1"/>
      <c r="Q310" s="1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1116000</v>
      </c>
      <c r="I311" s="150"/>
      <c r="J311" s="150"/>
      <c r="K311" s="150"/>
      <c r="L311" s="150"/>
      <c r="M311" s="150"/>
      <c r="N311" s="150"/>
      <c r="O311" s="150"/>
      <c r="P311" s="1"/>
      <c r="Q311" s="1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5</v>
      </c>
      <c r="I312" s="148"/>
      <c r="J312" s="148"/>
      <c r="K312" s="148"/>
      <c r="L312" s="148"/>
      <c r="M312" s="148"/>
      <c r="N312" s="148"/>
      <c r="O312" s="148"/>
      <c r="P312" s="1"/>
      <c r="Q312" s="1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83700</v>
      </c>
      <c r="I313" s="150"/>
      <c r="J313" s="150"/>
      <c r="K313" s="150"/>
      <c r="L313" s="150"/>
      <c r="M313" s="150"/>
      <c r="N313" s="150"/>
      <c r="O313" s="150"/>
      <c r="P313" s="1"/>
      <c r="Q313" s="1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48"/>
      <c r="N314" s="148"/>
      <c r="O314" s="148"/>
      <c r="P314" s="1"/>
      <c r="Q314" s="1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50"/>
      <c r="N315" s="150"/>
      <c r="O315" s="150"/>
      <c r="P315" s="1"/>
      <c r="Q315" s="1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9</v>
      </c>
      <c r="I316" s="148"/>
      <c r="J316" s="148"/>
      <c r="K316" s="148"/>
      <c r="L316" s="148"/>
      <c r="M316" s="148"/>
      <c r="N316" s="148"/>
      <c r="O316" s="148"/>
      <c r="P316" s="1"/>
      <c r="Q316" s="1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920700</v>
      </c>
      <c r="I317" s="150"/>
      <c r="J317" s="150"/>
      <c r="K317" s="150"/>
      <c r="L317" s="150"/>
      <c r="M317" s="150"/>
      <c r="N317" s="150"/>
      <c r="O317" s="150"/>
      <c r="P317" s="1"/>
      <c r="Q317" s="1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5</v>
      </c>
      <c r="I318" s="166"/>
      <c r="J318" s="166"/>
      <c r="K318" s="166"/>
      <c r="L318" s="166"/>
      <c r="M318" s="166"/>
      <c r="N318" s="166"/>
      <c r="O318" s="166"/>
      <c r="P318" s="1"/>
      <c r="Q318" s="1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50"/>
      <c r="N319" s="150"/>
      <c r="O319" s="150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38"/>
      <c r="N321" s="138"/>
      <c r="O321" s="138"/>
      <c r="P321" s="1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237</v>
      </c>
      <c r="I322" s="163"/>
      <c r="J322" s="163"/>
      <c r="K322" s="163"/>
      <c r="L322" s="163"/>
      <c r="M322" s="163"/>
      <c r="N322" s="163"/>
      <c r="O322" s="163"/>
      <c r="P322" s="1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0.9282700422</v>
      </c>
      <c r="I323" s="168"/>
      <c r="J323" s="168"/>
      <c r="K323" s="168"/>
      <c r="L323" s="168"/>
      <c r="M323" s="168"/>
      <c r="N323" s="168"/>
      <c r="O323" s="168"/>
      <c r="P323" s="1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220</v>
      </c>
      <c r="I324" s="148"/>
      <c r="J324" s="148"/>
      <c r="K324" s="148"/>
      <c r="L324" s="148"/>
      <c r="M324" s="148"/>
      <c r="N324" s="148"/>
      <c r="O324" s="148"/>
      <c r="P324" s="1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68"/>
      <c r="N325" s="168"/>
      <c r="O325" s="168"/>
      <c r="P325" s="1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8852670</v>
      </c>
      <c r="I326" s="150"/>
      <c r="J326" s="150"/>
      <c r="K326" s="150"/>
      <c r="L326" s="150"/>
      <c r="M326" s="150"/>
      <c r="N326" s="150"/>
      <c r="O326" s="150"/>
      <c r="P326" s="1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55"/>
      <c r="N327" s="155"/>
      <c r="O327" s="155"/>
      <c r="P327" s="1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55"/>
      <c r="N328" s="155"/>
      <c r="O328" s="155"/>
      <c r="P328" s="1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55"/>
      <c r="N329" s="155"/>
      <c r="O329" s="155"/>
      <c r="P329" s="1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55"/>
      <c r="N330" s="155"/>
      <c r="O330" s="155"/>
      <c r="P330" s="1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55"/>
      <c r="N331" s="155"/>
      <c r="O331" s="155"/>
      <c r="P331" s="1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55"/>
      <c r="N332" s="155"/>
      <c r="O332" s="155"/>
      <c r="P332" s="1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55"/>
      <c r="N333" s="155"/>
      <c r="O333" s="155"/>
      <c r="P333" s="1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55"/>
      <c r="N334" s="155"/>
      <c r="O334" s="155"/>
      <c r="P334" s="1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55"/>
      <c r="N335" s="155"/>
      <c r="O335" s="155"/>
      <c r="P335" s="1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55"/>
      <c r="N336" s="155"/>
      <c r="O336" s="155"/>
      <c r="P336" s="1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132</v>
      </c>
      <c r="I337" s="148"/>
      <c r="J337" s="148"/>
      <c r="K337" s="148"/>
      <c r="L337" s="148"/>
      <c r="M337" s="148"/>
      <c r="N337" s="148"/>
      <c r="O337" s="148"/>
      <c r="P337" s="1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5282400</v>
      </c>
      <c r="I338" s="150"/>
      <c r="J338" s="150"/>
      <c r="K338" s="150"/>
      <c r="L338" s="150"/>
      <c r="M338" s="150"/>
      <c r="N338" s="150"/>
      <c r="O338" s="150"/>
      <c r="P338" s="1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22</v>
      </c>
      <c r="I339" s="148"/>
      <c r="J339" s="148"/>
      <c r="K339" s="148"/>
      <c r="L339" s="148"/>
      <c r="M339" s="148"/>
      <c r="N339" s="148"/>
      <c r="O339" s="148"/>
      <c r="P339" s="1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334800</v>
      </c>
      <c r="I340" s="150"/>
      <c r="J340" s="150"/>
      <c r="K340" s="150"/>
      <c r="L340" s="150"/>
      <c r="M340" s="150"/>
      <c r="N340" s="150"/>
      <c r="O340" s="150"/>
      <c r="P340" s="1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48"/>
      <c r="N341" s="148"/>
      <c r="O341" s="148"/>
      <c r="P341" s="1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50"/>
      <c r="N342" s="150"/>
      <c r="O342" s="150"/>
      <c r="P342" s="1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66</v>
      </c>
      <c r="I343" s="148"/>
      <c r="J343" s="148"/>
      <c r="K343" s="148"/>
      <c r="L343" s="148"/>
      <c r="M343" s="148"/>
      <c r="N343" s="148"/>
      <c r="O343" s="148"/>
      <c r="P343" s="1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3235470</v>
      </c>
      <c r="I344" s="150"/>
      <c r="J344" s="150"/>
      <c r="K344" s="150"/>
      <c r="L344" s="150"/>
      <c r="M344" s="150"/>
      <c r="N344" s="150"/>
      <c r="O344" s="150"/>
      <c r="P344" s="1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66"/>
      <c r="N345" s="166"/>
      <c r="O345" s="166"/>
      <c r="P345" s="1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50"/>
      <c r="N346" s="150"/>
      <c r="O346" s="150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38"/>
      <c r="N348" s="138"/>
      <c r="O348" s="138"/>
      <c r="P348" s="1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558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0.9301075269</v>
      </c>
      <c r="I350" s="168"/>
      <c r="J350" s="168"/>
      <c r="K350" s="168"/>
      <c r="L350" s="168"/>
      <c r="M350" s="168"/>
      <c r="N350" s="168"/>
      <c r="O350" s="168"/>
      <c r="P350" s="1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519</v>
      </c>
      <c r="I351" s="148"/>
      <c r="J351" s="148"/>
      <c r="K351" s="148"/>
      <c r="L351" s="148"/>
      <c r="M351" s="148"/>
      <c r="N351" s="148"/>
      <c r="O351" s="148"/>
      <c r="P351" s="1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68"/>
      <c r="N352" s="168"/>
      <c r="O352" s="168"/>
      <c r="P352" s="1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13641240</v>
      </c>
      <c r="I353" s="150"/>
      <c r="J353" s="150"/>
      <c r="K353" s="150"/>
      <c r="L353" s="150"/>
      <c r="M353" s="150"/>
      <c r="N353" s="150"/>
      <c r="O353" s="150"/>
      <c r="P353" s="1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55"/>
      <c r="N354" s="155"/>
      <c r="O354" s="155"/>
      <c r="P354" s="1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55"/>
      <c r="N355" s="155"/>
      <c r="O355" s="155"/>
      <c r="P355" s="1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55"/>
      <c r="N356" s="155"/>
      <c r="O356" s="155"/>
      <c r="P356" s="1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55"/>
      <c r="N357" s="155"/>
      <c r="O357" s="155"/>
      <c r="P357" s="1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53"/>
      <c r="N358" s="153"/>
      <c r="O358" s="153"/>
      <c r="P358" s="1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53"/>
      <c r="N359" s="153"/>
      <c r="O359" s="153"/>
      <c r="P359" s="1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53"/>
      <c r="N360" s="153"/>
      <c r="O360" s="153"/>
      <c r="P360" s="1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53"/>
      <c r="N361" s="153"/>
      <c r="O361" s="153"/>
      <c r="P361" s="1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55"/>
      <c r="N362" s="155"/>
      <c r="O362" s="155"/>
      <c r="P362" s="1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55"/>
      <c r="N363" s="155"/>
      <c r="O363" s="155"/>
      <c r="P363" s="1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415</v>
      </c>
      <c r="I364" s="148"/>
      <c r="J364" s="148"/>
      <c r="K364" s="148"/>
      <c r="L364" s="148"/>
      <c r="M364" s="148"/>
      <c r="N364" s="148"/>
      <c r="O364" s="148"/>
      <c r="P364" s="1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12443400</v>
      </c>
      <c r="I365" s="150"/>
      <c r="J365" s="150"/>
      <c r="K365" s="150"/>
      <c r="L365" s="150"/>
      <c r="M365" s="150"/>
      <c r="N365" s="150"/>
      <c r="O365" s="150"/>
      <c r="P365" s="1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104</v>
      </c>
      <c r="I366" s="148"/>
      <c r="J366" s="148"/>
      <c r="K366" s="148"/>
      <c r="L366" s="148"/>
      <c r="M366" s="148"/>
      <c r="N366" s="148"/>
      <c r="O366" s="148"/>
      <c r="P366" s="1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1197840</v>
      </c>
      <c r="I367" s="150"/>
      <c r="J367" s="150"/>
      <c r="K367" s="150"/>
      <c r="L367" s="150"/>
      <c r="M367" s="150"/>
      <c r="N367" s="150"/>
      <c r="O367" s="150"/>
      <c r="P367" s="1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48"/>
      <c r="N368" s="148"/>
      <c r="O368" s="148"/>
      <c r="P368" s="1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50"/>
      <c r="N369" s="150"/>
      <c r="O369" s="150"/>
      <c r="P369" s="1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48"/>
      <c r="N370" s="148"/>
      <c r="O370" s="148"/>
      <c r="P370" s="1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50"/>
      <c r="N371" s="150"/>
      <c r="O371" s="150"/>
      <c r="P371" s="1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66"/>
      <c r="N372" s="166"/>
      <c r="O372" s="166"/>
      <c r="P372" s="1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50"/>
      <c r="N373" s="150"/>
      <c r="O373" s="150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38"/>
      <c r="N375" s="138"/>
      <c r="O375" s="138"/>
      <c r="P375" s="1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263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0.927756654</v>
      </c>
      <c r="I377" s="168"/>
      <c r="J377" s="168"/>
      <c r="K377" s="168"/>
      <c r="L377" s="168"/>
      <c r="M377" s="168"/>
      <c r="N377" s="168"/>
      <c r="O377" s="168"/>
      <c r="P377" s="1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244</v>
      </c>
      <c r="I378" s="148"/>
      <c r="J378" s="148"/>
      <c r="K378" s="148"/>
      <c r="L378" s="148"/>
      <c r="M378" s="148"/>
      <c r="N378" s="148"/>
      <c r="O378" s="148"/>
      <c r="P378" s="1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34"/>
      <c r="N379" s="134"/>
      <c r="O379" s="134"/>
      <c r="P379" s="1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4275675</v>
      </c>
      <c r="I380" s="150"/>
      <c r="J380" s="150"/>
      <c r="K380" s="150"/>
      <c r="L380" s="150"/>
      <c r="M380" s="150"/>
      <c r="N380" s="150"/>
      <c r="O380" s="150"/>
      <c r="P380" s="1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55"/>
      <c r="N381" s="155"/>
      <c r="O381" s="155"/>
      <c r="P381" s="1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55"/>
      <c r="N382" s="155"/>
      <c r="O382" s="155"/>
      <c r="P382" s="1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55"/>
      <c r="N383" s="155"/>
      <c r="O383" s="155"/>
      <c r="P383" s="1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55"/>
      <c r="N384" s="155"/>
      <c r="O384" s="155"/>
      <c r="P384" s="1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53"/>
      <c r="N385" s="153"/>
      <c r="O385" s="153"/>
      <c r="P385" s="1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53"/>
      <c r="N386" s="153"/>
      <c r="O386" s="153"/>
      <c r="P386" s="1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53"/>
      <c r="N387" s="153"/>
      <c r="O387" s="153"/>
      <c r="P387" s="1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53"/>
      <c r="N388" s="153"/>
      <c r="O388" s="153"/>
      <c r="P388" s="1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55"/>
      <c r="N389" s="155"/>
      <c r="O389" s="155"/>
      <c r="P389" s="1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55"/>
      <c r="N390" s="155"/>
      <c r="O390" s="155"/>
      <c r="P390" s="1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195</v>
      </c>
      <c r="I391" s="148"/>
      <c r="J391" s="148"/>
      <c r="K391" s="148"/>
      <c r="L391" s="148"/>
      <c r="M391" s="148"/>
      <c r="N391" s="148"/>
      <c r="O391" s="148"/>
      <c r="P391" s="1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3906000</v>
      </c>
      <c r="I392" s="150"/>
      <c r="J392" s="150"/>
      <c r="K392" s="150"/>
      <c r="L392" s="150"/>
      <c r="M392" s="150"/>
      <c r="N392" s="150"/>
      <c r="O392" s="150"/>
      <c r="P392" s="1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49</v>
      </c>
      <c r="I393" s="148"/>
      <c r="J393" s="148"/>
      <c r="K393" s="148"/>
      <c r="L393" s="148"/>
      <c r="M393" s="148"/>
      <c r="N393" s="148"/>
      <c r="O393" s="148"/>
      <c r="P393" s="1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369675</v>
      </c>
      <c r="I394" s="150"/>
      <c r="J394" s="150"/>
      <c r="K394" s="150"/>
      <c r="L394" s="150"/>
      <c r="M394" s="150"/>
      <c r="N394" s="150"/>
      <c r="O394" s="150"/>
      <c r="P394" s="1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48"/>
      <c r="N395" s="148"/>
      <c r="O395" s="148"/>
      <c r="P395" s="1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50"/>
      <c r="N396" s="150"/>
      <c r="O396" s="150"/>
      <c r="P396" s="1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48"/>
      <c r="N397" s="148"/>
      <c r="O397" s="148"/>
      <c r="P397" s="1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50"/>
      <c r="N398" s="150"/>
      <c r="O398" s="150"/>
      <c r="P398" s="1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48"/>
      <c r="N399" s="148"/>
      <c r="O399" s="148"/>
      <c r="P399" s="1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50"/>
      <c r="N400" s="150"/>
      <c r="O400" s="150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18"/>
      <c r="N403" s="118"/>
      <c r="O403" s="118"/>
      <c r="P403" s="1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1057</v>
      </c>
      <c r="I404" s="123"/>
      <c r="J404" s="123"/>
      <c r="K404" s="123"/>
      <c r="L404" s="123"/>
      <c r="M404" s="123"/>
      <c r="N404" s="123"/>
      <c r="O404" s="123"/>
      <c r="P404" s="1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68"/>
      <c r="N405" s="168"/>
      <c r="O405" s="168"/>
      <c r="P405" s="1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1057</v>
      </c>
      <c r="I406" s="148"/>
      <c r="J406" s="148"/>
      <c r="K406" s="148"/>
      <c r="L406" s="148"/>
      <c r="M406" s="148"/>
      <c r="N406" s="148"/>
      <c r="O406" s="148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30957375</v>
      </c>
      <c r="I408" s="150"/>
      <c r="J408" s="150"/>
      <c r="K408" s="150"/>
      <c r="L408" s="150"/>
      <c r="M408" s="150"/>
      <c r="N408" s="150"/>
      <c r="O408" s="150"/>
      <c r="P408" s="1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68"/>
      <c r="N409" s="168"/>
      <c r="O409" s="168"/>
      <c r="P409" s="1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30957375</v>
      </c>
      <c r="I410" s="150"/>
      <c r="J410" s="150"/>
      <c r="K410" s="150"/>
      <c r="L410" s="150"/>
      <c r="M410" s="150"/>
      <c r="N410" s="150"/>
      <c r="O410" s="150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15"/>
      <c r="N411" s="115"/>
      <c r="O411" s="115"/>
      <c r="P411" s="1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38"/>
      <c r="N412" s="138"/>
      <c r="O412" s="138"/>
      <c r="P412" s="1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68"/>
      <c r="N413" s="168"/>
      <c r="O413" s="168"/>
      <c r="P413" s="1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32</v>
      </c>
      <c r="I414" s="148"/>
      <c r="J414" s="148"/>
      <c r="K414" s="148"/>
      <c r="L414" s="148"/>
      <c r="M414" s="148"/>
      <c r="N414" s="148"/>
      <c r="O414" s="148"/>
      <c r="P414" s="1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68"/>
      <c r="N415" s="168"/>
      <c r="O415" s="168"/>
      <c r="P415" s="1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2067390</v>
      </c>
      <c r="I416" s="150"/>
      <c r="J416" s="150"/>
      <c r="K416" s="150"/>
      <c r="L416" s="150"/>
      <c r="M416" s="150"/>
      <c r="N416" s="150"/>
      <c r="O416" s="150"/>
      <c r="P416" s="1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53"/>
      <c r="N417" s="153"/>
      <c r="O417" s="153"/>
      <c r="P417" s="1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53"/>
      <c r="N418" s="153"/>
      <c r="O418" s="153"/>
      <c r="P418" s="1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53"/>
      <c r="N419" s="153"/>
      <c r="O419" s="153"/>
      <c r="P419" s="1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53"/>
      <c r="N420" s="153"/>
      <c r="O420" s="153"/>
      <c r="P420" s="1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53"/>
      <c r="N421" s="153"/>
      <c r="O421" s="153"/>
      <c r="P421" s="1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53"/>
      <c r="N422" s="153"/>
      <c r="O422" s="153"/>
      <c r="P422" s="1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53"/>
      <c r="N423" s="153"/>
      <c r="O423" s="153"/>
      <c r="P423" s="1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53"/>
      <c r="N424" s="153"/>
      <c r="O424" s="153"/>
      <c r="P424" s="1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53"/>
      <c r="N425" s="153"/>
      <c r="O425" s="153"/>
      <c r="P425" s="1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53"/>
      <c r="N426" s="153"/>
      <c r="O426" s="153"/>
      <c r="P426" s="1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20</v>
      </c>
      <c r="I427" s="148"/>
      <c r="J427" s="148"/>
      <c r="K427" s="148"/>
      <c r="L427" s="148"/>
      <c r="M427" s="148"/>
      <c r="N427" s="148"/>
      <c r="O427" s="148"/>
      <c r="P427" s="1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976500</v>
      </c>
      <c r="I428" s="173"/>
      <c r="J428" s="173"/>
      <c r="K428" s="173"/>
      <c r="L428" s="173"/>
      <c r="M428" s="173"/>
      <c r="N428" s="173"/>
      <c r="O428" s="173"/>
      <c r="P428" s="1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5</v>
      </c>
      <c r="I429" s="148"/>
      <c r="J429" s="148"/>
      <c r="K429" s="148"/>
      <c r="L429" s="148"/>
      <c r="M429" s="148"/>
      <c r="N429" s="148"/>
      <c r="O429" s="148"/>
      <c r="P429" s="1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146940</v>
      </c>
      <c r="I430" s="148"/>
      <c r="J430" s="148"/>
      <c r="K430" s="148"/>
      <c r="L430" s="148"/>
      <c r="M430" s="148"/>
      <c r="N430" s="148"/>
      <c r="O430" s="148"/>
      <c r="P430" s="1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74"/>
      <c r="N431" s="174"/>
      <c r="O431" s="174"/>
      <c r="P431" s="1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74"/>
      <c r="N432" s="174"/>
      <c r="O432" s="174"/>
      <c r="P432" s="1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7</v>
      </c>
      <c r="I433" s="174"/>
      <c r="J433" s="174"/>
      <c r="K433" s="174"/>
      <c r="L433" s="174"/>
      <c r="M433" s="174"/>
      <c r="N433" s="174"/>
      <c r="O433" s="174"/>
      <c r="P433" s="1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943950</v>
      </c>
      <c r="I434" s="174"/>
      <c r="J434" s="174"/>
      <c r="K434" s="174"/>
      <c r="L434" s="174"/>
      <c r="M434" s="174"/>
      <c r="N434" s="174"/>
      <c r="O434" s="174"/>
      <c r="P434" s="1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74"/>
      <c r="N435" s="174"/>
      <c r="O435" s="174"/>
      <c r="P435" s="1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74"/>
      <c r="N436" s="174"/>
      <c r="O436" s="174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38"/>
      <c r="N438" s="138"/>
      <c r="O438" s="138"/>
      <c r="P438" s="1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68"/>
      <c r="N439" s="168"/>
      <c r="O439" s="168"/>
      <c r="P439" s="1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42</v>
      </c>
      <c r="I440" s="148"/>
      <c r="J440" s="148"/>
      <c r="K440" s="148"/>
      <c r="L440" s="148"/>
      <c r="M440" s="148"/>
      <c r="N440" s="148"/>
      <c r="O440" s="148"/>
      <c r="P440" s="1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68"/>
      <c r="N441" s="168"/>
      <c r="O441" s="168"/>
      <c r="P441" s="1"/>
      <c r="Q441" s="1"/>
      <c r="R441" s="1"/>
      <c r="S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2120400</v>
      </c>
      <c r="I442" s="150"/>
      <c r="J442" s="150"/>
      <c r="K442" s="150"/>
      <c r="L442" s="150"/>
      <c r="M442" s="150"/>
      <c r="N442" s="150"/>
      <c r="O442" s="150"/>
      <c r="P442" s="1"/>
      <c r="Q442" s="1"/>
      <c r="R442" s="1"/>
      <c r="S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55"/>
      <c r="N443" s="155"/>
      <c r="O443" s="155"/>
      <c r="P443" s="1"/>
      <c r="Q443" s="1"/>
      <c r="R443" s="1"/>
      <c r="S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55"/>
      <c r="N444" s="155"/>
      <c r="O444" s="155"/>
      <c r="P444" s="1"/>
      <c r="Q444" s="1"/>
      <c r="R444" s="1"/>
      <c r="S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55"/>
      <c r="N445" s="155"/>
      <c r="O445" s="155"/>
      <c r="P445" s="1"/>
      <c r="Q445" s="1"/>
      <c r="R445" s="1"/>
      <c r="S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55"/>
      <c r="N446" s="155"/>
      <c r="O446" s="155"/>
      <c r="P446" s="1"/>
      <c r="Q446" s="1"/>
      <c r="R446" s="1"/>
      <c r="S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55"/>
      <c r="N447" s="155"/>
      <c r="O447" s="155"/>
      <c r="P447" s="1"/>
      <c r="Q447" s="1"/>
      <c r="R447" s="1"/>
      <c r="S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55"/>
      <c r="N448" s="155"/>
      <c r="O448" s="155"/>
      <c r="P448" s="1"/>
      <c r="Q448" s="1"/>
      <c r="R448" s="1"/>
      <c r="S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53"/>
      <c r="N449" s="153"/>
      <c r="O449" s="153"/>
      <c r="P449" s="1"/>
      <c r="Q449" s="1"/>
      <c r="R449" s="1"/>
      <c r="S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53"/>
      <c r="N450" s="153"/>
      <c r="O450" s="153"/>
      <c r="P450" s="1"/>
      <c r="Q450" s="1"/>
      <c r="R450" s="1"/>
      <c r="S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53"/>
      <c r="N451" s="153"/>
      <c r="O451" s="153"/>
      <c r="P451" s="1"/>
      <c r="Q451" s="1"/>
      <c r="R451" s="1"/>
      <c r="S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53"/>
      <c r="N452" s="153"/>
      <c r="O452" s="153"/>
      <c r="P452" s="1"/>
      <c r="Q452" s="1"/>
      <c r="R452" s="1"/>
      <c r="S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28</v>
      </c>
      <c r="I453" s="148"/>
      <c r="J453" s="148"/>
      <c r="K453" s="148"/>
      <c r="L453" s="148"/>
      <c r="M453" s="148"/>
      <c r="N453" s="148"/>
      <c r="O453" s="148"/>
      <c r="P453" s="1"/>
      <c r="Q453" s="1"/>
      <c r="R453" s="1"/>
      <c r="S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1116000</v>
      </c>
      <c r="I454" s="148"/>
      <c r="J454" s="148"/>
      <c r="K454" s="148"/>
      <c r="L454" s="148"/>
      <c r="M454" s="148"/>
      <c r="N454" s="148"/>
      <c r="O454" s="148"/>
      <c r="P454" s="1"/>
      <c r="Q454" s="1"/>
      <c r="R454" s="1"/>
      <c r="S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5</v>
      </c>
      <c r="I455" s="148"/>
      <c r="J455" s="148"/>
      <c r="K455" s="148"/>
      <c r="L455" s="148"/>
      <c r="M455" s="148"/>
      <c r="N455" s="148"/>
      <c r="O455" s="148"/>
      <c r="P455" s="1"/>
      <c r="Q455" s="1"/>
      <c r="R455" s="1"/>
      <c r="S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83700</v>
      </c>
      <c r="I456" s="148"/>
      <c r="J456" s="148"/>
      <c r="K456" s="148"/>
      <c r="L456" s="148"/>
      <c r="M456" s="148"/>
      <c r="N456" s="148"/>
      <c r="O456" s="148"/>
      <c r="P456" s="1"/>
      <c r="Q456" s="1"/>
      <c r="R456" s="1"/>
      <c r="S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48"/>
      <c r="N457" s="148"/>
      <c r="O457" s="148"/>
      <c r="P457" s="1"/>
      <c r="Q457" s="1"/>
      <c r="R457" s="1"/>
      <c r="S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48"/>
      <c r="N458" s="148"/>
      <c r="O458" s="148"/>
      <c r="P458" s="1"/>
      <c r="Q458" s="1"/>
      <c r="R458" s="1"/>
      <c r="S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9</v>
      </c>
      <c r="I459" s="148"/>
      <c r="J459" s="148"/>
      <c r="K459" s="148"/>
      <c r="L459" s="148"/>
      <c r="M459" s="148"/>
      <c r="N459" s="148"/>
      <c r="O459" s="148"/>
      <c r="P459" s="1"/>
      <c r="Q459" s="1"/>
      <c r="R459" s="1"/>
      <c r="S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920700</v>
      </c>
      <c r="I460" s="148"/>
      <c r="J460" s="148"/>
      <c r="K460" s="148"/>
      <c r="L460" s="148"/>
      <c r="M460" s="148"/>
      <c r="N460" s="148"/>
      <c r="O460" s="148"/>
      <c r="P460" s="1"/>
      <c r="Q460" s="1"/>
      <c r="R460" s="1"/>
      <c r="S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5</v>
      </c>
      <c r="I461" s="148"/>
      <c r="J461" s="148"/>
      <c r="K461" s="148"/>
      <c r="L461" s="148"/>
      <c r="M461" s="148"/>
      <c r="N461" s="148"/>
      <c r="O461" s="148"/>
      <c r="P461" s="1"/>
      <c r="Q461" s="1"/>
      <c r="R461" s="1"/>
      <c r="S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48"/>
      <c r="N462" s="148"/>
      <c r="O462" s="148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38"/>
      <c r="N464" s="138"/>
      <c r="O464" s="138"/>
      <c r="P464" s="1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68"/>
      <c r="N465" s="168"/>
      <c r="O465" s="168"/>
      <c r="P465" s="1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220</v>
      </c>
      <c r="I466" s="148"/>
      <c r="J466" s="148"/>
      <c r="K466" s="148"/>
      <c r="L466" s="148"/>
      <c r="M466" s="148"/>
      <c r="N466" s="148"/>
      <c r="O466" s="148"/>
      <c r="P466" s="1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68"/>
      <c r="N467" s="168"/>
      <c r="O467" s="168"/>
      <c r="P467" s="1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8852670</v>
      </c>
      <c r="I468" s="150"/>
      <c r="J468" s="150"/>
      <c r="K468" s="150"/>
      <c r="L468" s="150"/>
      <c r="M468" s="150"/>
      <c r="N468" s="150"/>
      <c r="O468" s="150"/>
      <c r="P468" s="1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55"/>
      <c r="N469" s="155"/>
      <c r="O469" s="155"/>
      <c r="P469" s="1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55"/>
      <c r="N470" s="155"/>
      <c r="O470" s="155"/>
      <c r="P470" s="1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55"/>
      <c r="N471" s="155"/>
      <c r="O471" s="155"/>
      <c r="P471" s="1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55"/>
      <c r="N472" s="155"/>
      <c r="O472" s="155"/>
      <c r="P472" s="1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55"/>
      <c r="N473" s="155"/>
      <c r="O473" s="155"/>
      <c r="P473" s="1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55"/>
      <c r="N474" s="155"/>
      <c r="O474" s="155"/>
      <c r="P474" s="1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55"/>
      <c r="N475" s="155"/>
      <c r="O475" s="155"/>
      <c r="P475" s="1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55"/>
      <c r="N476" s="155"/>
      <c r="O476" s="155"/>
      <c r="P476" s="1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55"/>
      <c r="N477" s="155"/>
      <c r="O477" s="155"/>
      <c r="P477" s="1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55"/>
      <c r="N478" s="155"/>
      <c r="O478" s="155"/>
      <c r="P478" s="1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132</v>
      </c>
      <c r="I479" s="148"/>
      <c r="J479" s="148"/>
      <c r="K479" s="148"/>
      <c r="L479" s="148"/>
      <c r="M479" s="148"/>
      <c r="N479" s="148"/>
      <c r="O479" s="148"/>
      <c r="P479" s="1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5282400</v>
      </c>
      <c r="I480" s="148"/>
      <c r="J480" s="148"/>
      <c r="K480" s="148"/>
      <c r="L480" s="148"/>
      <c r="M480" s="148"/>
      <c r="N480" s="148"/>
      <c r="O480" s="148"/>
      <c r="P480" s="1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22</v>
      </c>
      <c r="I481" s="148"/>
      <c r="J481" s="148"/>
      <c r="K481" s="148"/>
      <c r="L481" s="148"/>
      <c r="M481" s="148"/>
      <c r="N481" s="148"/>
      <c r="O481" s="148"/>
      <c r="P481" s="1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334800</v>
      </c>
      <c r="I482" s="148"/>
      <c r="J482" s="148"/>
      <c r="K482" s="148"/>
      <c r="L482" s="148"/>
      <c r="M482" s="148"/>
      <c r="N482" s="148"/>
      <c r="O482" s="148"/>
      <c r="P482" s="1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48"/>
      <c r="N483" s="148"/>
      <c r="O483" s="148"/>
      <c r="P483" s="1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48"/>
      <c r="N484" s="148"/>
      <c r="O484" s="148"/>
      <c r="P484" s="1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66</v>
      </c>
      <c r="I485" s="148"/>
      <c r="J485" s="148"/>
      <c r="K485" s="148"/>
      <c r="L485" s="148"/>
      <c r="M485" s="148"/>
      <c r="N485" s="148"/>
      <c r="O485" s="148"/>
      <c r="P485" s="1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3235470</v>
      </c>
      <c r="I486" s="148"/>
      <c r="J486" s="148"/>
      <c r="K486" s="148"/>
      <c r="L486" s="148"/>
      <c r="M486" s="148"/>
      <c r="N486" s="148"/>
      <c r="O486" s="148"/>
      <c r="P486" s="1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48"/>
      <c r="N487" s="148"/>
      <c r="O487" s="148"/>
      <c r="P487" s="1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48"/>
      <c r="N488" s="148"/>
      <c r="O488" s="148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38"/>
      <c r="N490" s="138"/>
      <c r="O490" s="138"/>
      <c r="P490" s="1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68"/>
      <c r="N491" s="168"/>
      <c r="O491" s="168"/>
      <c r="P491" s="1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519</v>
      </c>
      <c r="I492" s="148"/>
      <c r="J492" s="148"/>
      <c r="K492" s="148"/>
      <c r="L492" s="148"/>
      <c r="M492" s="148"/>
      <c r="N492" s="148"/>
      <c r="O492" s="148"/>
      <c r="P492" s="1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68"/>
      <c r="N493" s="168"/>
      <c r="O493" s="168"/>
      <c r="P493" s="1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13641240</v>
      </c>
      <c r="I494" s="150"/>
      <c r="J494" s="150"/>
      <c r="K494" s="150"/>
      <c r="L494" s="150"/>
      <c r="M494" s="150"/>
      <c r="N494" s="150"/>
      <c r="O494" s="150"/>
      <c r="P494" s="1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55"/>
      <c r="N495" s="155"/>
      <c r="O495" s="155"/>
      <c r="P495" s="1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55"/>
      <c r="N496" s="155"/>
      <c r="O496" s="155"/>
      <c r="P496" s="1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55"/>
      <c r="N497" s="155"/>
      <c r="O497" s="155"/>
      <c r="P497" s="1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55"/>
      <c r="N498" s="155"/>
      <c r="O498" s="155"/>
      <c r="P498" s="1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53"/>
      <c r="N499" s="153"/>
      <c r="O499" s="153"/>
      <c r="P499" s="1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53"/>
      <c r="N500" s="153"/>
      <c r="O500" s="153"/>
      <c r="P500" s="1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53"/>
      <c r="N501" s="153"/>
      <c r="O501" s="153"/>
      <c r="P501" s="1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53"/>
      <c r="N502" s="153"/>
      <c r="O502" s="153"/>
      <c r="P502" s="1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53"/>
      <c r="N503" s="153"/>
      <c r="O503" s="153"/>
      <c r="P503" s="1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53"/>
      <c r="N504" s="153"/>
      <c r="O504" s="153"/>
      <c r="P504" s="1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415</v>
      </c>
      <c r="I505" s="148"/>
      <c r="J505" s="148"/>
      <c r="K505" s="148"/>
      <c r="L505" s="148"/>
      <c r="M505" s="148"/>
      <c r="N505" s="148"/>
      <c r="O505" s="148"/>
      <c r="P505" s="1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12443400</v>
      </c>
      <c r="I506" s="148"/>
      <c r="J506" s="148"/>
      <c r="K506" s="148"/>
      <c r="L506" s="148"/>
      <c r="M506" s="148"/>
      <c r="N506" s="148"/>
      <c r="O506" s="148"/>
      <c r="P506" s="1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104</v>
      </c>
      <c r="I507" s="148"/>
      <c r="J507" s="148"/>
      <c r="K507" s="148"/>
      <c r="L507" s="148"/>
      <c r="M507" s="148"/>
      <c r="N507" s="148"/>
      <c r="O507" s="148"/>
      <c r="P507" s="1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1197840</v>
      </c>
      <c r="I508" s="148"/>
      <c r="J508" s="148"/>
      <c r="K508" s="148"/>
      <c r="L508" s="148"/>
      <c r="M508" s="148"/>
      <c r="N508" s="148"/>
      <c r="O508" s="148"/>
      <c r="P508" s="1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48"/>
      <c r="N509" s="148"/>
      <c r="O509" s="148"/>
      <c r="P509" s="1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48"/>
      <c r="N510" s="148"/>
      <c r="O510" s="148"/>
      <c r="P510" s="1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48"/>
      <c r="N511" s="148"/>
      <c r="O511" s="148"/>
      <c r="P511" s="1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48"/>
      <c r="N512" s="148"/>
      <c r="O512" s="148"/>
      <c r="P512" s="1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48"/>
      <c r="N513" s="148"/>
      <c r="O513" s="148"/>
      <c r="P513" s="1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48"/>
      <c r="N514" s="148"/>
      <c r="O514" s="148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38"/>
      <c r="N516" s="138"/>
      <c r="O516" s="138"/>
      <c r="P516" s="1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68"/>
      <c r="N517" s="168"/>
      <c r="O517" s="168"/>
      <c r="P517" s="1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244</v>
      </c>
      <c r="I518" s="148"/>
      <c r="J518" s="148"/>
      <c r="K518" s="148"/>
      <c r="L518" s="148"/>
      <c r="M518" s="148"/>
      <c r="N518" s="148"/>
      <c r="O518" s="148"/>
      <c r="P518" s="1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68"/>
      <c r="N519" s="168"/>
      <c r="O519" s="168"/>
      <c r="P519" s="1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4275675</v>
      </c>
      <c r="I520" s="150"/>
      <c r="J520" s="150"/>
      <c r="K520" s="150"/>
      <c r="L520" s="150"/>
      <c r="M520" s="150"/>
      <c r="N520" s="150"/>
      <c r="O520" s="150"/>
      <c r="P520" s="1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55"/>
      <c r="N521" s="155"/>
      <c r="O521" s="155"/>
      <c r="P521" s="1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55"/>
      <c r="N522" s="155"/>
      <c r="O522" s="155"/>
      <c r="P522" s="1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55"/>
      <c r="N523" s="155"/>
      <c r="O523" s="155"/>
      <c r="P523" s="1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55"/>
      <c r="N524" s="155"/>
      <c r="O524" s="155"/>
      <c r="P524" s="1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53"/>
      <c r="N525" s="153"/>
      <c r="O525" s="153"/>
      <c r="P525" s="1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53"/>
      <c r="N526" s="153"/>
      <c r="O526" s="153"/>
      <c r="P526" s="1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53"/>
      <c r="N527" s="153"/>
      <c r="O527" s="153"/>
      <c r="P527" s="1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53"/>
      <c r="N528" s="153"/>
      <c r="O528" s="153"/>
      <c r="P528" s="1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53"/>
      <c r="N529" s="153"/>
      <c r="O529" s="153"/>
      <c r="P529" s="1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53"/>
      <c r="N530" s="153"/>
      <c r="O530" s="153"/>
      <c r="P530" s="1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195</v>
      </c>
      <c r="I531" s="148"/>
      <c r="J531" s="148"/>
      <c r="K531" s="148"/>
      <c r="L531" s="148"/>
      <c r="M531" s="148"/>
      <c r="N531" s="148"/>
      <c r="O531" s="148"/>
      <c r="P531" s="1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3906000</v>
      </c>
      <c r="I532" s="148"/>
      <c r="J532" s="148"/>
      <c r="K532" s="148"/>
      <c r="L532" s="148"/>
      <c r="M532" s="148"/>
      <c r="N532" s="148"/>
      <c r="O532" s="148"/>
      <c r="P532" s="1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49</v>
      </c>
      <c r="I533" s="148"/>
      <c r="J533" s="148"/>
      <c r="K533" s="148"/>
      <c r="L533" s="148"/>
      <c r="M533" s="148"/>
      <c r="N533" s="148"/>
      <c r="O533" s="148"/>
      <c r="P533" s="1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369675</v>
      </c>
      <c r="I534" s="148"/>
      <c r="J534" s="148"/>
      <c r="K534" s="148"/>
      <c r="L534" s="148"/>
      <c r="M534" s="148"/>
      <c r="N534" s="148"/>
      <c r="O534" s="148"/>
      <c r="P534" s="1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48"/>
      <c r="N535" s="148"/>
      <c r="O535" s="148"/>
      <c r="P535" s="1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48"/>
      <c r="N536" s="148"/>
      <c r="O536" s="148"/>
      <c r="P536" s="1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48"/>
      <c r="N537" s="148"/>
      <c r="O537" s="148"/>
      <c r="P537" s="1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48"/>
      <c r="N538" s="148"/>
      <c r="O538" s="148"/>
      <c r="P538" s="1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48"/>
      <c r="N539" s="148"/>
      <c r="O539" s="148"/>
      <c r="P539" s="1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48"/>
      <c r="N540" s="148"/>
      <c r="O540" s="148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18"/>
      <c r="N543" s="118"/>
      <c r="O543" s="118"/>
      <c r="P543" s="1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O545" si="13">SUM(H554,H588,H629,H663,H703,H737)</f>
        <v>5100120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78">
        <f t="shared" si="13"/>
        <v>0</v>
      </c>
      <c r="N545" s="178">
        <f t="shared" si="13"/>
        <v>0</v>
      </c>
      <c r="O545" s="178">
        <f t="shared" si="13"/>
        <v>0</v>
      </c>
      <c r="P545" s="1"/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O546" si="14">SUM(H553,H587,H628,H662,H702,H735)</f>
        <v>0</v>
      </c>
      <c r="I546" s="180">
        <f t="shared" si="14"/>
        <v>198000</v>
      </c>
      <c r="J546" s="180">
        <f t="shared" si="14"/>
        <v>268000</v>
      </c>
      <c r="K546" s="180">
        <f t="shared" si="14"/>
        <v>102000</v>
      </c>
      <c r="L546" s="180">
        <f t="shared" si="14"/>
        <v>66000</v>
      </c>
      <c r="M546" s="180">
        <f t="shared" si="14"/>
        <v>482000</v>
      </c>
      <c r="N546" s="180">
        <f t="shared" si="14"/>
        <v>48000</v>
      </c>
      <c r="O546" s="180">
        <f t="shared" si="14"/>
        <v>683094</v>
      </c>
      <c r="P546" s="1"/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43"/>
      <c r="N548" s="143"/>
      <c r="O548" s="143"/>
      <c r="P548" s="1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O549" si="15">SUM(H571,H605,H624,H646,H679,H698,H720,H754,H774)</f>
        <v>36000</v>
      </c>
      <c r="I549" s="178">
        <f t="shared" si="15"/>
        <v>39600</v>
      </c>
      <c r="J549" s="178">
        <f t="shared" si="15"/>
        <v>43560</v>
      </c>
      <c r="K549" s="178">
        <f t="shared" si="15"/>
        <v>206316</v>
      </c>
      <c r="L549" s="178">
        <f t="shared" si="15"/>
        <v>151907.6</v>
      </c>
      <c r="M549" s="178">
        <f t="shared" si="15"/>
        <v>266298.36</v>
      </c>
      <c r="N549" s="178">
        <f t="shared" si="15"/>
        <v>195936.196</v>
      </c>
      <c r="O549" s="178">
        <f t="shared" si="15"/>
        <v>981503.8156</v>
      </c>
      <c r="P549" s="1"/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81"/>
      <c r="M550" s="18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83"/>
      <c r="N551" s="183"/>
      <c r="O551" s="183"/>
      <c r="P551" s="136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84"/>
      <c r="N552" s="184"/>
      <c r="O552" s="184"/>
      <c r="P552" s="1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O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70">
        <f t="shared" si="16"/>
        <v>0</v>
      </c>
      <c r="N553" s="170">
        <f t="shared" si="16"/>
        <v>0</v>
      </c>
      <c r="O553" s="170">
        <f t="shared" si="16"/>
        <v>0</v>
      </c>
      <c r="P553" s="1"/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O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84" t="str">
        <f t="shared" si="17"/>
        <v/>
      </c>
      <c r="N554" s="184" t="str">
        <f t="shared" si="17"/>
        <v/>
      </c>
      <c r="O554" s="184" t="str">
        <f t="shared" si="17"/>
        <v/>
      </c>
      <c r="P554" s="1"/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O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84">
        <f t="shared" si="18"/>
        <v>0</v>
      </c>
      <c r="N555" s="184">
        <f t="shared" si="18"/>
        <v>0</v>
      </c>
      <c r="O555" s="184">
        <f t="shared" si="18"/>
        <v>0</v>
      </c>
      <c r="P555" s="1"/>
      <c r="Q555" s="1"/>
      <c r="R555" s="1"/>
      <c r="S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86"/>
      <c r="N556" s="186"/>
      <c r="O556" s="186"/>
      <c r="P556" s="1"/>
      <c r="Q556" s="1"/>
      <c r="R556" s="1"/>
      <c r="S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O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86">
        <f t="shared" si="19"/>
        <v>1</v>
      </c>
      <c r="N557" s="186">
        <f t="shared" si="19"/>
        <v>0</v>
      </c>
      <c r="O557" s="186">
        <f t="shared" si="19"/>
        <v>1</v>
      </c>
      <c r="P557" s="1"/>
      <c r="Q557" s="1"/>
      <c r="R557" s="1"/>
      <c r="S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O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86">
        <f t="shared" si="20"/>
        <v>0</v>
      </c>
      <c r="N558" s="186">
        <f t="shared" si="20"/>
        <v>1</v>
      </c>
      <c r="O558" s="186">
        <f t="shared" si="20"/>
        <v>0</v>
      </c>
      <c r="P558" s="1"/>
      <c r="Q558" s="1"/>
      <c r="R558" s="1"/>
      <c r="S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O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86">
        <f t="shared" si="21"/>
        <v>1</v>
      </c>
      <c r="N559" s="186">
        <f t="shared" si="21"/>
        <v>0</v>
      </c>
      <c r="O559" s="186">
        <f t="shared" si="21"/>
        <v>1</v>
      </c>
      <c r="P559" s="1"/>
      <c r="Q559" s="1"/>
      <c r="R559" s="1"/>
      <c r="S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O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86">
        <f t="shared" si="22"/>
        <v>0</v>
      </c>
      <c r="N560" s="186">
        <f t="shared" si="22"/>
        <v>1</v>
      </c>
      <c r="O560" s="186">
        <f t="shared" si="22"/>
        <v>0</v>
      </c>
      <c r="P560" s="1"/>
      <c r="Q560" s="1"/>
      <c r="R560" s="1"/>
      <c r="S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O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86">
        <f t="shared" si="23"/>
        <v>1</v>
      </c>
      <c r="N561" s="186">
        <f t="shared" si="23"/>
        <v>0</v>
      </c>
      <c r="O561" s="186">
        <f t="shared" si="23"/>
        <v>1</v>
      </c>
      <c r="P561" s="1"/>
      <c r="Q561" s="1"/>
      <c r="R561" s="1"/>
      <c r="S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O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86">
        <f t="shared" si="24"/>
        <v>2</v>
      </c>
      <c r="N562" s="186">
        <f t="shared" si="24"/>
        <v>1</v>
      </c>
      <c r="O562" s="186">
        <f t="shared" si="24"/>
        <v>0</v>
      </c>
      <c r="P562" s="1"/>
      <c r="Q562" s="1"/>
      <c r="R562" s="1"/>
      <c r="S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O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86">
        <f t="shared" si="25"/>
        <v>0</v>
      </c>
      <c r="N563" s="186">
        <f t="shared" si="25"/>
        <v>2</v>
      </c>
      <c r="O563" s="186">
        <f t="shared" si="25"/>
        <v>1</v>
      </c>
      <c r="P563" s="1"/>
      <c r="Q563" s="1"/>
      <c r="R563" s="1"/>
      <c r="S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O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86">
        <f t="shared" si="26"/>
        <v>0</v>
      </c>
      <c r="N564" s="186">
        <f t="shared" si="26"/>
        <v>0</v>
      </c>
      <c r="O564" s="186">
        <f t="shared" si="26"/>
        <v>2</v>
      </c>
      <c r="P564" s="1"/>
      <c r="Q564" s="1"/>
      <c r="R564" s="1"/>
      <c r="S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O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86">
        <f t="shared" si="27"/>
        <v>0</v>
      </c>
      <c r="N565" s="186">
        <f t="shared" si="27"/>
        <v>0</v>
      </c>
      <c r="O565" s="186">
        <f t="shared" si="27"/>
        <v>0</v>
      </c>
      <c r="P565" s="1"/>
      <c r="Q565" s="1"/>
      <c r="R565" s="1"/>
      <c r="S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O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86">
        <f t="shared" si="28"/>
        <v>0</v>
      </c>
      <c r="N566" s="186">
        <f t="shared" si="28"/>
        <v>0</v>
      </c>
      <c r="O566" s="186">
        <f t="shared" si="28"/>
        <v>0</v>
      </c>
      <c r="P566" s="1"/>
      <c r="Q566" s="1"/>
      <c r="R566" s="1"/>
      <c r="S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O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86">
        <f t="shared" si="29"/>
        <v>0</v>
      </c>
      <c r="N567" s="186">
        <f t="shared" si="29"/>
        <v>0</v>
      </c>
      <c r="O567" s="186">
        <f t="shared" si="29"/>
        <v>0</v>
      </c>
      <c r="P567" s="1"/>
      <c r="Q567" s="1"/>
      <c r="R567" s="1"/>
      <c r="S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O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86">
        <f t="shared" si="30"/>
        <v>0</v>
      </c>
      <c r="N568" s="186">
        <f t="shared" si="30"/>
        <v>0</v>
      </c>
      <c r="O568" s="186">
        <f t="shared" si="30"/>
        <v>0</v>
      </c>
      <c r="P568" s="1"/>
      <c r="Q568" s="1"/>
      <c r="R568" s="1"/>
      <c r="S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86"/>
      <c r="N569" s="186"/>
      <c r="O569" s="186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55">
        <v>0.8</v>
      </c>
      <c r="N570" s="155">
        <v>0.8</v>
      </c>
      <c r="O570" s="155">
        <v>0.8</v>
      </c>
      <c r="P570" s="1"/>
      <c r="Q570" s="1"/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O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84">
        <f t="shared" si="31"/>
        <v>0</v>
      </c>
      <c r="N571" s="184">
        <f t="shared" si="31"/>
        <v>0</v>
      </c>
      <c r="O571" s="184">
        <f t="shared" si="31"/>
        <v>0</v>
      </c>
      <c r="P571" s="1"/>
      <c r="Q571" s="1"/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O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84">
        <f t="shared" si="32"/>
        <v>0</v>
      </c>
      <c r="N572" s="184">
        <f t="shared" si="32"/>
        <v>0</v>
      </c>
      <c r="O572" s="184">
        <f t="shared" si="32"/>
        <v>0</v>
      </c>
      <c r="P572" s="1"/>
      <c r="Q572" s="1"/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O573" si="33">IF(COLUMN() &lt; (COLUMN($H$573) + (ROW()-ROW($H$573))), 0, IF(COLUMN() = (COLUMN($H$573) + (ROW()-ROW($H$573))), INDEX($H$555:$O$555,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86">
        <f t="shared" si="33"/>
        <v>0</v>
      </c>
      <c r="N573" s="186">
        <f t="shared" si="33"/>
        <v>0</v>
      </c>
      <c r="O573" s="186">
        <f t="shared" si="33"/>
        <v>0</v>
      </c>
      <c r="P573" s="1"/>
      <c r="Q573" s="1"/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O574" si="34">IF(COLUMN() &lt; (COLUMN($H$573) + (ROW()-ROW($H$573))), 0, IF(COLUMN() = (COLUMN($H$573) + (ROW()-ROW($H$573))), INDEX($H$555:$O$555,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86">
        <f t="shared" si="34"/>
        <v>0</v>
      </c>
      <c r="N574" s="186">
        <f t="shared" si="34"/>
        <v>0</v>
      </c>
      <c r="O574" s="186">
        <f t="shared" si="34"/>
        <v>0</v>
      </c>
      <c r="P574" s="1"/>
      <c r="Q574" s="1"/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O575" si="35">IF(COLUMN() &lt; (COLUMN($H$573) + (ROW()-ROW($H$573))), 0, IF(COLUMN() = (COLUMN($H$573) + (ROW()-ROW($H$573))), INDEX($H$555:$O$555,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86">
        <f t="shared" si="35"/>
        <v>0</v>
      </c>
      <c r="N575" s="186">
        <f t="shared" si="35"/>
        <v>0</v>
      </c>
      <c r="O575" s="186">
        <f t="shared" si="35"/>
        <v>0</v>
      </c>
      <c r="P575" s="1"/>
      <c r="Q575" s="1"/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O576" si="36">IF(COLUMN() &lt; (COLUMN($H$573) + (ROW()-ROW($H$573))), 0, IF(COLUMN() = (COLUMN($H$573) + (ROW()-ROW($H$573))), INDEX($H$555:$O$555,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86">
        <f t="shared" si="36"/>
        <v>0</v>
      </c>
      <c r="N576" s="186">
        <f t="shared" si="36"/>
        <v>0</v>
      </c>
      <c r="O576" s="186">
        <f t="shared" si="36"/>
        <v>0</v>
      </c>
      <c r="P576" s="1"/>
      <c r="Q576" s="1"/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O577" si="37">IF(COLUMN() &lt; (COLUMN($H$573) + (ROW()-ROW($H$573))), 0, IF(COLUMN() = (COLUMN($H$573) + (ROW()-ROW($H$573))), INDEX($H$555:$O$555,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86">
        <f t="shared" si="37"/>
        <v>0</v>
      </c>
      <c r="N577" s="186">
        <f t="shared" si="37"/>
        <v>0</v>
      </c>
      <c r="O577" s="186">
        <f t="shared" si="37"/>
        <v>0</v>
      </c>
      <c r="P577" s="1"/>
      <c r="Q577" s="1"/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O578" si="38">IF(COLUMN() &lt; (COLUMN($H$573) + (ROW()-ROW($H$573))), 0, IF(COLUMN() = (COLUMN($H$573) + (ROW()-ROW($H$573))), INDEX($H$555:$O$555,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86">
        <f t="shared" si="38"/>
        <v>0</v>
      </c>
      <c r="N578" s="186">
        <f t="shared" si="38"/>
        <v>0</v>
      </c>
      <c r="O578" s="186">
        <f t="shared" si="38"/>
        <v>0</v>
      </c>
      <c r="P578" s="1"/>
      <c r="Q578" s="1"/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O579" si="39">IF(COLUMN() &lt; (COLUMN($H$573) + (ROW()-ROW($H$573))), 0, IF(COLUMN() = (COLUMN($H$573) + (ROW()-ROW($H$573))), INDEX($H$555:$O$555,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86">
        <f t="shared" si="39"/>
        <v>0</v>
      </c>
      <c r="N579" s="186">
        <f t="shared" si="39"/>
        <v>0</v>
      </c>
      <c r="O579" s="186">
        <f t="shared" si="39"/>
        <v>0</v>
      </c>
      <c r="P579" s="1"/>
      <c r="Q579" s="1"/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O580" si="40">IF(COLUMN() &lt; (COLUMN($H$573) + (ROW()-ROW($H$573))), 0, IF(COLUMN() = (COLUMN($H$573) + (ROW()-ROW($H$573))), INDEX($H$555:$O$555,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86">
        <f t="shared" si="40"/>
        <v>0</v>
      </c>
      <c r="N580" s="186">
        <f t="shared" si="40"/>
        <v>0</v>
      </c>
      <c r="O580" s="186">
        <f t="shared" si="40"/>
        <v>0</v>
      </c>
      <c r="P580" s="1"/>
      <c r="Q580" s="1"/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O581" si="41">IF(COLUMN() &lt; (COLUMN($H$573) + (ROW()-ROW($H$573))), 0, IF(COLUMN() = (COLUMN($H$573) + (ROW()-ROW($H$573))), INDEX($H$555:$O$555,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86">
        <f t="shared" si="41"/>
        <v>0</v>
      </c>
      <c r="N581" s="186">
        <f t="shared" si="41"/>
        <v>0</v>
      </c>
      <c r="O581" s="186">
        <f t="shared" si="41"/>
        <v>0</v>
      </c>
      <c r="P581" s="1"/>
      <c r="Q581" s="1"/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O582" si="42">IF(COLUMN() &lt; (COLUMN($H$573) + (ROW()-ROW($H$573))), 0, IF(COLUMN() = (COLUMN($H$573) + (ROW()-ROW($H$573))), INDEX($H$555:$O$555,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86">
        <f t="shared" si="42"/>
        <v>0</v>
      </c>
      <c r="N582" s="186">
        <f t="shared" si="42"/>
        <v>0</v>
      </c>
      <c r="O582" s="186">
        <f t="shared" si="42"/>
        <v>0</v>
      </c>
      <c r="P582" s="1"/>
      <c r="Q582" s="1"/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O583" si="43">IF(COLUMN() &lt; (COLUMN($H$573) + (ROW()-ROW($H$573))), 0, IF(COLUMN() = (COLUMN($H$573) + (ROW()-ROW($H$573))), INDEX($H$555:$O$555,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86">
        <f t="shared" si="43"/>
        <v>0</v>
      </c>
      <c r="N583" s="186">
        <f t="shared" si="43"/>
        <v>0</v>
      </c>
      <c r="O583" s="186">
        <f t="shared" si="43"/>
        <v>0</v>
      </c>
      <c r="P583" s="1"/>
      <c r="Q583" s="1"/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O584" si="44">IF(COLUMN() &lt; (COLUMN($H$573) + (ROW()-ROW($H$573))), 0, IF(COLUMN() = (COLUMN($H$573) + (ROW()-ROW($H$573))), INDEX($H$555:$O$555,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86">
        <f t="shared" si="44"/>
        <v>0</v>
      </c>
      <c r="N584" s="186">
        <f t="shared" si="44"/>
        <v>0</v>
      </c>
      <c r="O584" s="186">
        <f t="shared" si="44"/>
        <v>0</v>
      </c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55"/>
      <c r="N585" s="155"/>
      <c r="O585" s="155"/>
      <c r="P585" s="1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84"/>
      <c r="N586" s="184"/>
      <c r="O586" s="184"/>
      <c r="P586" s="1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O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70">
        <f t="shared" si="45"/>
        <v>0</v>
      </c>
      <c r="N587" s="170">
        <f t="shared" si="45"/>
        <v>0</v>
      </c>
      <c r="O587" s="170">
        <f t="shared" si="45"/>
        <v>0</v>
      </c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O588" si="46">H434</f>
        <v>943950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84" t="str">
        <f t="shared" si="46"/>
        <v/>
      </c>
      <c r="N588" s="184" t="str">
        <f t="shared" si="46"/>
        <v/>
      </c>
      <c r="O588" s="184" t="str">
        <f t="shared" si="46"/>
        <v/>
      </c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O589" si="47">SUM(H587:H588)</f>
        <v>943950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84">
        <f t="shared" si="47"/>
        <v>0</v>
      </c>
      <c r="N589" s="184">
        <f t="shared" si="47"/>
        <v>0</v>
      </c>
      <c r="O589" s="184">
        <f t="shared" si="47"/>
        <v>0</v>
      </c>
      <c r="P589" s="1"/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86"/>
      <c r="N590" s="186"/>
      <c r="O590" s="186"/>
      <c r="P590" s="1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O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86">
        <f t="shared" si="48"/>
        <v>5</v>
      </c>
      <c r="N591" s="186">
        <f t="shared" si="48"/>
        <v>4</v>
      </c>
      <c r="O591" s="186">
        <f t="shared" si="48"/>
        <v>3</v>
      </c>
      <c r="P591" s="1"/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O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86">
        <f t="shared" si="49"/>
        <v>6</v>
      </c>
      <c r="N592" s="186">
        <f t="shared" si="49"/>
        <v>5</v>
      </c>
      <c r="O592" s="186">
        <f t="shared" si="49"/>
        <v>4</v>
      </c>
      <c r="P592" s="1"/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O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86">
        <f t="shared" si="50"/>
        <v>7</v>
      </c>
      <c r="N593" s="186">
        <f t="shared" si="50"/>
        <v>6</v>
      </c>
      <c r="O593" s="186">
        <f t="shared" si="50"/>
        <v>5</v>
      </c>
      <c r="P593" s="1"/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O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86">
        <f t="shared" si="51"/>
        <v>8</v>
      </c>
      <c r="N594" s="186">
        <f t="shared" si="51"/>
        <v>7</v>
      </c>
      <c r="O594" s="186">
        <f t="shared" si="51"/>
        <v>6</v>
      </c>
      <c r="P594" s="1"/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O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86">
        <f t="shared" si="52"/>
        <v>9</v>
      </c>
      <c r="N595" s="186">
        <f t="shared" si="52"/>
        <v>8</v>
      </c>
      <c r="O595" s="186">
        <f t="shared" si="52"/>
        <v>7</v>
      </c>
      <c r="P595" s="1"/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O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86">
        <f t="shared" si="53"/>
        <v>10</v>
      </c>
      <c r="N596" s="186">
        <f t="shared" si="53"/>
        <v>9</v>
      </c>
      <c r="O596" s="186">
        <f t="shared" si="53"/>
        <v>8</v>
      </c>
      <c r="P596" s="1"/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O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86">
        <f t="shared" si="54"/>
        <v>0</v>
      </c>
      <c r="N597" s="186">
        <f t="shared" si="54"/>
        <v>10</v>
      </c>
      <c r="O597" s="186">
        <f t="shared" si="54"/>
        <v>9</v>
      </c>
      <c r="P597" s="1"/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O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86">
        <f t="shared" si="55"/>
        <v>0</v>
      </c>
      <c r="N598" s="186">
        <f t="shared" si="55"/>
        <v>0</v>
      </c>
      <c r="O598" s="186">
        <f t="shared" si="55"/>
        <v>10</v>
      </c>
      <c r="P598" s="1"/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O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86">
        <f t="shared" si="56"/>
        <v>0</v>
      </c>
      <c r="N599" s="186">
        <f t="shared" si="56"/>
        <v>0</v>
      </c>
      <c r="O599" s="186">
        <f t="shared" si="56"/>
        <v>0</v>
      </c>
      <c r="P599" s="1"/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O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86">
        <f t="shared" si="57"/>
        <v>0</v>
      </c>
      <c r="N600" s="186">
        <f t="shared" si="57"/>
        <v>0</v>
      </c>
      <c r="O600" s="186">
        <f t="shared" si="57"/>
        <v>0</v>
      </c>
      <c r="P600" s="1"/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O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86">
        <f t="shared" si="58"/>
        <v>0</v>
      </c>
      <c r="N601" s="186">
        <f t="shared" si="58"/>
        <v>0</v>
      </c>
      <c r="O601" s="186">
        <f t="shared" si="58"/>
        <v>0</v>
      </c>
      <c r="P601" s="1"/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O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86">
        <f t="shared" si="59"/>
        <v>0</v>
      </c>
      <c r="N602" s="186">
        <f t="shared" si="59"/>
        <v>0</v>
      </c>
      <c r="O602" s="186">
        <f t="shared" si="59"/>
        <v>0</v>
      </c>
      <c r="P602" s="1"/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86"/>
      <c r="N603" s="186"/>
      <c r="O603" s="186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55"/>
      <c r="N604" s="155"/>
      <c r="O604" s="155"/>
      <c r="P604" s="1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O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84">
        <f t="shared" si="60"/>
        <v>0</v>
      </c>
      <c r="N605" s="184">
        <f t="shared" si="60"/>
        <v>0</v>
      </c>
      <c r="O605" s="184">
        <f t="shared" si="60"/>
        <v>0</v>
      </c>
      <c r="P605" s="1"/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O606" si="61">SUM(H607:H618)</f>
        <v>943950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84">
        <f t="shared" si="61"/>
        <v>0</v>
      </c>
      <c r="N606" s="184">
        <f t="shared" si="61"/>
        <v>0</v>
      </c>
      <c r="O606" s="184">
        <f t="shared" si="61"/>
        <v>0</v>
      </c>
      <c r="P606" s="1"/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O607" si="62">IF(COLUMN() &lt; (COLUMN($H$607) + (ROW()-ROW($H$607))), 0, IF(COLUMN() = (COLUMN($H$607) + (ROW()-ROW($H$607))), INDEX($H$589:$O$589, 1, COLUMN()-COLUMN($H$589)+1), IF(H591=0, OFFSET(H607, 0, -$H$590) * $H$604, 0)))</f>
        <v>943950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86">
        <f t="shared" si="62"/>
        <v>0</v>
      </c>
      <c r="N607" s="186">
        <f t="shared" si="62"/>
        <v>0</v>
      </c>
      <c r="O607" s="186">
        <f t="shared" si="62"/>
        <v>0</v>
      </c>
      <c r="P607" s="1"/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O608" si="63">IF(COLUMN() &lt; (COLUMN($H$607) + (ROW()-ROW($H$607))), 0, IF(COLUMN() = (COLUMN($H$607) + (ROW()-ROW($H$607))), INDEX($H$589:$O$589,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86">
        <f t="shared" si="63"/>
        <v>0</v>
      </c>
      <c r="N608" s="186">
        <f t="shared" si="63"/>
        <v>0</v>
      </c>
      <c r="O608" s="186">
        <f t="shared" si="63"/>
        <v>0</v>
      </c>
      <c r="P608" s="1"/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O609" si="64">IF(COLUMN() &lt; (COLUMN($H$607) + (ROW()-ROW($H$607))), 0, IF(COLUMN() = (COLUMN($H$607) + (ROW()-ROW($H$607))), INDEX($H$589:$O$589,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86">
        <f t="shared" si="64"/>
        <v>0</v>
      </c>
      <c r="N609" s="186">
        <f t="shared" si="64"/>
        <v>0</v>
      </c>
      <c r="O609" s="186">
        <f t="shared" si="64"/>
        <v>0</v>
      </c>
      <c r="P609" s="1"/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O610" si="65">IF(COLUMN() &lt; (COLUMN($H$607) + (ROW()-ROW($H$607))), 0, IF(COLUMN() = (COLUMN($H$607) + (ROW()-ROW($H$607))), INDEX($H$589:$O$589,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86">
        <f t="shared" si="65"/>
        <v>0</v>
      </c>
      <c r="N610" s="186">
        <f t="shared" si="65"/>
        <v>0</v>
      </c>
      <c r="O610" s="186">
        <f t="shared" si="65"/>
        <v>0</v>
      </c>
      <c r="P610" s="1"/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O611" si="66">IF(COLUMN() &lt; (COLUMN($H$607) + (ROW()-ROW($H$607))), 0, IF(COLUMN() = (COLUMN($H$607) + (ROW()-ROW($H$607))), INDEX($H$589:$O$589,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86">
        <f t="shared" si="66"/>
        <v>0</v>
      </c>
      <c r="N611" s="186">
        <f t="shared" si="66"/>
        <v>0</v>
      </c>
      <c r="O611" s="186">
        <f t="shared" si="66"/>
        <v>0</v>
      </c>
      <c r="P611" s="1"/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O612" si="67">IF(COLUMN() &lt; (COLUMN($H$607) + (ROW()-ROW($H$607))), 0, IF(COLUMN() = (COLUMN($H$607) + (ROW()-ROW($H$607))), INDEX($H$589:$O$589,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86">
        <f t="shared" si="67"/>
        <v>0</v>
      </c>
      <c r="N612" s="186">
        <f t="shared" si="67"/>
        <v>0</v>
      </c>
      <c r="O612" s="186">
        <f t="shared" si="67"/>
        <v>0</v>
      </c>
      <c r="P612" s="1"/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O613" si="68">IF(COLUMN() &lt; (COLUMN($H$607) + (ROW()-ROW($H$607))), 0, IF(COLUMN() = (COLUMN($H$607) + (ROW()-ROW($H$607))), INDEX($H$589:$O$589,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86">
        <f t="shared" si="68"/>
        <v>0</v>
      </c>
      <c r="N613" s="186">
        <f t="shared" si="68"/>
        <v>0</v>
      </c>
      <c r="O613" s="186">
        <f t="shared" si="68"/>
        <v>0</v>
      </c>
      <c r="P613" s="1"/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O614" si="69">IF(COLUMN() &lt; (COLUMN($H$607) + (ROW()-ROW($H$607))), 0, IF(COLUMN() = (COLUMN($H$607) + (ROW()-ROW($H$607))), INDEX($H$589:$O$589,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86">
        <f t="shared" si="69"/>
        <v>0</v>
      </c>
      <c r="N614" s="186">
        <f t="shared" si="69"/>
        <v>0</v>
      </c>
      <c r="O614" s="186">
        <f t="shared" si="69"/>
        <v>0</v>
      </c>
      <c r="P614" s="1"/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O615" si="70">IF(COLUMN() &lt; (COLUMN($H$607) + (ROW()-ROW($H$607))), 0, IF(COLUMN() = (COLUMN($H$607) + (ROW()-ROW($H$607))), INDEX($H$589:$O$589,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86">
        <f t="shared" si="70"/>
        <v>0</v>
      </c>
      <c r="N615" s="186">
        <f t="shared" si="70"/>
        <v>0</v>
      </c>
      <c r="O615" s="186">
        <f t="shared" si="70"/>
        <v>0</v>
      </c>
      <c r="P615" s="1"/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O616" si="71">IF(COLUMN() &lt; (COLUMN($H$607) + (ROW()-ROW($H$607))), 0, IF(COLUMN() = (COLUMN($H$607) + (ROW()-ROW($H$607))), INDEX($H$589:$O$589,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86">
        <f t="shared" si="71"/>
        <v>0</v>
      </c>
      <c r="N616" s="186">
        <f t="shared" si="71"/>
        <v>0</v>
      </c>
      <c r="O616" s="186">
        <f t="shared" si="71"/>
        <v>0</v>
      </c>
      <c r="P616" s="1"/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O617" si="72">IF(COLUMN() &lt; (COLUMN($H$607) + (ROW()-ROW($H$607))), 0, IF(COLUMN() = (COLUMN($H$607) + (ROW()-ROW($H$607))), INDEX($H$589:$O$589,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86">
        <f t="shared" si="72"/>
        <v>0</v>
      </c>
      <c r="N617" s="186">
        <f t="shared" si="72"/>
        <v>0</v>
      </c>
      <c r="O617" s="186">
        <f t="shared" si="72"/>
        <v>0</v>
      </c>
      <c r="P617" s="1"/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O618" si="73">IF(COLUMN() &lt; (COLUMN($H$607) + (ROW()-ROW($H$607))), 0, IF(COLUMN() = (COLUMN($H$607) + (ROW()-ROW($H$607))), INDEX($H$589:$O$589,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86">
        <f t="shared" si="73"/>
        <v>0</v>
      </c>
      <c r="N618" s="186">
        <f t="shared" si="73"/>
        <v>0</v>
      </c>
      <c r="O618" s="186">
        <f t="shared" si="73"/>
        <v>0</v>
      </c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55"/>
      <c r="N619" s="155"/>
      <c r="O619" s="155"/>
      <c r="P619" s="1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84"/>
      <c r="N620" s="184"/>
      <c r="O620" s="184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O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86">
        <f t="shared" si="74"/>
        <v>3</v>
      </c>
      <c r="N621" s="186">
        <f t="shared" si="74"/>
        <v>3</v>
      </c>
      <c r="O621" s="186">
        <f t="shared" si="74"/>
        <v>3</v>
      </c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O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84">
        <f t="shared" si="75"/>
        <v>7247.295</v>
      </c>
      <c r="N622" s="184">
        <f t="shared" si="75"/>
        <v>7972.0245</v>
      </c>
      <c r="O622" s="184">
        <f t="shared" si="75"/>
        <v>8769.22695</v>
      </c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55">
        <v>1.1</v>
      </c>
      <c r="N623" s="155">
        <v>1.1</v>
      </c>
      <c r="O623" s="155">
        <v>1.1</v>
      </c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O624" si="76">H621*H622</f>
        <v>13500</v>
      </c>
      <c r="I624" s="184">
        <f t="shared" si="76"/>
        <v>14850</v>
      </c>
      <c r="J624" s="184">
        <f t="shared" si="76"/>
        <v>16335</v>
      </c>
      <c r="K624" s="184">
        <f t="shared" si="76"/>
        <v>17968.5</v>
      </c>
      <c r="L624" s="184">
        <f t="shared" si="76"/>
        <v>19765.35</v>
      </c>
      <c r="M624" s="184">
        <f t="shared" si="76"/>
        <v>21741.885</v>
      </c>
      <c r="N624" s="184">
        <f t="shared" si="76"/>
        <v>23916.0735</v>
      </c>
      <c r="O624" s="184">
        <f t="shared" si="76"/>
        <v>26307.68085</v>
      </c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63"/>
      <c r="N625" s="163"/>
      <c r="O625" s="163"/>
      <c r="P625" s="1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83"/>
      <c r="N626" s="183"/>
      <c r="O626" s="183"/>
      <c r="P626" s="136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84"/>
      <c r="N627" s="184"/>
      <c r="O627" s="184"/>
      <c r="P627" s="1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O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16000</v>
      </c>
      <c r="K628" s="178">
        <f t="shared" si="77"/>
        <v>0</v>
      </c>
      <c r="L628" s="178">
        <f t="shared" si="77"/>
        <v>0</v>
      </c>
      <c r="M628" s="178">
        <f t="shared" si="77"/>
        <v>56000</v>
      </c>
      <c r="N628" s="178">
        <f t="shared" si="77"/>
        <v>0</v>
      </c>
      <c r="O628" s="178">
        <f t="shared" si="77"/>
        <v>0</v>
      </c>
      <c r="P628" s="1"/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O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84" t="str">
        <f t="shared" si="78"/>
        <v/>
      </c>
      <c r="N629" s="184" t="str">
        <f t="shared" si="78"/>
        <v/>
      </c>
      <c r="O629" s="184" t="str">
        <f t="shared" si="78"/>
        <v/>
      </c>
      <c r="P629" s="1"/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O630" si="79">SUM(H628:H629)</f>
        <v>0</v>
      </c>
      <c r="I630" s="184">
        <f t="shared" si="79"/>
        <v>0</v>
      </c>
      <c r="J630" s="184">
        <f t="shared" si="79"/>
        <v>16000</v>
      </c>
      <c r="K630" s="184">
        <f t="shared" si="79"/>
        <v>0</v>
      </c>
      <c r="L630" s="184">
        <f t="shared" si="79"/>
        <v>0</v>
      </c>
      <c r="M630" s="184">
        <f t="shared" si="79"/>
        <v>56000</v>
      </c>
      <c r="N630" s="184">
        <f t="shared" si="79"/>
        <v>0</v>
      </c>
      <c r="O630" s="184">
        <f t="shared" si="79"/>
        <v>0</v>
      </c>
      <c r="P630" s="1"/>
      <c r="Q630" s="1"/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86"/>
      <c r="N631" s="186"/>
      <c r="O631" s="186"/>
      <c r="P631" s="1"/>
      <c r="Q631" s="1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O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86">
        <f t="shared" si="80"/>
        <v>1</v>
      </c>
      <c r="N632" s="186">
        <f t="shared" si="80"/>
        <v>0</v>
      </c>
      <c r="O632" s="186">
        <f t="shared" si="80"/>
        <v>1</v>
      </c>
      <c r="P632" s="1"/>
      <c r="Q632" s="1"/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O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86">
        <f t="shared" si="81"/>
        <v>0</v>
      </c>
      <c r="N633" s="186">
        <f t="shared" si="81"/>
        <v>1</v>
      </c>
      <c r="O633" s="186">
        <f t="shared" si="81"/>
        <v>0</v>
      </c>
      <c r="P633" s="1"/>
      <c r="Q633" s="1"/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O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86">
        <f t="shared" si="82"/>
        <v>1</v>
      </c>
      <c r="N634" s="186">
        <f t="shared" si="82"/>
        <v>0</v>
      </c>
      <c r="O634" s="186">
        <f t="shared" si="82"/>
        <v>1</v>
      </c>
      <c r="P634" s="1"/>
      <c r="Q634" s="1"/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O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86">
        <f t="shared" si="83"/>
        <v>0</v>
      </c>
      <c r="N635" s="186">
        <f t="shared" si="83"/>
        <v>1</v>
      </c>
      <c r="O635" s="186">
        <f t="shared" si="83"/>
        <v>0</v>
      </c>
      <c r="P635" s="1"/>
      <c r="Q635" s="1"/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O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86">
        <f t="shared" si="84"/>
        <v>1</v>
      </c>
      <c r="N636" s="186">
        <f t="shared" si="84"/>
        <v>0</v>
      </c>
      <c r="O636" s="186">
        <f t="shared" si="84"/>
        <v>1</v>
      </c>
      <c r="P636" s="1"/>
      <c r="Q636" s="1"/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O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86">
        <f t="shared" si="85"/>
        <v>2</v>
      </c>
      <c r="N637" s="186">
        <f t="shared" si="85"/>
        <v>1</v>
      </c>
      <c r="O637" s="186">
        <f t="shared" si="85"/>
        <v>0</v>
      </c>
      <c r="P637" s="1"/>
      <c r="Q637" s="1"/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O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86">
        <f t="shared" si="86"/>
        <v>0</v>
      </c>
      <c r="N638" s="186">
        <f t="shared" si="86"/>
        <v>2</v>
      </c>
      <c r="O638" s="186">
        <f t="shared" si="86"/>
        <v>1</v>
      </c>
      <c r="P638" s="1"/>
      <c r="Q638" s="1"/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O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86">
        <f t="shared" si="87"/>
        <v>0</v>
      </c>
      <c r="N639" s="186">
        <f t="shared" si="87"/>
        <v>0</v>
      </c>
      <c r="O639" s="186">
        <f t="shared" si="87"/>
        <v>2</v>
      </c>
      <c r="P639" s="1"/>
      <c r="Q639" s="1"/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O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86">
        <f t="shared" si="88"/>
        <v>0</v>
      </c>
      <c r="N640" s="186">
        <f t="shared" si="88"/>
        <v>0</v>
      </c>
      <c r="O640" s="186">
        <f t="shared" si="88"/>
        <v>0</v>
      </c>
      <c r="P640" s="1"/>
      <c r="Q640" s="1"/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O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86">
        <f t="shared" si="89"/>
        <v>0</v>
      </c>
      <c r="N641" s="186">
        <f t="shared" si="89"/>
        <v>0</v>
      </c>
      <c r="O641" s="186">
        <f t="shared" si="89"/>
        <v>0</v>
      </c>
      <c r="P641" s="1"/>
      <c r="Q641" s="1"/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O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86">
        <f t="shared" si="90"/>
        <v>0</v>
      </c>
      <c r="N642" s="186">
        <f t="shared" si="90"/>
        <v>0</v>
      </c>
      <c r="O642" s="186">
        <f t="shared" si="90"/>
        <v>0</v>
      </c>
      <c r="P642" s="1"/>
      <c r="Q642" s="1"/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O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86">
        <f t="shared" si="91"/>
        <v>0</v>
      </c>
      <c r="N643" s="186">
        <f t="shared" si="91"/>
        <v>0</v>
      </c>
      <c r="O643" s="186">
        <f t="shared" si="91"/>
        <v>0</v>
      </c>
      <c r="P643" s="1"/>
      <c r="Q643" s="1"/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86"/>
      <c r="N644" s="186"/>
      <c r="O644" s="186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55">
        <v>0.8</v>
      </c>
      <c r="N645" s="155">
        <v>0.8</v>
      </c>
      <c r="O645" s="155">
        <v>0.8</v>
      </c>
      <c r="P645" s="1"/>
      <c r="Q645" s="1"/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O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12800</v>
      </c>
      <c r="M646" s="184">
        <f t="shared" si="92"/>
        <v>0</v>
      </c>
      <c r="N646" s="184">
        <f t="shared" si="92"/>
        <v>10240</v>
      </c>
      <c r="O646" s="184">
        <f t="shared" si="92"/>
        <v>44800</v>
      </c>
      <c r="P646" s="1"/>
      <c r="Q646" s="1"/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O647" si="93">SUM(H648:H659)</f>
        <v>0</v>
      </c>
      <c r="I647" s="184">
        <f t="shared" si="93"/>
        <v>0</v>
      </c>
      <c r="J647" s="184">
        <f t="shared" si="93"/>
        <v>16000</v>
      </c>
      <c r="K647" s="184">
        <f t="shared" si="93"/>
        <v>0</v>
      </c>
      <c r="L647" s="184">
        <f t="shared" si="93"/>
        <v>12800</v>
      </c>
      <c r="M647" s="184">
        <f t="shared" si="93"/>
        <v>56000</v>
      </c>
      <c r="N647" s="184">
        <f t="shared" si="93"/>
        <v>10240</v>
      </c>
      <c r="O647" s="184">
        <f t="shared" si="93"/>
        <v>44800</v>
      </c>
      <c r="P647" s="1"/>
      <c r="Q647" s="1"/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O648" si="94">IF(COLUMN() &lt; (COLUMN($H$648) + (ROW()-ROW($H$648))), 0, IF(COLUMN() = (COLUMN($H$648) + (ROW()-ROW($H$648))), INDEX($H$630:$O$630,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86">
        <f t="shared" si="94"/>
        <v>0</v>
      </c>
      <c r="N648" s="186">
        <f t="shared" si="94"/>
        <v>0</v>
      </c>
      <c r="O648" s="186">
        <f t="shared" si="94"/>
        <v>0</v>
      </c>
      <c r="P648" s="1"/>
      <c r="Q648" s="1"/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O649" si="95">IF(COLUMN() &lt; (COLUMN($H$648) + (ROW()-ROW($H$648))), 0, IF(COLUMN() = (COLUMN($H$648) + (ROW()-ROW($H$648))), INDEX($H$630:$O$630,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86">
        <f t="shared" si="95"/>
        <v>0</v>
      </c>
      <c r="N649" s="186">
        <f t="shared" si="95"/>
        <v>0</v>
      </c>
      <c r="O649" s="186">
        <f t="shared" si="95"/>
        <v>0</v>
      </c>
      <c r="P649" s="1"/>
      <c r="Q649" s="1"/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O650" si="96">IF(COLUMN() &lt; (COLUMN($H$648) + (ROW()-ROW($H$648))), 0, IF(COLUMN() = (COLUMN($H$648) + (ROW()-ROW($H$648))), INDEX($H$630:$O$630, 1, COLUMN()-COLUMN($H$630)+1), IF(H634=0, OFFSET(H650, 0, -$H$631) * $H$645, 0)))</f>
        <v>0</v>
      </c>
      <c r="I650" s="186">
        <f t="shared" si="96"/>
        <v>0</v>
      </c>
      <c r="J650" s="186">
        <f t="shared" si="96"/>
        <v>16000</v>
      </c>
      <c r="K650" s="186">
        <f t="shared" si="96"/>
        <v>0</v>
      </c>
      <c r="L650" s="186">
        <f t="shared" si="96"/>
        <v>12800</v>
      </c>
      <c r="M650" s="186">
        <f t="shared" si="96"/>
        <v>0</v>
      </c>
      <c r="N650" s="186">
        <f t="shared" si="96"/>
        <v>10240</v>
      </c>
      <c r="O650" s="186">
        <f t="shared" si="96"/>
        <v>0</v>
      </c>
      <c r="P650" s="1"/>
      <c r="Q650" s="1"/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O651" si="97">IF(COLUMN() &lt; (COLUMN($H$648) + (ROW()-ROW($H$648))), 0, IF(COLUMN() = (COLUMN($H$648) + (ROW()-ROW($H$648))), INDEX($H$630:$O$630,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86">
        <f t="shared" si="97"/>
        <v>0</v>
      </c>
      <c r="N651" s="186">
        <f t="shared" si="97"/>
        <v>0</v>
      </c>
      <c r="O651" s="186">
        <f t="shared" si="97"/>
        <v>0</v>
      </c>
      <c r="P651" s="1"/>
      <c r="Q651" s="1"/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O652" si="98">IF(COLUMN() &lt; (COLUMN($H$648) + (ROW()-ROW($H$648))), 0, IF(COLUMN() = (COLUMN($H$648) + (ROW()-ROW($H$648))), INDEX($H$630:$O$630,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86">
        <f t="shared" si="98"/>
        <v>0</v>
      </c>
      <c r="N652" s="186">
        <f t="shared" si="98"/>
        <v>0</v>
      </c>
      <c r="O652" s="186">
        <f t="shared" si="98"/>
        <v>0</v>
      </c>
      <c r="P652" s="1"/>
      <c r="Q652" s="1"/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O653" si="99">IF(COLUMN() &lt; (COLUMN($H$648) + (ROW()-ROW($H$648))), 0, IF(COLUMN() = (COLUMN($H$648) + (ROW()-ROW($H$648))), INDEX($H$630:$O$630,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86">
        <f t="shared" si="99"/>
        <v>56000</v>
      </c>
      <c r="N653" s="186">
        <f t="shared" si="99"/>
        <v>0</v>
      </c>
      <c r="O653" s="186">
        <f t="shared" si="99"/>
        <v>44800</v>
      </c>
      <c r="P653" s="1"/>
      <c r="Q653" s="1"/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O654" si="100">IF(COLUMN() &lt; (COLUMN($H$648) + (ROW()-ROW($H$648))), 0, IF(COLUMN() = (COLUMN($H$648) + (ROW()-ROW($H$648))), INDEX($H$630:$O$630,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86">
        <f t="shared" si="100"/>
        <v>0</v>
      </c>
      <c r="N654" s="186">
        <f t="shared" si="100"/>
        <v>0</v>
      </c>
      <c r="O654" s="186">
        <f t="shared" si="100"/>
        <v>0</v>
      </c>
      <c r="P654" s="1"/>
      <c r="Q654" s="1"/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O655" si="101">IF(COLUMN() &lt; (COLUMN($H$648) + (ROW()-ROW($H$648))), 0, IF(COLUMN() = (COLUMN($H$648) + (ROW()-ROW($H$648))), INDEX($H$630:$O$630,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86">
        <f t="shared" si="101"/>
        <v>0</v>
      </c>
      <c r="N655" s="186">
        <f t="shared" si="101"/>
        <v>0</v>
      </c>
      <c r="O655" s="186">
        <f t="shared" si="101"/>
        <v>0</v>
      </c>
      <c r="P655" s="1"/>
      <c r="Q655" s="1"/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O656" si="102">IF(COLUMN() &lt; (COLUMN($H$648) + (ROW()-ROW($H$648))), 0, IF(COLUMN() = (COLUMN($H$648) + (ROW()-ROW($H$648))), INDEX($H$630:$O$630,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86">
        <f t="shared" si="102"/>
        <v>0</v>
      </c>
      <c r="N656" s="186">
        <f t="shared" si="102"/>
        <v>0</v>
      </c>
      <c r="O656" s="186">
        <f t="shared" si="102"/>
        <v>0</v>
      </c>
      <c r="P656" s="1"/>
      <c r="Q656" s="1"/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O657" si="103">IF(COLUMN() &lt; (COLUMN($H$648) + (ROW()-ROW($H$648))), 0, IF(COLUMN() = (COLUMN($H$648) + (ROW()-ROW($H$648))), INDEX($H$630:$O$630,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86">
        <f t="shared" si="103"/>
        <v>0</v>
      </c>
      <c r="N657" s="186">
        <f t="shared" si="103"/>
        <v>0</v>
      </c>
      <c r="O657" s="186">
        <f t="shared" si="103"/>
        <v>0</v>
      </c>
      <c r="P657" s="1"/>
      <c r="Q657" s="1"/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O658" si="104">IF(COLUMN() &lt; (COLUMN($H$648) + (ROW()-ROW($H$648))), 0, IF(COLUMN() = (COLUMN($H$648) + (ROW()-ROW($H$648))), INDEX($H$630:$O$630,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86">
        <f t="shared" si="104"/>
        <v>0</v>
      </c>
      <c r="N658" s="186">
        <f t="shared" si="104"/>
        <v>0</v>
      </c>
      <c r="O658" s="186">
        <f t="shared" si="104"/>
        <v>0</v>
      </c>
      <c r="P658" s="1"/>
      <c r="Q658" s="1"/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O659" si="105">IF(COLUMN() &lt; (COLUMN($H$648) + (ROW()-ROW($H$648))), 0, IF(COLUMN() = (COLUMN($H$648) + (ROW()-ROW($H$648))), INDEX($H$630:$O$630,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86">
        <f t="shared" si="105"/>
        <v>0</v>
      </c>
      <c r="N659" s="186">
        <f t="shared" si="105"/>
        <v>0</v>
      </c>
      <c r="O659" s="186">
        <f t="shared" si="105"/>
        <v>0</v>
      </c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55"/>
      <c r="N660" s="155"/>
      <c r="O660" s="155"/>
      <c r="P660" s="1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84"/>
      <c r="N661" s="184"/>
      <c r="O661" s="184"/>
      <c r="P661" s="1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O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144000</v>
      </c>
      <c r="K662" s="178">
        <f t="shared" si="106"/>
        <v>0</v>
      </c>
      <c r="L662" s="178">
        <f t="shared" si="106"/>
        <v>0</v>
      </c>
      <c r="M662" s="178">
        <f t="shared" si="106"/>
        <v>360000</v>
      </c>
      <c r="N662" s="178">
        <f t="shared" si="106"/>
        <v>0</v>
      </c>
      <c r="O662" s="178">
        <f t="shared" si="106"/>
        <v>0</v>
      </c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O663" si="107">H460</f>
        <v>920700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84" t="str">
        <f t="shared" si="107"/>
        <v/>
      </c>
      <c r="N663" s="184" t="str">
        <f t="shared" si="107"/>
        <v/>
      </c>
      <c r="O663" s="184" t="str">
        <f t="shared" si="107"/>
        <v/>
      </c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O664" si="108">SUM(H662:H663)</f>
        <v>920700</v>
      </c>
      <c r="I664" s="184">
        <f t="shared" si="108"/>
        <v>0</v>
      </c>
      <c r="J664" s="184">
        <f t="shared" si="108"/>
        <v>144000</v>
      </c>
      <c r="K664" s="184">
        <f t="shared" si="108"/>
        <v>0</v>
      </c>
      <c r="L664" s="184">
        <f t="shared" si="108"/>
        <v>0</v>
      </c>
      <c r="M664" s="184">
        <f t="shared" si="108"/>
        <v>360000</v>
      </c>
      <c r="N664" s="184">
        <f t="shared" si="108"/>
        <v>0</v>
      </c>
      <c r="O664" s="184">
        <f t="shared" si="108"/>
        <v>0</v>
      </c>
      <c r="P664" s="1"/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86"/>
      <c r="N665" s="186"/>
      <c r="O665" s="186"/>
      <c r="P665" s="1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O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86">
        <f t="shared" si="109"/>
        <v>4</v>
      </c>
      <c r="N666" s="186">
        <f t="shared" si="109"/>
        <v>3</v>
      </c>
      <c r="O666" s="186">
        <f t="shared" si="109"/>
        <v>2</v>
      </c>
      <c r="P666" s="1"/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O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86">
        <f t="shared" si="110"/>
        <v>5</v>
      </c>
      <c r="N667" s="186">
        <f t="shared" si="110"/>
        <v>4</v>
      </c>
      <c r="O667" s="186">
        <f t="shared" si="110"/>
        <v>3</v>
      </c>
      <c r="P667" s="1"/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O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86">
        <f t="shared" si="111"/>
        <v>6</v>
      </c>
      <c r="N668" s="186">
        <f t="shared" si="111"/>
        <v>5</v>
      </c>
      <c r="O668" s="186">
        <f t="shared" si="111"/>
        <v>4</v>
      </c>
      <c r="P668" s="1"/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O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86">
        <f t="shared" si="112"/>
        <v>7</v>
      </c>
      <c r="N669" s="186">
        <f t="shared" si="112"/>
        <v>6</v>
      </c>
      <c r="O669" s="186">
        <f t="shared" si="112"/>
        <v>5</v>
      </c>
      <c r="P669" s="1"/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O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86">
        <f t="shared" si="113"/>
        <v>8</v>
      </c>
      <c r="N670" s="186">
        <f t="shared" si="113"/>
        <v>7</v>
      </c>
      <c r="O670" s="186">
        <f t="shared" si="113"/>
        <v>6</v>
      </c>
      <c r="P670" s="1"/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O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86">
        <f t="shared" si="114"/>
        <v>9</v>
      </c>
      <c r="N671" s="186">
        <f t="shared" si="114"/>
        <v>8</v>
      </c>
      <c r="O671" s="186">
        <f t="shared" si="114"/>
        <v>7</v>
      </c>
      <c r="P671" s="1"/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O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86">
        <f t="shared" si="115"/>
        <v>0</v>
      </c>
      <c r="N672" s="186">
        <f t="shared" si="115"/>
        <v>9</v>
      </c>
      <c r="O672" s="186">
        <f t="shared" si="115"/>
        <v>8</v>
      </c>
      <c r="P672" s="1"/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O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86">
        <f t="shared" si="116"/>
        <v>0</v>
      </c>
      <c r="N673" s="186">
        <f t="shared" si="116"/>
        <v>0</v>
      </c>
      <c r="O673" s="186">
        <f t="shared" si="116"/>
        <v>9</v>
      </c>
      <c r="P673" s="1"/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O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86">
        <f t="shared" si="117"/>
        <v>0</v>
      </c>
      <c r="N674" s="186">
        <f t="shared" si="117"/>
        <v>0</v>
      </c>
      <c r="O674" s="186">
        <f t="shared" si="117"/>
        <v>0</v>
      </c>
      <c r="P674" s="1"/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O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86">
        <f t="shared" si="118"/>
        <v>0</v>
      </c>
      <c r="N675" s="186">
        <f t="shared" si="118"/>
        <v>0</v>
      </c>
      <c r="O675" s="186">
        <f t="shared" si="118"/>
        <v>0</v>
      </c>
      <c r="P675" s="1"/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O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86">
        <f t="shared" si="119"/>
        <v>0</v>
      </c>
      <c r="N676" s="186">
        <f t="shared" si="119"/>
        <v>0</v>
      </c>
      <c r="O676" s="186">
        <f t="shared" si="119"/>
        <v>0</v>
      </c>
      <c r="P676" s="1"/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O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86">
        <f t="shared" si="120"/>
        <v>0</v>
      </c>
      <c r="N677" s="186">
        <f t="shared" si="120"/>
        <v>0</v>
      </c>
      <c r="O677" s="186">
        <f t="shared" si="120"/>
        <v>0</v>
      </c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55"/>
      <c r="N678" s="155"/>
      <c r="O678" s="155"/>
      <c r="P678" s="1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O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84">
        <f t="shared" si="121"/>
        <v>0</v>
      </c>
      <c r="N679" s="184">
        <f t="shared" si="121"/>
        <v>0</v>
      </c>
      <c r="O679" s="184">
        <f t="shared" si="121"/>
        <v>0</v>
      </c>
      <c r="P679" s="1"/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O680" si="122">SUM(H681:H692)</f>
        <v>920700</v>
      </c>
      <c r="I680" s="184">
        <f t="shared" si="122"/>
        <v>0</v>
      </c>
      <c r="J680" s="184">
        <f t="shared" si="122"/>
        <v>144000</v>
      </c>
      <c r="K680" s="184">
        <f t="shared" si="122"/>
        <v>0</v>
      </c>
      <c r="L680" s="184">
        <f t="shared" si="122"/>
        <v>0</v>
      </c>
      <c r="M680" s="184">
        <f t="shared" si="122"/>
        <v>360000</v>
      </c>
      <c r="N680" s="184">
        <f t="shared" si="122"/>
        <v>0</v>
      </c>
      <c r="O680" s="184">
        <f t="shared" si="122"/>
        <v>0</v>
      </c>
      <c r="P680" s="1"/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O681" si="123">IF(COLUMN() &lt; (COLUMN($H681) + (ROW()-ROW($H$681))), 0, IF(COLUMN() = (COLUMN($H$681) + (ROW()-ROW($H$681))), INDEX($H$664:$O$664, 1, COLUMN()-COLUMN($H$664)+1), IF(H666=0, OFFSET(H681, 0, -$H$665) * $H$678, 0)))</f>
        <v>920700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86">
        <f t="shared" si="123"/>
        <v>0</v>
      </c>
      <c r="N681" s="186">
        <f t="shared" si="123"/>
        <v>0</v>
      </c>
      <c r="O681" s="186">
        <f t="shared" si="123"/>
        <v>0</v>
      </c>
      <c r="P681" s="1"/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O682" si="124">IF(COLUMN() &lt; (COLUMN($H682) + (ROW()-ROW($H$681))), 0, IF(COLUMN() = (COLUMN($H$681) + (ROW()-ROW($H$681))), INDEX($H$664:$O$664,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86">
        <f t="shared" si="124"/>
        <v>0</v>
      </c>
      <c r="N682" s="186">
        <f t="shared" si="124"/>
        <v>0</v>
      </c>
      <c r="O682" s="186">
        <f t="shared" si="124"/>
        <v>0</v>
      </c>
      <c r="P682" s="1"/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O683" si="125">IF(COLUMN() &lt; (COLUMN($H683) + (ROW()-ROW($H$681))), 0, IF(COLUMN() = (COLUMN($H$681) + (ROW()-ROW($H$681))), INDEX($H$664:$O$664, 1, COLUMN()-COLUMN($H$664)+1), IF(H668=0, OFFSET(H683, 0, -$H$665) * $H$678, 0)))</f>
        <v>0</v>
      </c>
      <c r="I683" s="186">
        <f t="shared" si="125"/>
        <v>0</v>
      </c>
      <c r="J683" s="186">
        <f t="shared" si="125"/>
        <v>144000</v>
      </c>
      <c r="K683" s="186">
        <f t="shared" si="125"/>
        <v>0</v>
      </c>
      <c r="L683" s="186">
        <f t="shared" si="125"/>
        <v>0</v>
      </c>
      <c r="M683" s="186">
        <f t="shared" si="125"/>
        <v>0</v>
      </c>
      <c r="N683" s="186">
        <f t="shared" si="125"/>
        <v>0</v>
      </c>
      <c r="O683" s="186">
        <f t="shared" si="125"/>
        <v>0</v>
      </c>
      <c r="P683" s="1"/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O684" si="126">IF(COLUMN() &lt; (COLUMN($H684) + (ROW()-ROW($H$681))), 0, IF(COLUMN() = (COLUMN($H$681) + (ROW()-ROW($H$681))), INDEX($H$664:$O$664,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86">
        <f t="shared" si="126"/>
        <v>0</v>
      </c>
      <c r="N684" s="186">
        <f t="shared" si="126"/>
        <v>0</v>
      </c>
      <c r="O684" s="186">
        <f t="shared" si="126"/>
        <v>0</v>
      </c>
      <c r="P684" s="1"/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O685" si="127">IF(COLUMN() &lt; (COLUMN($H685) + (ROW()-ROW($H$681))), 0, IF(COLUMN() = (COLUMN($H$681) + (ROW()-ROW($H$681))), INDEX($H$664:$O$664,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86">
        <f t="shared" si="127"/>
        <v>0</v>
      </c>
      <c r="N685" s="186">
        <f t="shared" si="127"/>
        <v>0</v>
      </c>
      <c r="O685" s="186">
        <f t="shared" si="127"/>
        <v>0</v>
      </c>
      <c r="P685" s="1"/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O686" si="128">IF(COLUMN() &lt; (COLUMN($H686) + (ROW()-ROW($H$681))), 0, IF(COLUMN() = (COLUMN($H$681) + (ROW()-ROW($H$681))), INDEX($H$664:$O$664,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86">
        <f t="shared" si="128"/>
        <v>360000</v>
      </c>
      <c r="N686" s="186">
        <f t="shared" si="128"/>
        <v>0</v>
      </c>
      <c r="O686" s="186">
        <f t="shared" si="128"/>
        <v>0</v>
      </c>
      <c r="P686" s="1"/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O687" si="129">IF(COLUMN() &lt; (COLUMN($H687) + (ROW()-ROW($H$681))), 0, IF(COLUMN() = (COLUMN($H$681) + (ROW()-ROW($H$681))), INDEX($H$664:$O$664,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86">
        <f t="shared" si="129"/>
        <v>0</v>
      </c>
      <c r="N687" s="186">
        <f t="shared" si="129"/>
        <v>0</v>
      </c>
      <c r="O687" s="186">
        <f t="shared" si="129"/>
        <v>0</v>
      </c>
      <c r="P687" s="1"/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O688" si="130">IF(COLUMN() &lt; (COLUMN($H688) + (ROW()-ROW($H$681))), 0, IF(COLUMN() = (COLUMN($H$681) + (ROW()-ROW($H$681))), INDEX($H$664:$O$664,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86">
        <f t="shared" si="130"/>
        <v>0</v>
      </c>
      <c r="N688" s="186">
        <f t="shared" si="130"/>
        <v>0</v>
      </c>
      <c r="O688" s="186">
        <f t="shared" si="130"/>
        <v>0</v>
      </c>
      <c r="P688" s="1"/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O689" si="131">IF(COLUMN() &lt; (COLUMN($H689) + (ROW()-ROW($H$681))), 0, IF(COLUMN() = (COLUMN($H$681) + (ROW()-ROW($H$681))), INDEX($H$664:$O$664,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86">
        <f t="shared" si="131"/>
        <v>0</v>
      </c>
      <c r="N689" s="186">
        <f t="shared" si="131"/>
        <v>0</v>
      </c>
      <c r="O689" s="186">
        <f t="shared" si="131"/>
        <v>0</v>
      </c>
      <c r="P689" s="1"/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O690" si="132">IF(COLUMN() &lt; (COLUMN($H690) + (ROW()-ROW($H$681))), 0, IF(COLUMN() = (COLUMN($H$681) + (ROW()-ROW($H$681))), INDEX($H$664:$O$664,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86">
        <f t="shared" si="132"/>
        <v>0</v>
      </c>
      <c r="N690" s="186">
        <f t="shared" si="132"/>
        <v>0</v>
      </c>
      <c r="O690" s="186">
        <f t="shared" si="132"/>
        <v>0</v>
      </c>
      <c r="P690" s="1"/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O691" si="133">IF(COLUMN() &lt; (COLUMN($H691) + (ROW()-ROW($H$681))), 0, IF(COLUMN() = (COLUMN($H$681) + (ROW()-ROW($H$681))), INDEX($H$664:$O$664,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86">
        <f t="shared" si="133"/>
        <v>0</v>
      </c>
      <c r="N691" s="186">
        <f t="shared" si="133"/>
        <v>0</v>
      </c>
      <c r="O691" s="186">
        <f t="shared" si="133"/>
        <v>0</v>
      </c>
      <c r="P691" s="1"/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O692" si="134">IF(COLUMN() &lt; (COLUMN($H692) + (ROW()-ROW($H$681))), 0, IF(COLUMN() = (COLUMN($H$681) + (ROW()-ROW($H$681))), INDEX($H$664:$O$664,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86">
        <f t="shared" si="134"/>
        <v>0</v>
      </c>
      <c r="N692" s="186">
        <f t="shared" si="134"/>
        <v>0</v>
      </c>
      <c r="O692" s="186">
        <f t="shared" si="134"/>
        <v>0</v>
      </c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84"/>
      <c r="N693" s="184"/>
      <c r="O693" s="184"/>
      <c r="P693" s="1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O694" si="135">H698</f>
        <v>22500</v>
      </c>
      <c r="I694" s="188">
        <f t="shared" si="135"/>
        <v>24750</v>
      </c>
      <c r="J694" s="188">
        <f t="shared" si="135"/>
        <v>27225</v>
      </c>
      <c r="K694" s="188">
        <f t="shared" si="135"/>
        <v>29947.5</v>
      </c>
      <c r="L694" s="188">
        <f t="shared" si="135"/>
        <v>32942.25</v>
      </c>
      <c r="M694" s="188">
        <f t="shared" si="135"/>
        <v>36236.475</v>
      </c>
      <c r="N694" s="188">
        <f t="shared" si="135"/>
        <v>39860.1225</v>
      </c>
      <c r="O694" s="188">
        <f t="shared" si="135"/>
        <v>43846.13475</v>
      </c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5</v>
      </c>
      <c r="I695" s="190">
        <f t="shared" ref="I695:O695" si="136">H695</f>
        <v>5</v>
      </c>
      <c r="J695" s="190">
        <f t="shared" si="136"/>
        <v>5</v>
      </c>
      <c r="K695" s="190">
        <f t="shared" si="136"/>
        <v>5</v>
      </c>
      <c r="L695" s="190">
        <f t="shared" si="136"/>
        <v>5</v>
      </c>
      <c r="M695" s="190">
        <f t="shared" si="136"/>
        <v>5</v>
      </c>
      <c r="N695" s="190">
        <f t="shared" si="136"/>
        <v>5</v>
      </c>
      <c r="O695" s="190">
        <f t="shared" si="136"/>
        <v>5</v>
      </c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O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88">
        <f t="shared" si="137"/>
        <v>7247.295</v>
      </c>
      <c r="N696" s="188">
        <f t="shared" si="137"/>
        <v>7972.0245</v>
      </c>
      <c r="O696" s="188">
        <f t="shared" si="137"/>
        <v>8769.22695</v>
      </c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54">
        <v>1.1</v>
      </c>
      <c r="N697" s="154">
        <v>1.1</v>
      </c>
      <c r="O697" s="154">
        <v>1.1</v>
      </c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O698" si="138">H695*H696</f>
        <v>22500</v>
      </c>
      <c r="I698" s="188">
        <f t="shared" si="138"/>
        <v>24750</v>
      </c>
      <c r="J698" s="188">
        <f t="shared" si="138"/>
        <v>27225</v>
      </c>
      <c r="K698" s="188">
        <f t="shared" si="138"/>
        <v>29947.5</v>
      </c>
      <c r="L698" s="188">
        <f t="shared" si="138"/>
        <v>32942.25</v>
      </c>
      <c r="M698" s="188">
        <f t="shared" si="138"/>
        <v>36236.475</v>
      </c>
      <c r="N698" s="188">
        <f t="shared" si="138"/>
        <v>39860.1225</v>
      </c>
      <c r="O698" s="188">
        <f t="shared" si="138"/>
        <v>43846.13475</v>
      </c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88"/>
      <c r="N699" s="188"/>
      <c r="O699" s="188"/>
      <c r="P699" s="16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83"/>
      <c r="N700" s="183"/>
      <c r="O700" s="183"/>
      <c r="P700" s="136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84"/>
      <c r="N701" s="184"/>
      <c r="O701" s="184"/>
      <c r="P701" s="1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O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198000</v>
      </c>
      <c r="J702" s="180">
        <f t="shared" si="139"/>
        <v>108000</v>
      </c>
      <c r="K702" s="180">
        <f t="shared" si="139"/>
        <v>102000</v>
      </c>
      <c r="L702" s="180">
        <f t="shared" si="139"/>
        <v>66000</v>
      </c>
      <c r="M702" s="180">
        <f t="shared" si="139"/>
        <v>66000</v>
      </c>
      <c r="N702" s="180">
        <f t="shared" si="139"/>
        <v>48000</v>
      </c>
      <c r="O702" s="180">
        <f t="shared" si="139"/>
        <v>36000</v>
      </c>
      <c r="P702" s="1"/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O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84" t="str">
        <f t="shared" si="140"/>
        <v/>
      </c>
      <c r="N703" s="184" t="str">
        <f t="shared" si="140"/>
        <v/>
      </c>
      <c r="O703" s="184" t="str">
        <f t="shared" si="140"/>
        <v/>
      </c>
      <c r="P703" s="1"/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O704" si="141">SUM(H702:H703)</f>
        <v>0</v>
      </c>
      <c r="I704" s="184">
        <f t="shared" si="141"/>
        <v>198000</v>
      </c>
      <c r="J704" s="184">
        <f t="shared" si="141"/>
        <v>108000</v>
      </c>
      <c r="K704" s="184">
        <f t="shared" si="141"/>
        <v>102000</v>
      </c>
      <c r="L704" s="184">
        <f t="shared" si="141"/>
        <v>66000</v>
      </c>
      <c r="M704" s="184">
        <f t="shared" si="141"/>
        <v>66000</v>
      </c>
      <c r="N704" s="184">
        <f t="shared" si="141"/>
        <v>48000</v>
      </c>
      <c r="O704" s="184">
        <f t="shared" si="141"/>
        <v>36000</v>
      </c>
      <c r="P704" s="1"/>
      <c r="Q704" s="1"/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86"/>
      <c r="N705" s="186"/>
      <c r="O705" s="186"/>
      <c r="P705" s="1"/>
      <c r="Q705" s="1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O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86">
        <f t="shared" si="142"/>
        <v>1</v>
      </c>
      <c r="N706" s="186">
        <f t="shared" si="142"/>
        <v>0</v>
      </c>
      <c r="O706" s="186">
        <f t="shared" si="142"/>
        <v>1</v>
      </c>
      <c r="P706" s="1"/>
      <c r="Q706" s="1"/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O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86">
        <f t="shared" si="143"/>
        <v>0</v>
      </c>
      <c r="N707" s="186">
        <f t="shared" si="143"/>
        <v>1</v>
      </c>
      <c r="O707" s="186">
        <f t="shared" si="143"/>
        <v>0</v>
      </c>
      <c r="P707" s="1"/>
      <c r="Q707" s="1"/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O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86">
        <f t="shared" si="144"/>
        <v>1</v>
      </c>
      <c r="N708" s="186">
        <f t="shared" si="144"/>
        <v>0</v>
      </c>
      <c r="O708" s="186">
        <f t="shared" si="144"/>
        <v>1</v>
      </c>
      <c r="P708" s="1"/>
      <c r="Q708" s="1"/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O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86">
        <f t="shared" si="145"/>
        <v>0</v>
      </c>
      <c r="N709" s="186">
        <f t="shared" si="145"/>
        <v>1</v>
      </c>
      <c r="O709" s="186">
        <f t="shared" si="145"/>
        <v>0</v>
      </c>
      <c r="P709" s="1"/>
      <c r="Q709" s="1"/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O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86">
        <f t="shared" si="146"/>
        <v>1</v>
      </c>
      <c r="N710" s="186">
        <f t="shared" si="146"/>
        <v>0</v>
      </c>
      <c r="O710" s="186">
        <f t="shared" si="146"/>
        <v>1</v>
      </c>
      <c r="P710" s="1"/>
      <c r="Q710" s="1"/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O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86">
        <f t="shared" si="147"/>
        <v>2</v>
      </c>
      <c r="N711" s="186">
        <f t="shared" si="147"/>
        <v>1</v>
      </c>
      <c r="O711" s="186">
        <f t="shared" si="147"/>
        <v>0</v>
      </c>
      <c r="P711" s="1"/>
      <c r="Q711" s="1"/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O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86">
        <f t="shared" si="148"/>
        <v>0</v>
      </c>
      <c r="N712" s="186">
        <f t="shared" si="148"/>
        <v>2</v>
      </c>
      <c r="O712" s="186">
        <f t="shared" si="148"/>
        <v>1</v>
      </c>
      <c r="P712" s="1"/>
      <c r="Q712" s="1"/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O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86">
        <f t="shared" si="149"/>
        <v>0</v>
      </c>
      <c r="N713" s="186">
        <f t="shared" si="149"/>
        <v>0</v>
      </c>
      <c r="O713" s="186">
        <f t="shared" si="149"/>
        <v>2</v>
      </c>
      <c r="P713" s="1"/>
      <c r="Q713" s="1"/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O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86">
        <f t="shared" si="150"/>
        <v>0</v>
      </c>
      <c r="N714" s="186">
        <f t="shared" si="150"/>
        <v>0</v>
      </c>
      <c r="O714" s="186">
        <f t="shared" si="150"/>
        <v>0</v>
      </c>
      <c r="P714" s="1"/>
      <c r="Q714" s="1"/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O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86">
        <f t="shared" si="151"/>
        <v>0</v>
      </c>
      <c r="N715" s="186">
        <f t="shared" si="151"/>
        <v>0</v>
      </c>
      <c r="O715" s="186">
        <f t="shared" si="151"/>
        <v>0</v>
      </c>
      <c r="P715" s="1"/>
      <c r="Q715" s="1"/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O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86">
        <f t="shared" si="152"/>
        <v>0</v>
      </c>
      <c r="N716" s="186">
        <f t="shared" si="152"/>
        <v>0</v>
      </c>
      <c r="O716" s="186">
        <f t="shared" si="152"/>
        <v>0</v>
      </c>
      <c r="P716" s="1"/>
      <c r="Q716" s="1"/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O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86">
        <f t="shared" si="153"/>
        <v>0</v>
      </c>
      <c r="N717" s="186">
        <f t="shared" si="153"/>
        <v>0</v>
      </c>
      <c r="O717" s="186">
        <f t="shared" si="153"/>
        <v>0</v>
      </c>
      <c r="P717" s="1"/>
      <c r="Q717" s="1"/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86"/>
      <c r="N718" s="186"/>
      <c r="O718" s="186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55"/>
      <c r="N719" s="155"/>
      <c r="O719" s="155"/>
      <c r="P719" s="1"/>
      <c r="Q719" s="1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O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158400</v>
      </c>
      <c r="L720" s="184">
        <f t="shared" si="154"/>
        <v>86400</v>
      </c>
      <c r="M720" s="184">
        <f t="shared" si="154"/>
        <v>208320</v>
      </c>
      <c r="N720" s="184">
        <f t="shared" si="154"/>
        <v>121920</v>
      </c>
      <c r="O720" s="184">
        <f t="shared" si="154"/>
        <v>219456</v>
      </c>
      <c r="P720" s="1"/>
      <c r="Q720" s="1"/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O721" si="155">SUM(H722:H733)</f>
        <v>0</v>
      </c>
      <c r="I721" s="184">
        <f t="shared" si="155"/>
        <v>198000</v>
      </c>
      <c r="J721" s="184">
        <f t="shared" si="155"/>
        <v>108000</v>
      </c>
      <c r="K721" s="184">
        <f t="shared" si="155"/>
        <v>260400</v>
      </c>
      <c r="L721" s="184">
        <f t="shared" si="155"/>
        <v>152400</v>
      </c>
      <c r="M721" s="184">
        <f t="shared" si="155"/>
        <v>274320</v>
      </c>
      <c r="N721" s="184">
        <f t="shared" si="155"/>
        <v>169920</v>
      </c>
      <c r="O721" s="184">
        <f t="shared" si="155"/>
        <v>255456</v>
      </c>
      <c r="P721" s="1"/>
      <c r="Q721" s="1"/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O722" si="156">IF(COLUMN() &lt; (COLUMN($H$722) + (ROW()-ROW($H$722))), 0, IF(COLUMN() = (COLUMN($H$722) + (ROW()-ROW($H$722))), INDEX($H$704:$O$704,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86">
        <f t="shared" si="156"/>
        <v>0</v>
      </c>
      <c r="N722" s="186">
        <f t="shared" si="156"/>
        <v>0</v>
      </c>
      <c r="O722" s="186">
        <f t="shared" si="156"/>
        <v>0</v>
      </c>
      <c r="P722" s="1"/>
      <c r="Q722" s="1"/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O723" si="157">IF(COLUMN() &lt; (COLUMN($H$722) + (ROW()-ROW($H$722))), 0, IF(COLUMN() = (COLUMN($H$722) + (ROW()-ROW($H$722))), INDEX($H$704:$O$704, 1, COLUMN()-COLUMN($H$704)+1), IF(H707=0, OFFSET(H723, 0, -$H$705) * $H$719, 0)))</f>
        <v>0</v>
      </c>
      <c r="I723" s="186">
        <f t="shared" si="157"/>
        <v>198000</v>
      </c>
      <c r="J723" s="186">
        <f t="shared" si="157"/>
        <v>0</v>
      </c>
      <c r="K723" s="186">
        <f t="shared" si="157"/>
        <v>158400</v>
      </c>
      <c r="L723" s="186">
        <f t="shared" si="157"/>
        <v>0</v>
      </c>
      <c r="M723" s="186">
        <f t="shared" si="157"/>
        <v>126720</v>
      </c>
      <c r="N723" s="186">
        <f t="shared" si="157"/>
        <v>0</v>
      </c>
      <c r="O723" s="186">
        <f t="shared" si="157"/>
        <v>101376</v>
      </c>
      <c r="P723" s="1"/>
      <c r="Q723" s="1"/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O724" si="158">IF(COLUMN() &lt; (COLUMN($H$722) + (ROW()-ROW($H$722))), 0, IF(COLUMN() = (COLUMN($H$722) + (ROW()-ROW($H$722))), INDEX($H$704:$O$704, 1, COLUMN()-COLUMN($H$704)+1), IF(H708=0, OFFSET(H724, 0, -$H$705) * $H$719, 0)))</f>
        <v>0</v>
      </c>
      <c r="I724" s="186">
        <f t="shared" si="158"/>
        <v>0</v>
      </c>
      <c r="J724" s="186">
        <f t="shared" si="158"/>
        <v>108000</v>
      </c>
      <c r="K724" s="186">
        <f t="shared" si="158"/>
        <v>0</v>
      </c>
      <c r="L724" s="186">
        <f t="shared" si="158"/>
        <v>86400</v>
      </c>
      <c r="M724" s="186">
        <f t="shared" si="158"/>
        <v>0</v>
      </c>
      <c r="N724" s="186">
        <f t="shared" si="158"/>
        <v>69120</v>
      </c>
      <c r="O724" s="186">
        <f t="shared" si="158"/>
        <v>0</v>
      </c>
      <c r="P724" s="1"/>
      <c r="Q724" s="1"/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O725" si="159">IF(COLUMN() &lt; (COLUMN($H$722) + (ROW()-ROW($H$722))), 0, IF(COLUMN() = (COLUMN($H$722) + (ROW()-ROW($H$722))), INDEX($H$704:$O$704,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102000</v>
      </c>
      <c r="L725" s="186">
        <f t="shared" si="159"/>
        <v>0</v>
      </c>
      <c r="M725" s="186">
        <f t="shared" si="159"/>
        <v>81600</v>
      </c>
      <c r="N725" s="186">
        <f t="shared" si="159"/>
        <v>0</v>
      </c>
      <c r="O725" s="186">
        <f t="shared" si="159"/>
        <v>65280</v>
      </c>
      <c r="P725" s="1"/>
      <c r="Q725" s="1"/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O726" si="160">IF(COLUMN() &lt; (COLUMN($H$722) + (ROW()-ROW($H$722))), 0, IF(COLUMN() = (COLUMN($H$722) + (ROW()-ROW($H$722))), INDEX($H$704:$O$704,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66000</v>
      </c>
      <c r="M726" s="186">
        <f t="shared" si="160"/>
        <v>0</v>
      </c>
      <c r="N726" s="186">
        <f t="shared" si="160"/>
        <v>52800</v>
      </c>
      <c r="O726" s="186">
        <f t="shared" si="160"/>
        <v>0</v>
      </c>
      <c r="P726" s="1"/>
      <c r="Q726" s="1"/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O727" si="161">IF(COLUMN() &lt; (COLUMN($H$722) + (ROW()-ROW($H$722))), 0, IF(COLUMN() = (COLUMN($H$722) + (ROW()-ROW($H$722))), INDEX($H$704:$O$704,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86">
        <f t="shared" si="161"/>
        <v>66000</v>
      </c>
      <c r="N727" s="186">
        <f t="shared" si="161"/>
        <v>0</v>
      </c>
      <c r="O727" s="186">
        <f t="shared" si="161"/>
        <v>52800</v>
      </c>
      <c r="P727" s="1"/>
      <c r="Q727" s="1"/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O728" si="162">IF(COLUMN() &lt; (COLUMN($H$722) + (ROW()-ROW($H$722))), 0, IF(COLUMN() = (COLUMN($H$722) + (ROW()-ROW($H$722))), INDEX($H$704:$O$704,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86">
        <f t="shared" si="162"/>
        <v>0</v>
      </c>
      <c r="N728" s="186">
        <f t="shared" si="162"/>
        <v>48000</v>
      </c>
      <c r="O728" s="186">
        <f t="shared" si="162"/>
        <v>0</v>
      </c>
      <c r="P728" s="1"/>
      <c r="Q728" s="1"/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O729" si="163">IF(COLUMN() &lt; (COLUMN($H$722) + (ROW()-ROW($H$722))), 0, IF(COLUMN() = (COLUMN($H$722) + (ROW()-ROW($H$722))), INDEX($H$704:$O$704,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86">
        <f t="shared" si="163"/>
        <v>0</v>
      </c>
      <c r="N729" s="186">
        <f t="shared" si="163"/>
        <v>0</v>
      </c>
      <c r="O729" s="186">
        <f t="shared" si="163"/>
        <v>36000</v>
      </c>
      <c r="P729" s="1"/>
      <c r="Q729" s="1"/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O730" si="164">IF(COLUMN() &lt; (COLUMN($H$722) + (ROW()-ROW($H$722))), 0, IF(COLUMN() = (COLUMN($H$722) + (ROW()-ROW($H$722))), INDEX($H$704:$O$704,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86">
        <f t="shared" si="164"/>
        <v>0</v>
      </c>
      <c r="N730" s="186">
        <f t="shared" si="164"/>
        <v>0</v>
      </c>
      <c r="O730" s="186">
        <f t="shared" si="164"/>
        <v>0</v>
      </c>
      <c r="P730" s="1"/>
      <c r="Q730" s="1"/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O731" si="165">IF(COLUMN() &lt; (COLUMN($H$722) + (ROW()-ROW($H$722))), 0, IF(COLUMN() = (COLUMN($H$722) + (ROW()-ROW($H$722))), INDEX($H$704:$O$704,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86">
        <f t="shared" si="165"/>
        <v>0</v>
      </c>
      <c r="N731" s="186">
        <f t="shared" si="165"/>
        <v>0</v>
      </c>
      <c r="O731" s="186">
        <f t="shared" si="165"/>
        <v>0</v>
      </c>
      <c r="P731" s="1"/>
      <c r="Q731" s="1"/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O732" si="166">IF(COLUMN() &lt; (COLUMN($H$722) + (ROW()-ROW($H$722))), 0, IF(COLUMN() = (COLUMN($H$722) + (ROW()-ROW($H$722))), INDEX($H$704:$O$704,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86">
        <f t="shared" si="166"/>
        <v>0</v>
      </c>
      <c r="N732" s="186">
        <f t="shared" si="166"/>
        <v>0</v>
      </c>
      <c r="O732" s="186">
        <f t="shared" si="166"/>
        <v>0</v>
      </c>
      <c r="P732" s="1"/>
      <c r="Q732" s="1"/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O733" si="167">IF(COLUMN() &lt; (COLUMN($H$722) + (ROW()-ROW($H$722))), 0, IF(COLUMN() = (COLUMN($H$722) + (ROW()-ROW($H$722))), INDEX($H$704:$O$704,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86">
        <f t="shared" si="167"/>
        <v>0</v>
      </c>
      <c r="N733" s="186">
        <f t="shared" si="167"/>
        <v>0</v>
      </c>
      <c r="O733" s="186">
        <f t="shared" si="167"/>
        <v>0</v>
      </c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86"/>
      <c r="N734" s="186"/>
      <c r="O734" s="186"/>
      <c r="P734" s="1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O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84">
        <f t="shared" si="168"/>
        <v>0</v>
      </c>
      <c r="M735" s="184">
        <f t="shared" si="168"/>
        <v>0</v>
      </c>
      <c r="N735" s="184">
        <f t="shared" si="168"/>
        <v>0</v>
      </c>
      <c r="O735" s="184">
        <f t="shared" si="168"/>
        <v>647094</v>
      </c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O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1302000</v>
      </c>
      <c r="J736" s="180">
        <f t="shared" si="169"/>
        <v>672000</v>
      </c>
      <c r="K736" s="180">
        <f t="shared" si="169"/>
        <v>588000</v>
      </c>
      <c r="L736" s="180">
        <f t="shared" si="169"/>
        <v>378000</v>
      </c>
      <c r="M736" s="180">
        <f t="shared" si="169"/>
        <v>378000</v>
      </c>
      <c r="N736" s="180">
        <f t="shared" si="169"/>
        <v>294000</v>
      </c>
      <c r="O736" s="180">
        <f t="shared" si="169"/>
        <v>210000</v>
      </c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O737" si="170">H486</f>
        <v>3235470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84" t="str">
        <f t="shared" si="170"/>
        <v/>
      </c>
      <c r="M737" s="184" t="str">
        <f t="shared" si="170"/>
        <v/>
      </c>
      <c r="N737" s="184" t="str">
        <f t="shared" si="170"/>
        <v/>
      </c>
      <c r="O737" s="184" t="str">
        <f t="shared" si="170"/>
        <v/>
      </c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O738" si="171">SUM(H736:H737)</f>
        <v>3235470</v>
      </c>
      <c r="I738" s="184">
        <f t="shared" si="171"/>
        <v>1302000</v>
      </c>
      <c r="J738" s="184">
        <f t="shared" si="171"/>
        <v>672000</v>
      </c>
      <c r="K738" s="184">
        <f t="shared" si="171"/>
        <v>588000</v>
      </c>
      <c r="L738" s="184">
        <f t="shared" si="171"/>
        <v>378000</v>
      </c>
      <c r="M738" s="184">
        <f t="shared" si="171"/>
        <v>378000</v>
      </c>
      <c r="N738" s="184">
        <f t="shared" si="171"/>
        <v>294000</v>
      </c>
      <c r="O738" s="184">
        <f t="shared" si="171"/>
        <v>210000</v>
      </c>
      <c r="P738" s="1"/>
      <c r="Q738" s="1"/>
      <c r="R738" s="1"/>
      <c r="S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86"/>
      <c r="N739" s="186"/>
      <c r="O739" s="186"/>
      <c r="P739" s="1"/>
      <c r="Q739" s="1"/>
      <c r="R739" s="1"/>
      <c r="S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O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86">
        <f t="shared" si="172"/>
        <v>3</v>
      </c>
      <c r="M740" s="186">
        <f t="shared" si="172"/>
        <v>2</v>
      </c>
      <c r="N740" s="186">
        <f t="shared" si="172"/>
        <v>1</v>
      </c>
      <c r="O740" s="186">
        <f t="shared" si="172"/>
        <v>0</v>
      </c>
      <c r="P740" s="1"/>
      <c r="Q740" s="1"/>
      <c r="R740" s="1"/>
      <c r="S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O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86">
        <f t="shared" si="173"/>
        <v>4</v>
      </c>
      <c r="M741" s="186">
        <f t="shared" si="173"/>
        <v>3</v>
      </c>
      <c r="N741" s="186">
        <f t="shared" si="173"/>
        <v>2</v>
      </c>
      <c r="O741" s="186">
        <f t="shared" si="173"/>
        <v>1</v>
      </c>
      <c r="P741" s="1"/>
      <c r="Q741" s="1"/>
      <c r="R741" s="1"/>
      <c r="S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O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86">
        <f t="shared" si="174"/>
        <v>5</v>
      </c>
      <c r="M742" s="186">
        <f t="shared" si="174"/>
        <v>4</v>
      </c>
      <c r="N742" s="186">
        <f t="shared" si="174"/>
        <v>3</v>
      </c>
      <c r="O742" s="186">
        <f t="shared" si="174"/>
        <v>2</v>
      </c>
      <c r="P742" s="1"/>
      <c r="Q742" s="1"/>
      <c r="R742" s="1"/>
      <c r="S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O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86">
        <f t="shared" si="175"/>
        <v>6</v>
      </c>
      <c r="M743" s="186">
        <f t="shared" si="175"/>
        <v>5</v>
      </c>
      <c r="N743" s="186">
        <f t="shared" si="175"/>
        <v>4</v>
      </c>
      <c r="O743" s="186">
        <f t="shared" si="175"/>
        <v>3</v>
      </c>
      <c r="P743" s="1"/>
      <c r="Q743" s="1"/>
      <c r="R743" s="1"/>
      <c r="S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O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86">
        <f t="shared" si="176"/>
        <v>7</v>
      </c>
      <c r="M744" s="186">
        <f t="shared" si="176"/>
        <v>6</v>
      </c>
      <c r="N744" s="186">
        <f t="shared" si="176"/>
        <v>5</v>
      </c>
      <c r="O744" s="186">
        <f t="shared" si="176"/>
        <v>4</v>
      </c>
      <c r="P744" s="1"/>
      <c r="Q744" s="1"/>
      <c r="R744" s="1"/>
      <c r="S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O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86">
        <f t="shared" si="177"/>
        <v>0</v>
      </c>
      <c r="M745" s="186">
        <f t="shared" si="177"/>
        <v>7</v>
      </c>
      <c r="N745" s="186">
        <f t="shared" si="177"/>
        <v>6</v>
      </c>
      <c r="O745" s="186">
        <f t="shared" si="177"/>
        <v>5</v>
      </c>
      <c r="P745" s="1"/>
      <c r="Q745" s="1"/>
      <c r="R745" s="1"/>
      <c r="S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O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86">
        <f t="shared" si="178"/>
        <v>0</v>
      </c>
      <c r="M746" s="186">
        <f t="shared" si="178"/>
        <v>0</v>
      </c>
      <c r="N746" s="186">
        <f t="shared" si="178"/>
        <v>7</v>
      </c>
      <c r="O746" s="186">
        <f t="shared" si="178"/>
        <v>6</v>
      </c>
      <c r="P746" s="1"/>
      <c r="Q746" s="1"/>
      <c r="R746" s="1"/>
      <c r="S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O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86">
        <f t="shared" si="179"/>
        <v>0</v>
      </c>
      <c r="M747" s="186">
        <f t="shared" si="179"/>
        <v>0</v>
      </c>
      <c r="N747" s="186">
        <f t="shared" si="179"/>
        <v>0</v>
      </c>
      <c r="O747" s="186">
        <f t="shared" si="179"/>
        <v>7</v>
      </c>
      <c r="P747" s="1"/>
      <c r="Q747" s="1"/>
      <c r="R747" s="1"/>
      <c r="S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O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86">
        <f t="shared" si="180"/>
        <v>0</v>
      </c>
      <c r="M748" s="186">
        <f t="shared" si="180"/>
        <v>0</v>
      </c>
      <c r="N748" s="186">
        <f t="shared" si="180"/>
        <v>0</v>
      </c>
      <c r="O748" s="186">
        <f t="shared" si="180"/>
        <v>0</v>
      </c>
      <c r="P748" s="1"/>
      <c r="Q748" s="1"/>
      <c r="R748" s="1"/>
      <c r="S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O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86">
        <f t="shared" si="181"/>
        <v>0</v>
      </c>
      <c r="M749" s="186">
        <f t="shared" si="181"/>
        <v>0</v>
      </c>
      <c r="N749" s="186">
        <f t="shared" si="181"/>
        <v>0</v>
      </c>
      <c r="O749" s="186">
        <f t="shared" si="181"/>
        <v>0</v>
      </c>
      <c r="P749" s="1"/>
      <c r="Q749" s="1"/>
      <c r="R749" s="1"/>
      <c r="S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O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86">
        <f t="shared" si="182"/>
        <v>0</v>
      </c>
      <c r="M750" s="186">
        <f t="shared" si="182"/>
        <v>0</v>
      </c>
      <c r="N750" s="186">
        <f t="shared" si="182"/>
        <v>0</v>
      </c>
      <c r="O750" s="186">
        <f t="shared" si="182"/>
        <v>0</v>
      </c>
      <c r="P750" s="1"/>
      <c r="Q750" s="1"/>
      <c r="R750" s="1"/>
      <c r="S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O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86">
        <f t="shared" si="183"/>
        <v>0</v>
      </c>
      <c r="M751" s="186">
        <f t="shared" si="183"/>
        <v>0</v>
      </c>
      <c r="N751" s="186">
        <f t="shared" si="183"/>
        <v>0</v>
      </c>
      <c r="O751" s="186">
        <f t="shared" si="183"/>
        <v>0</v>
      </c>
      <c r="P751" s="1"/>
      <c r="Q751" s="1"/>
      <c r="R751" s="1"/>
      <c r="S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86"/>
      <c r="N752" s="186"/>
      <c r="O752" s="186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55"/>
      <c r="N753" s="155"/>
      <c r="O753" s="155"/>
      <c r="P753" s="1"/>
      <c r="Q753" s="1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O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84">
        <f t="shared" si="184"/>
        <v>0</v>
      </c>
      <c r="M754" s="184">
        <f t="shared" si="184"/>
        <v>0</v>
      </c>
      <c r="N754" s="184">
        <f t="shared" si="184"/>
        <v>0</v>
      </c>
      <c r="O754" s="184">
        <f t="shared" si="184"/>
        <v>647094</v>
      </c>
      <c r="P754" s="1"/>
      <c r="Q754" s="1"/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O755" si="185">SUM(H756:H767)</f>
        <v>3235470</v>
      </c>
      <c r="I755" s="184">
        <f t="shared" si="185"/>
        <v>1302000</v>
      </c>
      <c r="J755" s="184">
        <f t="shared" si="185"/>
        <v>672000</v>
      </c>
      <c r="K755" s="184">
        <f t="shared" si="185"/>
        <v>588000</v>
      </c>
      <c r="L755" s="184">
        <f t="shared" si="185"/>
        <v>378000</v>
      </c>
      <c r="M755" s="184">
        <f t="shared" si="185"/>
        <v>378000</v>
      </c>
      <c r="N755" s="184">
        <f t="shared" si="185"/>
        <v>294000</v>
      </c>
      <c r="O755" s="184">
        <f t="shared" si="185"/>
        <v>857094</v>
      </c>
      <c r="P755" s="1"/>
      <c r="Q755" s="1"/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O756" si="186">IF(COLUMN() &lt; (COLUMN($H$756) + (ROW()-ROW($H$756))), 0, IF(COLUMN() = (COLUMN($H$756) + (ROW()-ROW($H$756))), INDEX($H$738:$O$738, 1, COLUMN()-COLUMN($H$738)+1), IF(H740=0, OFFSET(H756, 0, -$H$739) * $H$753, 0)))</f>
        <v>3235470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86">
        <f t="shared" si="186"/>
        <v>0</v>
      </c>
      <c r="M756" s="186">
        <f t="shared" si="186"/>
        <v>0</v>
      </c>
      <c r="N756" s="186">
        <f t="shared" si="186"/>
        <v>0</v>
      </c>
      <c r="O756" s="186">
        <f t="shared" si="186"/>
        <v>647094</v>
      </c>
      <c r="P756" s="1"/>
      <c r="Q756" s="1"/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O757" si="187">IF(COLUMN() &lt; (COLUMN($H$756) + (ROW()-ROW($H$756))), 0, IF(COLUMN() = (COLUMN($H$756) + (ROW()-ROW($H$756))), INDEX($H$738:$O$738, 1, COLUMN()-COLUMN($H$738)+1), IF(H741=0, OFFSET(H757, 0, -$H$739) * $H$753, 0)))</f>
        <v>0</v>
      </c>
      <c r="I757" s="186">
        <f t="shared" si="187"/>
        <v>1302000</v>
      </c>
      <c r="J757" s="186">
        <f t="shared" si="187"/>
        <v>0</v>
      </c>
      <c r="K757" s="186">
        <f t="shared" si="187"/>
        <v>0</v>
      </c>
      <c r="L757" s="186">
        <f t="shared" si="187"/>
        <v>0</v>
      </c>
      <c r="M757" s="186">
        <f t="shared" si="187"/>
        <v>0</v>
      </c>
      <c r="N757" s="186">
        <f t="shared" si="187"/>
        <v>0</v>
      </c>
      <c r="O757" s="186">
        <f t="shared" si="187"/>
        <v>0</v>
      </c>
      <c r="P757" s="1"/>
      <c r="Q757" s="1"/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O758" si="188">IF(COLUMN() &lt; (COLUMN($H$756) + (ROW()-ROW($H$756))), 0, IF(COLUMN() = (COLUMN($H$756) + (ROW()-ROW($H$756))), INDEX($H$738:$O$738, 1, COLUMN()-COLUMN($H$738)+1), IF(H742=0, OFFSET(H758, 0, -$H$739) * $H$753, 0)))</f>
        <v>0</v>
      </c>
      <c r="I758" s="186">
        <f t="shared" si="188"/>
        <v>0</v>
      </c>
      <c r="J758" s="186">
        <f t="shared" si="188"/>
        <v>672000</v>
      </c>
      <c r="K758" s="186">
        <f t="shared" si="188"/>
        <v>0</v>
      </c>
      <c r="L758" s="186">
        <f t="shared" si="188"/>
        <v>0</v>
      </c>
      <c r="M758" s="186">
        <f t="shared" si="188"/>
        <v>0</v>
      </c>
      <c r="N758" s="186">
        <f t="shared" si="188"/>
        <v>0</v>
      </c>
      <c r="O758" s="186">
        <f t="shared" si="188"/>
        <v>0</v>
      </c>
      <c r="P758" s="1"/>
      <c r="Q758" s="1"/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O759" si="189">IF(COLUMN() &lt; (COLUMN($H$756) + (ROW()-ROW($H$756))), 0, IF(COLUMN() = (COLUMN($H$756) + (ROW()-ROW($H$756))), INDEX($H$738:$O$738,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588000</v>
      </c>
      <c r="L759" s="186">
        <f t="shared" si="189"/>
        <v>0</v>
      </c>
      <c r="M759" s="186">
        <f t="shared" si="189"/>
        <v>0</v>
      </c>
      <c r="N759" s="186">
        <f t="shared" si="189"/>
        <v>0</v>
      </c>
      <c r="O759" s="186">
        <f t="shared" si="189"/>
        <v>0</v>
      </c>
      <c r="P759" s="1"/>
      <c r="Q759" s="1"/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O760" si="190">IF(COLUMN() &lt; (COLUMN($H$756) + (ROW()-ROW($H$756))), 0, IF(COLUMN() = (COLUMN($H$756) + (ROW()-ROW($H$756))), INDEX($H$738:$O$738,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86">
        <f t="shared" si="190"/>
        <v>378000</v>
      </c>
      <c r="M760" s="186">
        <f t="shared" si="190"/>
        <v>0</v>
      </c>
      <c r="N760" s="186">
        <f t="shared" si="190"/>
        <v>0</v>
      </c>
      <c r="O760" s="186">
        <f t="shared" si="190"/>
        <v>0</v>
      </c>
      <c r="P760" s="1"/>
      <c r="Q760" s="1"/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O761" si="191">IF(COLUMN() &lt; (COLUMN($H$756) + (ROW()-ROW($H$756))), 0, IF(COLUMN() = (COLUMN($H$756) + (ROW()-ROW($H$756))), INDEX($H$738:$O$738,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86">
        <f t="shared" si="191"/>
        <v>0</v>
      </c>
      <c r="M761" s="186">
        <f t="shared" si="191"/>
        <v>378000</v>
      </c>
      <c r="N761" s="186">
        <f t="shared" si="191"/>
        <v>0</v>
      </c>
      <c r="O761" s="186">
        <f t="shared" si="191"/>
        <v>0</v>
      </c>
      <c r="P761" s="1"/>
      <c r="Q761" s="1"/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O762" si="192">IF(COLUMN() &lt; (COLUMN($H$756) + (ROW()-ROW($H$756))), 0, IF(COLUMN() = (COLUMN($H$756) + (ROW()-ROW($H$756))), INDEX($H$738:$O$738,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86">
        <f t="shared" si="192"/>
        <v>0</v>
      </c>
      <c r="M762" s="186">
        <f t="shared" si="192"/>
        <v>0</v>
      </c>
      <c r="N762" s="186">
        <f t="shared" si="192"/>
        <v>294000</v>
      </c>
      <c r="O762" s="186">
        <f t="shared" si="192"/>
        <v>0</v>
      </c>
      <c r="P762" s="1"/>
      <c r="Q762" s="1"/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O763" si="193">IF(COLUMN() &lt; (COLUMN($H$756) + (ROW()-ROW($H$756))), 0, IF(COLUMN() = (COLUMN($H$756) + (ROW()-ROW($H$756))), INDEX($H$738:$O$738,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86">
        <f t="shared" si="193"/>
        <v>0</v>
      </c>
      <c r="M763" s="186">
        <f t="shared" si="193"/>
        <v>0</v>
      </c>
      <c r="N763" s="186">
        <f t="shared" si="193"/>
        <v>0</v>
      </c>
      <c r="O763" s="186">
        <f t="shared" si="193"/>
        <v>210000</v>
      </c>
      <c r="P763" s="1"/>
      <c r="Q763" s="1"/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O764" si="194">IF(COLUMN() &lt; (COLUMN($H$756) + (ROW()-ROW($H$756))), 0, IF(COLUMN() = (COLUMN($H$756) + (ROW()-ROW($H$756))), INDEX($H$738:$O$738,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86">
        <f t="shared" si="194"/>
        <v>0</v>
      </c>
      <c r="M764" s="186">
        <f t="shared" si="194"/>
        <v>0</v>
      </c>
      <c r="N764" s="186">
        <f t="shared" si="194"/>
        <v>0</v>
      </c>
      <c r="O764" s="186">
        <f t="shared" si="194"/>
        <v>0</v>
      </c>
      <c r="P764" s="1"/>
      <c r="Q764" s="1"/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O765" si="195">IF(COLUMN() &lt; (COLUMN($H$756) + (ROW()-ROW($H$756))), 0, IF(COLUMN() = (COLUMN($H$756) + (ROW()-ROW($H$756))), INDEX($H$738:$O$738,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86">
        <f t="shared" si="195"/>
        <v>0</v>
      </c>
      <c r="M765" s="186">
        <f t="shared" si="195"/>
        <v>0</v>
      </c>
      <c r="N765" s="186">
        <f t="shared" si="195"/>
        <v>0</v>
      </c>
      <c r="O765" s="186">
        <f t="shared" si="195"/>
        <v>0</v>
      </c>
      <c r="P765" s="1"/>
      <c r="Q765" s="1"/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O766" si="196">IF(COLUMN() &lt; (COLUMN($H$756) + (ROW()-ROW($H$756))), 0, IF(COLUMN() = (COLUMN($H$756) + (ROW()-ROW($H$756))), INDEX($H$738:$O$738,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86">
        <f t="shared" si="196"/>
        <v>0</v>
      </c>
      <c r="M766" s="186">
        <f t="shared" si="196"/>
        <v>0</v>
      </c>
      <c r="N766" s="186">
        <f t="shared" si="196"/>
        <v>0</v>
      </c>
      <c r="O766" s="186">
        <f t="shared" si="196"/>
        <v>0</v>
      </c>
      <c r="P766" s="1"/>
      <c r="Q766" s="1"/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O767" si="197">IF(COLUMN() &lt; (COLUMN($H$756) + (ROW()-ROW($H$756))), 0, IF(COLUMN() = (COLUMN($H$756) + (ROW()-ROW($H$756))), INDEX($H$738:$O$738,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86">
        <f t="shared" si="197"/>
        <v>0</v>
      </c>
      <c r="M767" s="186">
        <f t="shared" si="197"/>
        <v>0</v>
      </c>
      <c r="N767" s="186">
        <f t="shared" si="197"/>
        <v>0</v>
      </c>
      <c r="O767" s="186">
        <f t="shared" si="197"/>
        <v>0</v>
      </c>
      <c r="P767" s="1"/>
      <c r="Q767" s="1"/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O768" si="198">IF(COLUMN() &lt; (COLUMN($H$756) + (ROW()-ROW($H$756))), 0, IF(COLUMN() = (COLUMN($H$756) + (ROW()-ROW($H$756))), INDEX($H$738:$O$738,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86">
        <f t="shared" si="198"/>
        <v>0</v>
      </c>
      <c r="M768" s="186">
        <f t="shared" si="198"/>
        <v>0</v>
      </c>
      <c r="N768" s="186">
        <f t="shared" si="198"/>
        <v>0</v>
      </c>
      <c r="O768" s="186">
        <f t="shared" si="198"/>
        <v>0</v>
      </c>
      <c r="P768" s="192"/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86"/>
      <c r="N769" s="186"/>
      <c r="O769" s="186"/>
      <c r="P769" s="192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O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88">
        <f t="shared" si="199"/>
        <v>0</v>
      </c>
      <c r="M770" s="188">
        <f t="shared" si="199"/>
        <v>0</v>
      </c>
      <c r="N770" s="188">
        <f t="shared" si="199"/>
        <v>0</v>
      </c>
      <c r="O770" s="188">
        <f t="shared" si="199"/>
        <v>0</v>
      </c>
      <c r="P770" s="192"/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O771" si="200">H771</f>
        <v>0</v>
      </c>
      <c r="J771" s="190">
        <f t="shared" si="200"/>
        <v>0</v>
      </c>
      <c r="K771" s="190">
        <f t="shared" si="200"/>
        <v>0</v>
      </c>
      <c r="L771" s="190">
        <f t="shared" si="200"/>
        <v>0</v>
      </c>
      <c r="M771" s="190">
        <f t="shared" si="200"/>
        <v>0</v>
      </c>
      <c r="N771" s="190">
        <f t="shared" si="200"/>
        <v>0</v>
      </c>
      <c r="O771" s="190">
        <f t="shared" si="200"/>
        <v>0</v>
      </c>
      <c r="P771" s="192"/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O772" si="201">H772*H773</f>
        <v>0</v>
      </c>
      <c r="J772" s="188">
        <f t="shared" si="201"/>
        <v>0</v>
      </c>
      <c r="K772" s="188">
        <f t="shared" si="201"/>
        <v>0</v>
      </c>
      <c r="L772" s="188">
        <f t="shared" si="201"/>
        <v>0</v>
      </c>
      <c r="M772" s="188">
        <f t="shared" si="201"/>
        <v>0</v>
      </c>
      <c r="N772" s="188">
        <f t="shared" si="201"/>
        <v>0</v>
      </c>
      <c r="O772" s="188">
        <f t="shared" si="201"/>
        <v>0</v>
      </c>
      <c r="P772" s="192"/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54">
        <v>0.0</v>
      </c>
      <c r="N773" s="154">
        <v>0.0</v>
      </c>
      <c r="O773" s="154">
        <v>0.0</v>
      </c>
      <c r="P773" s="192"/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O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88">
        <f t="shared" si="202"/>
        <v>0</v>
      </c>
      <c r="M774" s="188">
        <f t="shared" si="202"/>
        <v>0</v>
      </c>
      <c r="N774" s="188">
        <f t="shared" si="202"/>
        <v>0</v>
      </c>
      <c r="O774" s="188">
        <f t="shared" si="202"/>
        <v>0</v>
      </c>
      <c r="P774" s="192"/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5"/>
      <c r="N775" s="195"/>
      <c r="O775" s="195"/>
      <c r="P775" s="192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5"/>
      <c r="N776" s="195"/>
      <c r="O776" s="195"/>
      <c r="P776" s="192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18"/>
      <c r="N777" s="118"/>
      <c r="O777" s="118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63"/>
      <c r="N778" s="163"/>
      <c r="O778" s="163"/>
      <c r="P778" s="1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O779" si="203">SUM(H782,H785,H788,H791,H794)</f>
        <v>0</v>
      </c>
      <c r="I779" s="173">
        <f t="shared" si="203"/>
        <v>5700000</v>
      </c>
      <c r="J779" s="173">
        <f t="shared" si="203"/>
        <v>3626000</v>
      </c>
      <c r="K779" s="173">
        <f t="shared" si="203"/>
        <v>2652000</v>
      </c>
      <c r="L779" s="173">
        <f t="shared" si="203"/>
        <v>1756000</v>
      </c>
      <c r="M779" s="173">
        <f t="shared" si="203"/>
        <v>3537000</v>
      </c>
      <c r="N779" s="173">
        <f t="shared" si="203"/>
        <v>1256000</v>
      </c>
      <c r="O779" s="173">
        <f t="shared" si="203"/>
        <v>896000</v>
      </c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358</v>
      </c>
      <c r="E781" s="1"/>
      <c r="F781" s="1"/>
      <c r="G781" s="128"/>
      <c r="H781" s="128">
        <f t="shared" ref="H781:O781" si="204">IFERROR(H782/H$779,0)</f>
        <v>0</v>
      </c>
      <c r="I781" s="128">
        <f t="shared" si="204"/>
        <v>0.4273684211</v>
      </c>
      <c r="J781" s="128">
        <f t="shared" si="204"/>
        <v>0.4522890237</v>
      </c>
      <c r="K781" s="128">
        <f t="shared" si="204"/>
        <v>0.431372549</v>
      </c>
      <c r="L781" s="128">
        <f t="shared" si="204"/>
        <v>0.4328018223</v>
      </c>
      <c r="M781" s="128">
        <f t="shared" si="204"/>
        <v>0.5159739893</v>
      </c>
      <c r="N781" s="128">
        <f t="shared" si="204"/>
        <v>0.4140127389</v>
      </c>
      <c r="O781" s="128">
        <f t="shared" si="204"/>
        <v>0.4285714286</v>
      </c>
      <c r="P781" s="1"/>
      <c r="Q781" s="1"/>
      <c r="R781" s="1"/>
      <c r="S781" s="1"/>
    </row>
    <row r="782">
      <c r="A782" s="1"/>
      <c r="B782" s="1"/>
      <c r="C782" s="176" t="s">
        <v>285</v>
      </c>
      <c r="D782" s="176" t="s">
        <v>359</v>
      </c>
      <c r="E782" s="1"/>
      <c r="F782" s="1"/>
      <c r="G782" s="173"/>
      <c r="H782" s="173">
        <f t="shared" ref="H782:O782" si="205">SUM(H827,H872,H917,H963,H1008)</f>
        <v>0</v>
      </c>
      <c r="I782" s="173">
        <f t="shared" si="205"/>
        <v>2436000</v>
      </c>
      <c r="J782" s="173">
        <f t="shared" si="205"/>
        <v>1640000</v>
      </c>
      <c r="K782" s="173">
        <f t="shared" si="205"/>
        <v>1144000</v>
      </c>
      <c r="L782" s="173">
        <f t="shared" si="205"/>
        <v>760000</v>
      </c>
      <c r="M782" s="173">
        <f t="shared" si="205"/>
        <v>1825000</v>
      </c>
      <c r="N782" s="173">
        <f t="shared" si="205"/>
        <v>520000</v>
      </c>
      <c r="O782" s="173">
        <f t="shared" si="205"/>
        <v>384000</v>
      </c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78"/>
      <c r="N783" s="178"/>
      <c r="O783" s="178"/>
      <c r="P783" s="1"/>
      <c r="Q783" s="1"/>
      <c r="R783" s="1"/>
      <c r="S783" s="1"/>
    </row>
    <row r="784">
      <c r="A784" s="1"/>
      <c r="B784" s="1"/>
      <c r="C784" s="176" t="s">
        <v>287</v>
      </c>
      <c r="D784" s="176" t="s">
        <v>360</v>
      </c>
      <c r="E784" s="1"/>
      <c r="F784" s="1"/>
      <c r="G784" s="128"/>
      <c r="H784" s="128">
        <f t="shared" ref="H784:O784" si="206">IFERROR(H785/H$779,0)</f>
        <v>0</v>
      </c>
      <c r="I784" s="128">
        <f t="shared" si="206"/>
        <v>0.3094736842</v>
      </c>
      <c r="J784" s="128">
        <f t="shared" si="206"/>
        <v>0.2884721456</v>
      </c>
      <c r="K784" s="128">
        <f t="shared" si="206"/>
        <v>0.3084464555</v>
      </c>
      <c r="L784" s="128">
        <f t="shared" si="206"/>
        <v>0.3143507973</v>
      </c>
      <c r="M784" s="128">
        <f t="shared" si="206"/>
        <v>0.2408821035</v>
      </c>
      <c r="N784" s="128">
        <f t="shared" si="206"/>
        <v>0.3136942675</v>
      </c>
      <c r="O784" s="128">
        <f t="shared" si="206"/>
        <v>0.296875</v>
      </c>
      <c r="P784" s="1"/>
      <c r="Q784" s="1"/>
      <c r="R784" s="1"/>
      <c r="S784" s="1"/>
    </row>
    <row r="785">
      <c r="A785" s="1"/>
      <c r="B785" s="1"/>
      <c r="C785" s="176" t="s">
        <v>285</v>
      </c>
      <c r="D785" s="176" t="s">
        <v>361</v>
      </c>
      <c r="E785" s="1"/>
      <c r="F785" s="1"/>
      <c r="G785" s="173"/>
      <c r="H785" s="173">
        <f t="shared" ref="H785:O785" si="207">SUM(H830,H875,H920,H966,H1011)</f>
        <v>0</v>
      </c>
      <c r="I785" s="173">
        <f t="shared" si="207"/>
        <v>1764000</v>
      </c>
      <c r="J785" s="173">
        <f t="shared" si="207"/>
        <v>1046000</v>
      </c>
      <c r="K785" s="173">
        <f t="shared" si="207"/>
        <v>818000</v>
      </c>
      <c r="L785" s="173">
        <f t="shared" si="207"/>
        <v>552000</v>
      </c>
      <c r="M785" s="173">
        <f t="shared" si="207"/>
        <v>852000</v>
      </c>
      <c r="N785" s="173">
        <f t="shared" si="207"/>
        <v>394000</v>
      </c>
      <c r="O785" s="173">
        <f t="shared" si="207"/>
        <v>266000</v>
      </c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78"/>
      <c r="N786" s="178"/>
      <c r="O786" s="178"/>
      <c r="P786" s="1"/>
      <c r="Q786" s="1"/>
      <c r="R786" s="1"/>
      <c r="S786" s="1"/>
    </row>
    <row r="787">
      <c r="A787" s="1"/>
      <c r="B787" s="1"/>
      <c r="C787" s="176" t="s">
        <v>287</v>
      </c>
      <c r="D787" s="13" t="s">
        <v>362</v>
      </c>
      <c r="E787" s="1"/>
      <c r="F787" s="1"/>
      <c r="G787" s="128"/>
      <c r="H787" s="128">
        <f t="shared" ref="H787:O787" si="208">IFERROR(H788/H$779,0)</f>
        <v>0</v>
      </c>
      <c r="I787" s="128">
        <f t="shared" si="208"/>
        <v>0.03473684211</v>
      </c>
      <c r="J787" s="128">
        <f t="shared" si="208"/>
        <v>0.03419746277</v>
      </c>
      <c r="K787" s="128">
        <f t="shared" si="208"/>
        <v>0.03846153846</v>
      </c>
      <c r="L787" s="128">
        <f t="shared" si="208"/>
        <v>0.03758542141</v>
      </c>
      <c r="M787" s="128">
        <f t="shared" si="208"/>
        <v>0.03449250777</v>
      </c>
      <c r="N787" s="128">
        <f t="shared" si="208"/>
        <v>0.03821656051</v>
      </c>
      <c r="O787" s="128">
        <f t="shared" si="208"/>
        <v>0.04017857143</v>
      </c>
      <c r="P787" s="1"/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363</v>
      </c>
      <c r="E788" s="1"/>
      <c r="F788" s="1"/>
      <c r="G788" s="173"/>
      <c r="H788" s="173">
        <f t="shared" ref="H788:O788" si="209">SUM(H833,H878,H923)</f>
        <v>0</v>
      </c>
      <c r="I788" s="173">
        <f t="shared" si="209"/>
        <v>198000</v>
      </c>
      <c r="J788" s="173">
        <f t="shared" si="209"/>
        <v>124000</v>
      </c>
      <c r="K788" s="173">
        <f t="shared" si="209"/>
        <v>102000</v>
      </c>
      <c r="L788" s="173">
        <f t="shared" si="209"/>
        <v>66000</v>
      </c>
      <c r="M788" s="173">
        <f t="shared" si="209"/>
        <v>122000</v>
      </c>
      <c r="N788" s="173">
        <f t="shared" si="209"/>
        <v>48000</v>
      </c>
      <c r="O788" s="173">
        <f t="shared" si="209"/>
        <v>36000</v>
      </c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78"/>
      <c r="M789" s="178"/>
      <c r="N789" s="178"/>
      <c r="O789" s="178"/>
      <c r="P789" s="1"/>
      <c r="Q789" s="1"/>
      <c r="R789" s="1"/>
      <c r="S789" s="1"/>
    </row>
    <row r="790">
      <c r="A790" s="1"/>
      <c r="B790" s="1"/>
      <c r="C790" s="176" t="s">
        <v>287</v>
      </c>
      <c r="D790" s="13" t="s">
        <v>364</v>
      </c>
      <c r="E790" s="1"/>
      <c r="F790" s="1"/>
      <c r="G790" s="128"/>
      <c r="H790" s="128">
        <f t="shared" ref="H790:O790" si="210">IFERROR(H791/H$779,0)</f>
        <v>0</v>
      </c>
      <c r="I790" s="128">
        <f t="shared" si="210"/>
        <v>0.2284210526</v>
      </c>
      <c r="J790" s="128">
        <f t="shared" si="210"/>
        <v>0.2250413679</v>
      </c>
      <c r="K790" s="128">
        <f t="shared" si="210"/>
        <v>0.221719457</v>
      </c>
      <c r="L790" s="128">
        <f t="shared" si="210"/>
        <v>0.215261959</v>
      </c>
      <c r="M790" s="128">
        <f t="shared" si="210"/>
        <v>0.2086513995</v>
      </c>
      <c r="N790" s="128">
        <f t="shared" si="210"/>
        <v>0.2340764331</v>
      </c>
      <c r="O790" s="128">
        <f t="shared" si="210"/>
        <v>0.234375</v>
      </c>
      <c r="P790" s="1"/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365</v>
      </c>
      <c r="E791" s="1"/>
      <c r="F791" s="1"/>
      <c r="G791" s="173"/>
      <c r="H791" s="173">
        <f t="shared" ref="H791:O791" si="211">SUM(H836,H881,H926)</f>
        <v>0</v>
      </c>
      <c r="I791" s="173">
        <f t="shared" si="211"/>
        <v>1302000</v>
      </c>
      <c r="J791" s="173">
        <f t="shared" si="211"/>
        <v>816000</v>
      </c>
      <c r="K791" s="173">
        <f t="shared" si="211"/>
        <v>588000</v>
      </c>
      <c r="L791" s="173">
        <f t="shared" si="211"/>
        <v>378000</v>
      </c>
      <c r="M791" s="173">
        <f t="shared" si="211"/>
        <v>738000</v>
      </c>
      <c r="N791" s="173">
        <f t="shared" si="211"/>
        <v>294000</v>
      </c>
      <c r="O791" s="173">
        <f t="shared" si="211"/>
        <v>210000</v>
      </c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43"/>
      <c r="L792" s="143"/>
      <c r="M792" s="143"/>
      <c r="N792" s="143"/>
      <c r="O792" s="143"/>
      <c r="P792" s="1"/>
      <c r="Q792" s="1"/>
      <c r="R792" s="1"/>
      <c r="S792" s="1"/>
    </row>
    <row r="793">
      <c r="A793" s="1"/>
      <c r="B793" s="1"/>
      <c r="C793" s="176" t="s">
        <v>287</v>
      </c>
      <c r="D793" s="176" t="s">
        <v>366</v>
      </c>
      <c r="E793" s="1"/>
      <c r="F793" s="1"/>
      <c r="G793" s="128"/>
      <c r="H793" s="128">
        <f t="shared" ref="H793:O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28">
        <f t="shared" si="212"/>
        <v>0</v>
      </c>
      <c r="M793" s="128">
        <f t="shared" si="212"/>
        <v>0</v>
      </c>
      <c r="N793" s="128">
        <f t="shared" si="212"/>
        <v>0</v>
      </c>
      <c r="O793" s="128">
        <f t="shared" si="212"/>
        <v>0</v>
      </c>
      <c r="P793" s="1"/>
      <c r="Q793" s="1"/>
      <c r="R793" s="1"/>
      <c r="S793" s="1"/>
    </row>
    <row r="794">
      <c r="A794" s="1"/>
      <c r="B794" s="1"/>
      <c r="C794" s="176" t="s">
        <v>285</v>
      </c>
      <c r="D794" s="176" t="s">
        <v>367</v>
      </c>
      <c r="E794" s="1"/>
      <c r="F794" s="1"/>
      <c r="G794" s="173"/>
      <c r="H794" s="173">
        <f t="shared" ref="H794:O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73">
        <f t="shared" si="213"/>
        <v>0</v>
      </c>
      <c r="M794" s="173">
        <f t="shared" si="213"/>
        <v>0</v>
      </c>
      <c r="N794" s="173">
        <f t="shared" si="213"/>
        <v>0</v>
      </c>
      <c r="O794" s="173">
        <f t="shared" si="213"/>
        <v>0</v>
      </c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43"/>
      <c r="M795" s="143"/>
      <c r="N795" s="143"/>
      <c r="O795" s="143"/>
      <c r="P795" s="1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32</v>
      </c>
      <c r="I797" s="197"/>
      <c r="J797" s="197"/>
      <c r="K797" s="197"/>
      <c r="L797" s="197"/>
      <c r="M797" s="197"/>
      <c r="N797" s="197"/>
      <c r="O797" s="197"/>
      <c r="P797" s="198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0.0129211875</v>
      </c>
      <c r="H798" s="149">
        <f>SUM($H$416)</f>
        <v>2067390</v>
      </c>
      <c r="I798" s="197"/>
      <c r="J798" s="197"/>
      <c r="K798" s="197"/>
      <c r="L798" s="197"/>
      <c r="M798" s="197"/>
      <c r="N798" s="197"/>
      <c r="O798" s="197"/>
      <c r="P798" s="172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56"/>
      <c r="N799" s="156"/>
      <c r="O799" s="156"/>
      <c r="P799" s="160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160000000</v>
      </c>
      <c r="I800" s="149"/>
      <c r="J800" s="149"/>
      <c r="K800" s="149"/>
      <c r="L800" s="149"/>
      <c r="M800" s="149"/>
      <c r="N800" s="149"/>
      <c r="O800" s="149"/>
      <c r="P800" s="160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49"/>
      <c r="N801" s="149"/>
      <c r="O801" s="149"/>
      <c r="P801" s="160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0.025842375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>
        <v>0.3</v>
      </c>
      <c r="N802" s="145">
        <v>0.0</v>
      </c>
      <c r="O802" s="145">
        <v>0.0</v>
      </c>
      <c r="P802" s="145"/>
      <c r="Q802" s="145"/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4134780</v>
      </c>
      <c r="H803" s="149"/>
      <c r="I803" s="149"/>
      <c r="J803" s="149"/>
      <c r="K803" s="149"/>
      <c r="L803" s="149"/>
      <c r="M803" s="149"/>
      <c r="N803" s="149"/>
      <c r="O803" s="149"/>
      <c r="P803" s="160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2067390</v>
      </c>
      <c r="I804" s="149">
        <f t="shared" ref="I804:O804" si="214">H804+I813</f>
        <v>2067390</v>
      </c>
      <c r="J804" s="149">
        <f t="shared" si="214"/>
        <v>2237390</v>
      </c>
      <c r="K804" s="149">
        <f t="shared" si="214"/>
        <v>2237390</v>
      </c>
      <c r="L804" s="149">
        <f t="shared" si="214"/>
        <v>2237390</v>
      </c>
      <c r="M804" s="149">
        <f t="shared" si="214"/>
        <v>2797390</v>
      </c>
      <c r="N804" s="149">
        <f t="shared" si="214"/>
        <v>2797390</v>
      </c>
      <c r="O804" s="149">
        <f t="shared" si="214"/>
        <v>2797390</v>
      </c>
      <c r="P804" s="199" t="str">
        <f>#REF!</f>
        <v>#REF!</v>
      </c>
      <c r="Q804" s="199"/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2067390</v>
      </c>
      <c r="H805" s="149">
        <f>$G$895*H802</f>
        <v>0</v>
      </c>
      <c r="I805" s="149">
        <f t="shared" ref="I805:O805" si="215">$G$805*I802</f>
        <v>0</v>
      </c>
      <c r="J805" s="149">
        <f t="shared" si="215"/>
        <v>206739</v>
      </c>
      <c r="K805" s="149">
        <f t="shared" si="215"/>
        <v>0</v>
      </c>
      <c r="L805" s="149">
        <f t="shared" si="215"/>
        <v>0</v>
      </c>
      <c r="M805" s="149">
        <f t="shared" si="215"/>
        <v>620217</v>
      </c>
      <c r="N805" s="149">
        <f t="shared" si="215"/>
        <v>0</v>
      </c>
      <c r="O805" s="149">
        <f t="shared" si="215"/>
        <v>0</v>
      </c>
      <c r="P805" s="199">
        <f>SUM(H805:O805)</f>
        <v>826956</v>
      </c>
      <c r="Q805" s="199"/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42"/>
      <c r="N806" s="142"/>
      <c r="O806" s="142"/>
      <c r="P806" s="160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O807" si="216">$H$800-H804</f>
        <v>157932610</v>
      </c>
      <c r="I807" s="149">
        <f t="shared" si="216"/>
        <v>157932610</v>
      </c>
      <c r="J807" s="149">
        <f t="shared" si="216"/>
        <v>157762610</v>
      </c>
      <c r="K807" s="149">
        <f t="shared" si="216"/>
        <v>157762610</v>
      </c>
      <c r="L807" s="149">
        <f t="shared" si="216"/>
        <v>157762610</v>
      </c>
      <c r="M807" s="149">
        <f t="shared" si="216"/>
        <v>157202610</v>
      </c>
      <c r="N807" s="149">
        <f t="shared" si="216"/>
        <v>157202610</v>
      </c>
      <c r="O807" s="149">
        <f t="shared" si="216"/>
        <v>157202610</v>
      </c>
      <c r="P807" s="160"/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P808" si="217">IFERROR(H804/$H$890,0)</f>
        <v>0.009397227273</v>
      </c>
      <c r="I808" s="142">
        <f t="shared" si="217"/>
        <v>0.009397227273</v>
      </c>
      <c r="J808" s="142">
        <f t="shared" si="217"/>
        <v>0.01016995455</v>
      </c>
      <c r="K808" s="142">
        <f t="shared" si="217"/>
        <v>0.01016995455</v>
      </c>
      <c r="L808" s="142">
        <f t="shared" si="217"/>
        <v>0.01016995455</v>
      </c>
      <c r="M808" s="142">
        <f t="shared" si="217"/>
        <v>0.01271540909</v>
      </c>
      <c r="N808" s="142">
        <f t="shared" si="217"/>
        <v>0.01271540909</v>
      </c>
      <c r="O808" s="142">
        <f t="shared" si="217"/>
        <v>0.01271540909</v>
      </c>
      <c r="P808" s="200">
        <f t="shared" si="217"/>
        <v>0</v>
      </c>
      <c r="Q808" s="200"/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P809" si="218">IFERROR(1-(H804/$H$800),0)</f>
        <v>0.9870788125</v>
      </c>
      <c r="I809" s="142">
        <f t="shared" si="218"/>
        <v>0.9870788125</v>
      </c>
      <c r="J809" s="142">
        <f t="shared" si="218"/>
        <v>0.9860163125</v>
      </c>
      <c r="K809" s="142">
        <f t="shared" si="218"/>
        <v>0.9860163125</v>
      </c>
      <c r="L809" s="142">
        <f t="shared" si="218"/>
        <v>0.9860163125</v>
      </c>
      <c r="M809" s="142">
        <f t="shared" si="218"/>
        <v>0.9825163125</v>
      </c>
      <c r="N809" s="142">
        <f t="shared" si="218"/>
        <v>0.9825163125</v>
      </c>
      <c r="O809" s="142">
        <f t="shared" si="218"/>
        <v>0.9825163125</v>
      </c>
      <c r="P809" s="200">
        <f t="shared" si="218"/>
        <v>0</v>
      </c>
      <c r="Q809" s="200"/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58"/>
      <c r="N810" s="158"/>
      <c r="O810" s="158"/>
      <c r="P810" s="19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9">ROUNDUP(H805/H812,0)</f>
        <v>0</v>
      </c>
      <c r="I811" s="190">
        <f t="shared" si="219"/>
        <v>0</v>
      </c>
      <c r="J811" s="190">
        <f t="shared" si="219"/>
        <v>5</v>
      </c>
      <c r="K811" s="190">
        <f t="shared" si="219"/>
        <v>0</v>
      </c>
      <c r="L811" s="190">
        <f t="shared" si="219"/>
        <v>0</v>
      </c>
      <c r="M811" s="190">
        <f>ROUND(M805/M812,0)</f>
        <v>14</v>
      </c>
      <c r="N811" s="190">
        <f t="shared" ref="N811:O811" si="220">ROUNDUP(N805/N812,0)</f>
        <v>0</v>
      </c>
      <c r="O811" s="190">
        <f t="shared" si="220"/>
        <v>0</v>
      </c>
      <c r="P811" s="201">
        <f>SUM(H811:O811)</f>
        <v>19</v>
      </c>
      <c r="Q811" s="201"/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56">
        <v>44500.0</v>
      </c>
      <c r="N812" s="156">
        <v>44500.0</v>
      </c>
      <c r="O812" s="156">
        <v>44500.0</v>
      </c>
      <c r="P812" s="198"/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O813" si="221">SUM(H827,H830,H833,H836,H839)</f>
        <v>0</v>
      </c>
      <c r="I813" s="188">
        <f t="shared" si="221"/>
        <v>0</v>
      </c>
      <c r="J813" s="188">
        <f t="shared" si="221"/>
        <v>170000</v>
      </c>
      <c r="K813" s="188">
        <f t="shared" si="221"/>
        <v>0</v>
      </c>
      <c r="L813" s="188">
        <f t="shared" si="221"/>
        <v>0</v>
      </c>
      <c r="M813" s="188">
        <f t="shared" si="221"/>
        <v>560000</v>
      </c>
      <c r="N813" s="188">
        <f t="shared" si="221"/>
        <v>0</v>
      </c>
      <c r="O813" s="188">
        <f t="shared" si="221"/>
        <v>0</v>
      </c>
      <c r="P813" s="196">
        <f>SUM(H813:O813)</f>
        <v>730000</v>
      </c>
      <c r="Q813" s="160"/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203">
        <v>0.5</v>
      </c>
      <c r="N814" s="203">
        <v>0.5</v>
      </c>
      <c r="O814" s="203">
        <v>0.5</v>
      </c>
      <c r="P814" s="198"/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203">
        <v>0.4</v>
      </c>
      <c r="N815" s="203">
        <v>0.4</v>
      </c>
      <c r="O815" s="203">
        <v>0.4</v>
      </c>
      <c r="P815" s="198"/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203">
        <v>0.05</v>
      </c>
      <c r="N816" s="203">
        <v>0.05</v>
      </c>
      <c r="O816" s="203">
        <v>0.05</v>
      </c>
      <c r="P816" s="198"/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203">
        <v>0.05</v>
      </c>
      <c r="N817" s="203">
        <v>0.05</v>
      </c>
      <c r="O817" s="203">
        <v>0.05</v>
      </c>
      <c r="P817" s="198"/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203">
        <v>0.0</v>
      </c>
      <c r="N818" s="203">
        <v>0.0</v>
      </c>
      <c r="O818" s="203">
        <v>0.0</v>
      </c>
      <c r="P818" s="198"/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204">
        <v>70000.0</v>
      </c>
      <c r="N819" s="204">
        <v>70000.0</v>
      </c>
      <c r="O819" s="204">
        <v>70000.0</v>
      </c>
      <c r="P819" s="198"/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204">
        <v>10000.0</v>
      </c>
      <c r="N820" s="204">
        <v>10000.0</v>
      </c>
      <c r="O820" s="204">
        <v>10000.0</v>
      </c>
      <c r="P820" s="198"/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204">
        <v>10000.0</v>
      </c>
      <c r="N821" s="204">
        <v>10000.0</v>
      </c>
      <c r="O821" s="204">
        <v>10000.0</v>
      </c>
      <c r="P821" s="198"/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204">
        <v>100000.0</v>
      </c>
      <c r="N822" s="204">
        <v>100000.0</v>
      </c>
      <c r="O822" s="204">
        <v>100000.0</v>
      </c>
      <c r="P822" s="198"/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204">
        <v>0.0</v>
      </c>
      <c r="N823" s="204">
        <v>0.0</v>
      </c>
      <c r="O823" s="204">
        <v>0.0</v>
      </c>
      <c r="P823" s="198"/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62">
        <f>IFERROR(__xludf.DUMMYFUNCTION("MATCH(
  MIN(FILTER(M819:M823,M819:M823&gt;0)),
  M819:M823,
  0
)
"),2.0)</f>
        <v>2</v>
      </c>
      <c r="N824" s="162">
        <f>IFERROR(__xludf.DUMMYFUNCTION("MATCH(
  MIN(FILTER(N819:N823,N819:N823&gt;0)),
  N819:N823,
  0
)
"),2.0)</f>
        <v>2</v>
      </c>
      <c r="O824" s="162">
        <f>IFERROR(__xludf.DUMMYFUNCTION("MATCH(
  MIN(FILTER(O819:O823,O819:O823&gt;0)),
  O819:O823,
  0
)
"),2.0)</f>
        <v>2</v>
      </c>
      <c r="P824" s="198"/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48"/>
      <c r="N825" s="148"/>
      <c r="O825" s="148"/>
      <c r="P825" s="19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O826" si="222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2"/>
        <v>0</v>
      </c>
      <c r="J826" s="148">
        <f t="shared" si="222"/>
        <v>2</v>
      </c>
      <c r="K826" s="148">
        <f t="shared" si="222"/>
        <v>0</v>
      </c>
      <c r="L826" s="148">
        <f t="shared" si="222"/>
        <v>0</v>
      </c>
      <c r="M826" s="148">
        <f t="shared" si="222"/>
        <v>7</v>
      </c>
      <c r="N826" s="148">
        <f t="shared" si="222"/>
        <v>0</v>
      </c>
      <c r="O826" s="148">
        <f t="shared" si="222"/>
        <v>0</v>
      </c>
      <c r="P826" s="198"/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O827" si="223">(H826*H819)</f>
        <v>0</v>
      </c>
      <c r="I827" s="150">
        <f t="shared" si="223"/>
        <v>0</v>
      </c>
      <c r="J827" s="150">
        <f t="shared" si="223"/>
        <v>140000</v>
      </c>
      <c r="K827" s="150">
        <f t="shared" si="223"/>
        <v>0</v>
      </c>
      <c r="L827" s="150">
        <f t="shared" si="223"/>
        <v>0</v>
      </c>
      <c r="M827" s="150">
        <f t="shared" si="223"/>
        <v>490000</v>
      </c>
      <c r="N827" s="150">
        <f t="shared" si="223"/>
        <v>0</v>
      </c>
      <c r="O827" s="150">
        <f t="shared" si="223"/>
        <v>0</v>
      </c>
      <c r="P827" s="198"/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48"/>
      <c r="N828" s="148"/>
      <c r="O828" s="148"/>
      <c r="P828" s="19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O829" si="224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4"/>
        <v>0</v>
      </c>
      <c r="J829" s="148">
        <f t="shared" si="224"/>
        <v>3</v>
      </c>
      <c r="K829" s="148">
        <f t="shared" si="224"/>
        <v>0</v>
      </c>
      <c r="L829" s="148">
        <f t="shared" si="224"/>
        <v>0</v>
      </c>
      <c r="M829" s="148">
        <f t="shared" si="224"/>
        <v>7</v>
      </c>
      <c r="N829" s="148">
        <f t="shared" si="224"/>
        <v>0</v>
      </c>
      <c r="O829" s="148">
        <f t="shared" si="224"/>
        <v>0</v>
      </c>
      <c r="P829" s="198"/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O830" si="225">(H820*H829)</f>
        <v>0</v>
      </c>
      <c r="I830" s="150">
        <f t="shared" si="225"/>
        <v>0</v>
      </c>
      <c r="J830" s="150">
        <f t="shared" si="225"/>
        <v>30000</v>
      </c>
      <c r="K830" s="150">
        <f t="shared" si="225"/>
        <v>0</v>
      </c>
      <c r="L830" s="150">
        <f t="shared" si="225"/>
        <v>0</v>
      </c>
      <c r="M830" s="150">
        <f t="shared" si="225"/>
        <v>70000</v>
      </c>
      <c r="N830" s="150">
        <f t="shared" si="225"/>
        <v>0</v>
      </c>
      <c r="O830" s="150">
        <f t="shared" si="225"/>
        <v>0</v>
      </c>
      <c r="P830" s="198"/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48"/>
      <c r="N831" s="148"/>
      <c r="O831" s="148"/>
      <c r="P831" s="19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O832" si="226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6"/>
        <v>0</v>
      </c>
      <c r="J832" s="148">
        <f t="shared" si="226"/>
        <v>0</v>
      </c>
      <c r="K832" s="148">
        <f t="shared" si="226"/>
        <v>0</v>
      </c>
      <c r="L832" s="148">
        <f t="shared" si="226"/>
        <v>0</v>
      </c>
      <c r="M832" s="148">
        <f t="shared" si="226"/>
        <v>0</v>
      </c>
      <c r="N832" s="148">
        <f t="shared" si="226"/>
        <v>0</v>
      </c>
      <c r="O832" s="148">
        <f t="shared" si="226"/>
        <v>0</v>
      </c>
      <c r="P832" s="198"/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O833" si="227">(H821*H832)</f>
        <v>0</v>
      </c>
      <c r="I833" s="150">
        <f t="shared" si="227"/>
        <v>0</v>
      </c>
      <c r="J833" s="150">
        <f t="shared" si="227"/>
        <v>0</v>
      </c>
      <c r="K833" s="150">
        <f t="shared" si="227"/>
        <v>0</v>
      </c>
      <c r="L833" s="150">
        <f t="shared" si="227"/>
        <v>0</v>
      </c>
      <c r="M833" s="150">
        <f t="shared" si="227"/>
        <v>0</v>
      </c>
      <c r="N833" s="150">
        <f t="shared" si="227"/>
        <v>0</v>
      </c>
      <c r="O833" s="150">
        <f t="shared" si="227"/>
        <v>0</v>
      </c>
      <c r="P833" s="198"/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48"/>
      <c r="N834" s="148"/>
      <c r="O834" s="148"/>
      <c r="P834" s="19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O835" si="228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8"/>
        <v>0</v>
      </c>
      <c r="J835" s="148">
        <f t="shared" si="228"/>
        <v>0</v>
      </c>
      <c r="K835" s="148">
        <f t="shared" si="228"/>
        <v>0</v>
      </c>
      <c r="L835" s="148">
        <f t="shared" si="228"/>
        <v>0</v>
      </c>
      <c r="M835" s="148">
        <f t="shared" si="228"/>
        <v>0</v>
      </c>
      <c r="N835" s="148">
        <f t="shared" si="228"/>
        <v>0</v>
      </c>
      <c r="O835" s="148">
        <f t="shared" si="228"/>
        <v>0</v>
      </c>
      <c r="P835" s="198"/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O836" si="229">(H822*H835)</f>
        <v>0</v>
      </c>
      <c r="I836" s="150">
        <f t="shared" si="229"/>
        <v>0</v>
      </c>
      <c r="J836" s="150">
        <f t="shared" si="229"/>
        <v>0</v>
      </c>
      <c r="K836" s="150">
        <f t="shared" si="229"/>
        <v>0</v>
      </c>
      <c r="L836" s="150">
        <f t="shared" si="229"/>
        <v>0</v>
      </c>
      <c r="M836" s="150">
        <f t="shared" si="229"/>
        <v>0</v>
      </c>
      <c r="N836" s="150">
        <f t="shared" si="229"/>
        <v>0</v>
      </c>
      <c r="O836" s="150">
        <f t="shared" si="229"/>
        <v>0</v>
      </c>
      <c r="P836" s="198"/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48"/>
      <c r="N837" s="148"/>
      <c r="O837" s="148"/>
      <c r="P837" s="19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O838" si="230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30"/>
        <v>0</v>
      </c>
      <c r="J838" s="148">
        <f t="shared" si="230"/>
        <v>0</v>
      </c>
      <c r="K838" s="148">
        <f t="shared" si="230"/>
        <v>0</v>
      </c>
      <c r="L838" s="148">
        <f t="shared" si="230"/>
        <v>0</v>
      </c>
      <c r="M838" s="148">
        <f t="shared" si="230"/>
        <v>0</v>
      </c>
      <c r="N838" s="148">
        <f t="shared" si="230"/>
        <v>0</v>
      </c>
      <c r="O838" s="148">
        <f t="shared" si="230"/>
        <v>0</v>
      </c>
      <c r="P838" s="198"/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O839" si="231">(H823*H838)</f>
        <v>0</v>
      </c>
      <c r="I839" s="150">
        <f t="shared" si="231"/>
        <v>0</v>
      </c>
      <c r="J839" s="150">
        <f t="shared" si="231"/>
        <v>0</v>
      </c>
      <c r="K839" s="150">
        <f t="shared" si="231"/>
        <v>0</v>
      </c>
      <c r="L839" s="150">
        <f t="shared" si="231"/>
        <v>0</v>
      </c>
      <c r="M839" s="150">
        <f t="shared" si="231"/>
        <v>0</v>
      </c>
      <c r="N839" s="150">
        <f t="shared" si="231"/>
        <v>0</v>
      </c>
      <c r="O839" s="150">
        <f t="shared" si="231"/>
        <v>0</v>
      </c>
      <c r="P839" s="198"/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60"/>
      <c r="N840" s="160"/>
      <c r="O840" s="160"/>
      <c r="P840" s="198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42</v>
      </c>
      <c r="I842" s="206"/>
      <c r="J842" s="206"/>
      <c r="K842" s="206"/>
      <c r="L842" s="206"/>
      <c r="M842" s="206"/>
      <c r="N842" s="206"/>
      <c r="O842" s="206"/>
      <c r="P842" s="198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0.01682857143</v>
      </c>
      <c r="H843" s="149">
        <f>H442</f>
        <v>2120400</v>
      </c>
      <c r="I843" s="149"/>
      <c r="J843" s="149"/>
      <c r="K843" s="149"/>
      <c r="L843" s="149"/>
      <c r="M843" s="149"/>
      <c r="N843" s="149"/>
      <c r="O843" s="149"/>
      <c r="P843" s="160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56"/>
      <c r="N844" s="156"/>
      <c r="O844" s="156"/>
      <c r="P844" s="160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126000000</v>
      </c>
      <c r="I845" s="149"/>
      <c r="J845" s="149"/>
      <c r="K845" s="149"/>
      <c r="L845" s="149"/>
      <c r="M845" s="149"/>
      <c r="N845" s="149"/>
      <c r="O845" s="149"/>
      <c r="P845" s="160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49"/>
      <c r="N846" s="149"/>
      <c r="O846" s="149"/>
      <c r="P846" s="160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0.05048571429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>
        <v>0.3</v>
      </c>
      <c r="N847" s="145">
        <v>0.0</v>
      </c>
      <c r="O847" s="145">
        <v>0.0</v>
      </c>
      <c r="P847" s="145"/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6361200</v>
      </c>
      <c r="H848" s="19"/>
      <c r="I848" s="19"/>
      <c r="J848" s="19"/>
      <c r="K848" s="19"/>
      <c r="L848" s="19"/>
      <c r="M848" s="19"/>
      <c r="N848" s="19"/>
      <c r="O848" s="19"/>
      <c r="P848" s="16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2120400</v>
      </c>
      <c r="I849" s="149">
        <f t="shared" ref="I849:O849" si="232">H849+I858</f>
        <v>2120400</v>
      </c>
      <c r="J849" s="149">
        <f t="shared" si="232"/>
        <v>2560400</v>
      </c>
      <c r="K849" s="149">
        <f t="shared" si="232"/>
        <v>2560400</v>
      </c>
      <c r="L849" s="149">
        <f t="shared" si="232"/>
        <v>2560400</v>
      </c>
      <c r="M849" s="149">
        <f t="shared" si="232"/>
        <v>3781400</v>
      </c>
      <c r="N849" s="149">
        <f t="shared" si="232"/>
        <v>3781400</v>
      </c>
      <c r="O849" s="149">
        <f t="shared" si="232"/>
        <v>3781400</v>
      </c>
      <c r="P849" s="199" t="str">
        <f>#REF!</f>
        <v>#REF!</v>
      </c>
      <c r="Q849" s="199"/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4240800</v>
      </c>
      <c r="H850" s="149">
        <f t="shared" ref="H850:O850" si="233">$G$850*H847</f>
        <v>0</v>
      </c>
      <c r="I850" s="149">
        <f t="shared" si="233"/>
        <v>0</v>
      </c>
      <c r="J850" s="149">
        <f t="shared" si="233"/>
        <v>424080</v>
      </c>
      <c r="K850" s="149">
        <f t="shared" si="233"/>
        <v>0</v>
      </c>
      <c r="L850" s="149">
        <f t="shared" si="233"/>
        <v>0</v>
      </c>
      <c r="M850" s="149">
        <f t="shared" si="233"/>
        <v>1272240</v>
      </c>
      <c r="N850" s="149">
        <f t="shared" si="233"/>
        <v>0</v>
      </c>
      <c r="O850" s="149">
        <f t="shared" si="233"/>
        <v>0</v>
      </c>
      <c r="P850" s="199">
        <f>SUM(H850:O850)</f>
        <v>1696320</v>
      </c>
      <c r="Q850" s="199"/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42"/>
      <c r="N851" s="142"/>
      <c r="O851" s="142"/>
      <c r="P851" s="160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O852" si="234">$H$845-H849</f>
        <v>123879600</v>
      </c>
      <c r="I852" s="149">
        <f t="shared" si="234"/>
        <v>123879600</v>
      </c>
      <c r="J852" s="149">
        <f t="shared" si="234"/>
        <v>123439600</v>
      </c>
      <c r="K852" s="149">
        <f t="shared" si="234"/>
        <v>123439600</v>
      </c>
      <c r="L852" s="149">
        <f t="shared" si="234"/>
        <v>123439600</v>
      </c>
      <c r="M852" s="149">
        <f t="shared" si="234"/>
        <v>122218600</v>
      </c>
      <c r="N852" s="149">
        <f t="shared" si="234"/>
        <v>122218600</v>
      </c>
      <c r="O852" s="149">
        <f t="shared" si="234"/>
        <v>122218600</v>
      </c>
      <c r="P852" s="160"/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P853" si="235">IFERROR(H849/$H$845,0)</f>
        <v>0.01682857143</v>
      </c>
      <c r="I853" s="142">
        <f t="shared" si="235"/>
        <v>0.01682857143</v>
      </c>
      <c r="J853" s="142">
        <f t="shared" si="235"/>
        <v>0.02032063492</v>
      </c>
      <c r="K853" s="142">
        <f t="shared" si="235"/>
        <v>0.02032063492</v>
      </c>
      <c r="L853" s="142">
        <f t="shared" si="235"/>
        <v>0.02032063492</v>
      </c>
      <c r="M853" s="142">
        <f t="shared" si="235"/>
        <v>0.03001111111</v>
      </c>
      <c r="N853" s="142">
        <f t="shared" si="235"/>
        <v>0.03001111111</v>
      </c>
      <c r="O853" s="142">
        <f t="shared" si="235"/>
        <v>0.03001111111</v>
      </c>
      <c r="P853" s="200">
        <f t="shared" si="235"/>
        <v>0</v>
      </c>
      <c r="Q853" s="200"/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P854" si="236">IFERROR(1-(H849/$H$845),0)</f>
        <v>0.9831714286</v>
      </c>
      <c r="I854" s="142">
        <f t="shared" si="236"/>
        <v>0.9831714286</v>
      </c>
      <c r="J854" s="142">
        <f t="shared" si="236"/>
        <v>0.9796793651</v>
      </c>
      <c r="K854" s="142">
        <f t="shared" si="236"/>
        <v>0.9796793651</v>
      </c>
      <c r="L854" s="142">
        <f t="shared" si="236"/>
        <v>0.9796793651</v>
      </c>
      <c r="M854" s="142">
        <f t="shared" si="236"/>
        <v>0.9699888889</v>
      </c>
      <c r="N854" s="142">
        <f t="shared" si="236"/>
        <v>0.9699888889</v>
      </c>
      <c r="O854" s="142">
        <f t="shared" si="236"/>
        <v>0.9699888889</v>
      </c>
      <c r="P854" s="200">
        <f t="shared" si="236"/>
        <v>0</v>
      </c>
      <c r="Q854" s="200"/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7"/>
      <c r="N855" s="207"/>
      <c r="O855" s="207"/>
      <c r="P855" s="208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7">ROUNDUP(H850/H857,0)</f>
        <v>0</v>
      </c>
      <c r="I856" s="190">
        <f t="shared" si="237"/>
        <v>0</v>
      </c>
      <c r="J856" s="190">
        <f t="shared" si="237"/>
        <v>20</v>
      </c>
      <c r="K856" s="190">
        <f t="shared" si="237"/>
        <v>0</v>
      </c>
      <c r="L856" s="190">
        <f t="shared" si="237"/>
        <v>0</v>
      </c>
      <c r="M856" s="190">
        <f>ROUND(M850/M857,0)</f>
        <v>58</v>
      </c>
      <c r="N856" s="190">
        <f t="shared" ref="N856:O856" si="238">ROUNDUP(N850/N857,0)</f>
        <v>0</v>
      </c>
      <c r="O856" s="190">
        <f t="shared" si="238"/>
        <v>0</v>
      </c>
      <c r="P856" s="201">
        <f>SUM(H856:O856)</f>
        <v>78</v>
      </c>
      <c r="Q856" s="201"/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56">
        <v>22000.0</v>
      </c>
      <c r="N857" s="156">
        <v>22000.0</v>
      </c>
      <c r="O857" s="156">
        <v>22000.0</v>
      </c>
      <c r="P857" s="198"/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O858" si="239">SUM(H872,H875,H878,H881,H884)</f>
        <v>0</v>
      </c>
      <c r="I858" s="188">
        <f t="shared" si="239"/>
        <v>0</v>
      </c>
      <c r="J858" s="188">
        <f t="shared" si="239"/>
        <v>440000</v>
      </c>
      <c r="K858" s="188">
        <f t="shared" si="239"/>
        <v>0</v>
      </c>
      <c r="L858" s="188">
        <f t="shared" si="239"/>
        <v>0</v>
      </c>
      <c r="M858" s="188">
        <f t="shared" si="239"/>
        <v>1221000</v>
      </c>
      <c r="N858" s="188">
        <f t="shared" si="239"/>
        <v>0</v>
      </c>
      <c r="O858" s="188">
        <f t="shared" si="239"/>
        <v>0</v>
      </c>
      <c r="P858" s="196">
        <f>SUM(H858:O858)</f>
        <v>1661000</v>
      </c>
      <c r="Q858" s="160"/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203">
        <v>0.4</v>
      </c>
      <c r="N859" s="203">
        <v>0.4</v>
      </c>
      <c r="O859" s="203">
        <v>0.4</v>
      </c>
      <c r="P859" s="198"/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203">
        <v>0.4</v>
      </c>
      <c r="N860" s="203">
        <v>0.4</v>
      </c>
      <c r="O860" s="203">
        <v>0.4</v>
      </c>
      <c r="P860" s="198"/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203">
        <v>0.1</v>
      </c>
      <c r="N861" s="203">
        <v>0.1</v>
      </c>
      <c r="O861" s="203">
        <v>0.1</v>
      </c>
      <c r="P861" s="198"/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203">
        <v>0.1</v>
      </c>
      <c r="N862" s="203">
        <v>0.1</v>
      </c>
      <c r="O862" s="203">
        <v>0.1</v>
      </c>
      <c r="P862" s="198"/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203">
        <v>0.0</v>
      </c>
      <c r="N863" s="203">
        <v>0.0</v>
      </c>
      <c r="O863" s="203">
        <v>0.0</v>
      </c>
      <c r="P863" s="198"/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204">
        <v>25000.0</v>
      </c>
      <c r="N864" s="204">
        <v>25000.0</v>
      </c>
      <c r="O864" s="204">
        <v>25000.0</v>
      </c>
      <c r="P864" s="198"/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204">
        <v>10000.0</v>
      </c>
      <c r="N865" s="204">
        <v>10000.0</v>
      </c>
      <c r="O865" s="204">
        <v>10000.0</v>
      </c>
      <c r="P865" s="198"/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204">
        <v>8000.0</v>
      </c>
      <c r="N866" s="204">
        <v>8000.0</v>
      </c>
      <c r="O866" s="204">
        <v>8000.0</v>
      </c>
      <c r="P866" s="198"/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204">
        <v>72000.0</v>
      </c>
      <c r="N867" s="204">
        <v>72000.0</v>
      </c>
      <c r="O867" s="204">
        <v>72000.0</v>
      </c>
      <c r="P867" s="198"/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204">
        <v>0.0</v>
      </c>
      <c r="N868" s="204">
        <v>0.0</v>
      </c>
      <c r="O868" s="204">
        <v>0.0</v>
      </c>
      <c r="P868" s="198"/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62">
        <f>IFERROR(__xludf.DUMMYFUNCTION("MATCH(
  MIN(FILTER(M864:M868,M864:M868&gt;0)),
  M864:M868,
  0
)
"),3.0)</f>
        <v>3</v>
      </c>
      <c r="N869" s="162">
        <f>IFERROR(__xludf.DUMMYFUNCTION("MATCH(
  MIN(FILTER(N864:N868,N864:N868&gt;0)),
  N864:N868,
  0
)
"),3.0)</f>
        <v>3</v>
      </c>
      <c r="O869" s="162">
        <f>IFERROR(__xludf.DUMMYFUNCTION("MATCH(
  MIN(FILTER(O864:O868,O864:O868&gt;0)),
  O864:O868,
  0
)
"),3.0)</f>
        <v>3</v>
      </c>
      <c r="P869" s="198"/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48"/>
      <c r="N870" s="148"/>
      <c r="O870" s="148"/>
      <c r="P870" s="19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O871" si="240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40"/>
        <v>0</v>
      </c>
      <c r="J871" s="148">
        <f t="shared" si="240"/>
        <v>8</v>
      </c>
      <c r="K871" s="148">
        <f t="shared" si="240"/>
        <v>0</v>
      </c>
      <c r="L871" s="148">
        <f t="shared" si="240"/>
        <v>0</v>
      </c>
      <c r="M871" s="148">
        <f t="shared" si="240"/>
        <v>23</v>
      </c>
      <c r="N871" s="148">
        <f t="shared" si="240"/>
        <v>0</v>
      </c>
      <c r="O871" s="148">
        <f t="shared" si="240"/>
        <v>0</v>
      </c>
      <c r="P871" s="198"/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O872" si="241">(H871*H864)</f>
        <v>0</v>
      </c>
      <c r="I872" s="150">
        <f t="shared" si="241"/>
        <v>0</v>
      </c>
      <c r="J872" s="150">
        <f t="shared" si="241"/>
        <v>200000</v>
      </c>
      <c r="K872" s="150">
        <f t="shared" si="241"/>
        <v>0</v>
      </c>
      <c r="L872" s="150">
        <f t="shared" si="241"/>
        <v>0</v>
      </c>
      <c r="M872" s="150">
        <f t="shared" si="241"/>
        <v>575000</v>
      </c>
      <c r="N872" s="150">
        <f t="shared" si="241"/>
        <v>0</v>
      </c>
      <c r="O872" s="150">
        <f t="shared" si="241"/>
        <v>0</v>
      </c>
      <c r="P872" s="198"/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48"/>
      <c r="N873" s="148"/>
      <c r="O873" s="148"/>
      <c r="P873" s="19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O874" si="242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2"/>
        <v>0</v>
      </c>
      <c r="J874" s="148">
        <f t="shared" si="242"/>
        <v>8</v>
      </c>
      <c r="K874" s="148">
        <f t="shared" si="242"/>
        <v>0</v>
      </c>
      <c r="L874" s="148">
        <f t="shared" si="242"/>
        <v>0</v>
      </c>
      <c r="M874" s="148">
        <f t="shared" si="242"/>
        <v>23</v>
      </c>
      <c r="N874" s="148">
        <f t="shared" si="242"/>
        <v>0</v>
      </c>
      <c r="O874" s="148">
        <f t="shared" si="242"/>
        <v>0</v>
      </c>
      <c r="P874" s="198"/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O875" si="243">(H865*H874)</f>
        <v>0</v>
      </c>
      <c r="I875" s="150">
        <f t="shared" si="243"/>
        <v>0</v>
      </c>
      <c r="J875" s="150">
        <f t="shared" si="243"/>
        <v>80000</v>
      </c>
      <c r="K875" s="150">
        <f t="shared" si="243"/>
        <v>0</v>
      </c>
      <c r="L875" s="150">
        <f t="shared" si="243"/>
        <v>0</v>
      </c>
      <c r="M875" s="150">
        <f t="shared" si="243"/>
        <v>230000</v>
      </c>
      <c r="N875" s="150">
        <f t="shared" si="243"/>
        <v>0</v>
      </c>
      <c r="O875" s="150">
        <f t="shared" si="243"/>
        <v>0</v>
      </c>
      <c r="P875" s="198"/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48"/>
      <c r="N876" s="148"/>
      <c r="O876" s="148"/>
      <c r="P876" s="19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O877" si="244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4"/>
        <v>0</v>
      </c>
      <c r="J877" s="148">
        <f t="shared" si="244"/>
        <v>2</v>
      </c>
      <c r="K877" s="148">
        <f t="shared" si="244"/>
        <v>0</v>
      </c>
      <c r="L877" s="148">
        <f t="shared" si="244"/>
        <v>0</v>
      </c>
      <c r="M877" s="148">
        <f t="shared" si="244"/>
        <v>7</v>
      </c>
      <c r="N877" s="148">
        <f t="shared" si="244"/>
        <v>0</v>
      </c>
      <c r="O877" s="148">
        <f t="shared" si="244"/>
        <v>0</v>
      </c>
      <c r="P877" s="198"/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O878" si="245">(H866*H877)</f>
        <v>0</v>
      </c>
      <c r="I878" s="150">
        <f t="shared" si="245"/>
        <v>0</v>
      </c>
      <c r="J878" s="150">
        <f t="shared" si="245"/>
        <v>16000</v>
      </c>
      <c r="K878" s="150">
        <f t="shared" si="245"/>
        <v>0</v>
      </c>
      <c r="L878" s="150">
        <f t="shared" si="245"/>
        <v>0</v>
      </c>
      <c r="M878" s="150">
        <f t="shared" si="245"/>
        <v>56000</v>
      </c>
      <c r="N878" s="150">
        <f t="shared" si="245"/>
        <v>0</v>
      </c>
      <c r="O878" s="150">
        <f t="shared" si="245"/>
        <v>0</v>
      </c>
      <c r="P878" s="198"/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48"/>
      <c r="N879" s="148"/>
      <c r="O879" s="148"/>
      <c r="P879" s="19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O880" si="246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6"/>
        <v>0</v>
      </c>
      <c r="J880" s="148">
        <f t="shared" si="246"/>
        <v>2</v>
      </c>
      <c r="K880" s="148">
        <f t="shared" si="246"/>
        <v>0</v>
      </c>
      <c r="L880" s="148">
        <f t="shared" si="246"/>
        <v>0</v>
      </c>
      <c r="M880" s="148">
        <f t="shared" si="246"/>
        <v>5</v>
      </c>
      <c r="N880" s="148">
        <f t="shared" si="246"/>
        <v>0</v>
      </c>
      <c r="O880" s="148">
        <f t="shared" si="246"/>
        <v>0</v>
      </c>
      <c r="P880" s="198"/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O881" si="247">(H867*H880)</f>
        <v>0</v>
      </c>
      <c r="I881" s="150">
        <f t="shared" si="247"/>
        <v>0</v>
      </c>
      <c r="J881" s="150">
        <f t="shared" si="247"/>
        <v>144000</v>
      </c>
      <c r="K881" s="150">
        <f t="shared" si="247"/>
        <v>0</v>
      </c>
      <c r="L881" s="150">
        <f t="shared" si="247"/>
        <v>0</v>
      </c>
      <c r="M881" s="150">
        <f t="shared" si="247"/>
        <v>360000</v>
      </c>
      <c r="N881" s="150">
        <f t="shared" si="247"/>
        <v>0</v>
      </c>
      <c r="O881" s="150">
        <f t="shared" si="247"/>
        <v>0</v>
      </c>
      <c r="P881" s="198"/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48"/>
      <c r="N882" s="148"/>
      <c r="O882" s="148"/>
      <c r="P882" s="19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O883" si="248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8"/>
        <v>0</v>
      </c>
      <c r="J883" s="148">
        <f t="shared" si="248"/>
        <v>0</v>
      </c>
      <c r="K883" s="148">
        <f t="shared" si="248"/>
        <v>0</v>
      </c>
      <c r="L883" s="148">
        <f t="shared" si="248"/>
        <v>0</v>
      </c>
      <c r="M883" s="148">
        <f t="shared" si="248"/>
        <v>0</v>
      </c>
      <c r="N883" s="148">
        <f t="shared" si="248"/>
        <v>0</v>
      </c>
      <c r="O883" s="148">
        <f t="shared" si="248"/>
        <v>0</v>
      </c>
      <c r="P883" s="198"/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O884" si="249">(H868*H883)</f>
        <v>0</v>
      </c>
      <c r="I884" s="150">
        <f t="shared" si="249"/>
        <v>0</v>
      </c>
      <c r="J884" s="150">
        <f t="shared" si="249"/>
        <v>0</v>
      </c>
      <c r="K884" s="150">
        <f t="shared" si="249"/>
        <v>0</v>
      </c>
      <c r="L884" s="150">
        <f t="shared" si="249"/>
        <v>0</v>
      </c>
      <c r="M884" s="150">
        <f t="shared" si="249"/>
        <v>0</v>
      </c>
      <c r="N884" s="150">
        <f t="shared" si="249"/>
        <v>0</v>
      </c>
      <c r="O884" s="150">
        <f t="shared" si="249"/>
        <v>0</v>
      </c>
      <c r="P884" s="198"/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63"/>
      <c r="N885" s="163"/>
      <c r="O885" s="163"/>
      <c r="P885" s="1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220</v>
      </c>
      <c r="I887" s="209"/>
      <c r="J887" s="209"/>
      <c r="K887" s="209"/>
      <c r="L887" s="209"/>
      <c r="M887" s="209"/>
      <c r="N887" s="209"/>
      <c r="O887" s="209"/>
      <c r="P887" s="198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0.04023940909</v>
      </c>
      <c r="H888" s="210">
        <f>H$468</f>
        <v>8852670</v>
      </c>
      <c r="I888" s="209"/>
      <c r="J888" s="209"/>
      <c r="K888" s="209"/>
      <c r="L888" s="209"/>
      <c r="M888" s="209"/>
      <c r="N888" s="209"/>
      <c r="O888" s="209"/>
      <c r="P888" s="198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158"/>
      <c r="M889" s="158"/>
      <c r="N889" s="158"/>
      <c r="O889" s="158"/>
      <c r="P889" s="211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220000000</v>
      </c>
      <c r="I890" s="212"/>
      <c r="J890" s="212"/>
      <c r="K890" s="212"/>
      <c r="L890" s="212"/>
      <c r="M890" s="212"/>
      <c r="N890" s="212"/>
      <c r="O890" s="212"/>
      <c r="P890" s="211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2"/>
      <c r="N891" s="212"/>
      <c r="O891" s="212"/>
      <c r="P891" s="211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0.08047881818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3">
        <v>0.1</v>
      </c>
      <c r="N892" s="213">
        <v>0.07</v>
      </c>
      <c r="O892" s="213">
        <v>0.05</v>
      </c>
      <c r="P892" s="211"/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17705340</v>
      </c>
      <c r="H893" s="149"/>
      <c r="I893" s="149"/>
      <c r="J893" s="149"/>
      <c r="K893" s="149"/>
      <c r="L893" s="149"/>
      <c r="M893" s="149"/>
      <c r="N893" s="149"/>
      <c r="O893" s="149"/>
      <c r="P893" s="211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8852670</v>
      </c>
      <c r="I894" s="149">
        <f t="shared" ref="I894:O894" si="250">H894+I903</f>
        <v>11672670</v>
      </c>
      <c r="J894" s="149">
        <f t="shared" si="250"/>
        <v>13162670</v>
      </c>
      <c r="K894" s="149">
        <f t="shared" si="250"/>
        <v>14462670</v>
      </c>
      <c r="L894" s="149">
        <f t="shared" si="250"/>
        <v>15316670</v>
      </c>
      <c r="M894" s="149">
        <f t="shared" si="250"/>
        <v>16170670</v>
      </c>
      <c r="N894" s="149">
        <f t="shared" si="250"/>
        <v>16792670</v>
      </c>
      <c r="O894" s="149">
        <f t="shared" si="250"/>
        <v>17238670</v>
      </c>
      <c r="P894" s="211" t="str">
        <f>#REF!</f>
        <v>#REF!</v>
      </c>
      <c r="Q894" s="211"/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8852670</v>
      </c>
      <c r="H895" s="149">
        <f t="shared" ref="H895:O895" si="251">$G$895*H892</f>
        <v>0</v>
      </c>
      <c r="I895" s="149">
        <f t="shared" si="251"/>
        <v>2832854.4</v>
      </c>
      <c r="J895" s="149">
        <f t="shared" si="251"/>
        <v>1504953.9</v>
      </c>
      <c r="K895" s="149">
        <f t="shared" si="251"/>
        <v>1327900.5</v>
      </c>
      <c r="L895" s="149">
        <f t="shared" si="251"/>
        <v>885267</v>
      </c>
      <c r="M895" s="149">
        <f t="shared" si="251"/>
        <v>885267</v>
      </c>
      <c r="N895" s="149">
        <f t="shared" si="251"/>
        <v>619686.9</v>
      </c>
      <c r="O895" s="149">
        <f t="shared" si="251"/>
        <v>442633.5</v>
      </c>
      <c r="P895" s="214">
        <f>SUM(H895:O895)</f>
        <v>8498563.2</v>
      </c>
      <c r="Q895" s="211"/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3"/>
      <c r="N896" s="213"/>
      <c r="O896" s="213"/>
      <c r="P896" s="211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O897" si="252">$H$890-H894</f>
        <v>211147330</v>
      </c>
      <c r="I897" s="149">
        <f t="shared" si="252"/>
        <v>208327330</v>
      </c>
      <c r="J897" s="149">
        <f t="shared" si="252"/>
        <v>206837330</v>
      </c>
      <c r="K897" s="149">
        <f t="shared" si="252"/>
        <v>205537330</v>
      </c>
      <c r="L897" s="149">
        <f t="shared" si="252"/>
        <v>204683330</v>
      </c>
      <c r="M897" s="149">
        <f t="shared" si="252"/>
        <v>203829330</v>
      </c>
      <c r="N897" s="149">
        <f t="shared" si="252"/>
        <v>203207330</v>
      </c>
      <c r="O897" s="149">
        <f t="shared" si="252"/>
        <v>202761330</v>
      </c>
      <c r="P897" s="149"/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P898" si="253">IFERROR(H894/$H$890,0)</f>
        <v>0.04023940909</v>
      </c>
      <c r="I898" s="142">
        <f t="shared" si="253"/>
        <v>0.05305759091</v>
      </c>
      <c r="J898" s="142">
        <f t="shared" si="253"/>
        <v>0.05983031818</v>
      </c>
      <c r="K898" s="142">
        <f t="shared" si="253"/>
        <v>0.06573940909</v>
      </c>
      <c r="L898" s="142">
        <f t="shared" si="253"/>
        <v>0.06962122727</v>
      </c>
      <c r="M898" s="142">
        <f t="shared" si="253"/>
        <v>0.07350304545</v>
      </c>
      <c r="N898" s="142">
        <f t="shared" si="253"/>
        <v>0.07633031818</v>
      </c>
      <c r="O898" s="142">
        <f t="shared" si="253"/>
        <v>0.07835759091</v>
      </c>
      <c r="P898" s="215">
        <f t="shared" si="253"/>
        <v>0</v>
      </c>
      <c r="Q898" s="215"/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P899" si="254">IFERROR(1-(H894/$H$890),0)</f>
        <v>0.9597605909</v>
      </c>
      <c r="I899" s="216">
        <f t="shared" si="254"/>
        <v>0.9469424091</v>
      </c>
      <c r="J899" s="216">
        <f t="shared" si="254"/>
        <v>0.9401696818</v>
      </c>
      <c r="K899" s="216">
        <f t="shared" si="254"/>
        <v>0.9342605909</v>
      </c>
      <c r="L899" s="216">
        <f t="shared" si="254"/>
        <v>0.9303787727</v>
      </c>
      <c r="M899" s="216">
        <f t="shared" si="254"/>
        <v>0.9264969545</v>
      </c>
      <c r="N899" s="216">
        <f t="shared" si="254"/>
        <v>0.9236696818</v>
      </c>
      <c r="O899" s="216">
        <f t="shared" si="254"/>
        <v>0.9216424091</v>
      </c>
      <c r="P899" s="215">
        <f t="shared" si="254"/>
        <v>0</v>
      </c>
      <c r="Q899" s="215"/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158"/>
      <c r="N900" s="158"/>
      <c r="O900" s="158"/>
      <c r="P900" s="211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5">ROUNDUP(H895/H902,0)</f>
        <v>0</v>
      </c>
      <c r="I901" s="217">
        <f t="shared" si="255"/>
        <v>157</v>
      </c>
      <c r="J901" s="217">
        <f t="shared" si="255"/>
        <v>84</v>
      </c>
      <c r="K901" s="217">
        <f t="shared" si="255"/>
        <v>74</v>
      </c>
      <c r="L901" s="217">
        <f t="shared" si="255"/>
        <v>49</v>
      </c>
      <c r="M901" s="217">
        <f>ROUND(M895/M902,0)</f>
        <v>49</v>
      </c>
      <c r="N901" s="217">
        <f t="shared" ref="N901:O901" si="256">ROUNDUP(N895/N902,0)</f>
        <v>35</v>
      </c>
      <c r="O901" s="217">
        <f t="shared" si="256"/>
        <v>25</v>
      </c>
      <c r="P901" s="218">
        <f>SUM(H901:O901)</f>
        <v>473</v>
      </c>
      <c r="Q901" s="211"/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56">
        <v>18100.0</v>
      </c>
      <c r="N902" s="156">
        <v>18100.0</v>
      </c>
      <c r="O902" s="156">
        <v>18100.0</v>
      </c>
      <c r="P902" s="198"/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O903" si="257">SUM(H917,H920,H923,H926,H929)</f>
        <v>0</v>
      </c>
      <c r="I903" s="188">
        <f t="shared" si="257"/>
        <v>2820000</v>
      </c>
      <c r="J903" s="188">
        <f t="shared" si="257"/>
        <v>1490000</v>
      </c>
      <c r="K903" s="188">
        <f t="shared" si="257"/>
        <v>1300000</v>
      </c>
      <c r="L903" s="188">
        <f t="shared" si="257"/>
        <v>854000</v>
      </c>
      <c r="M903" s="188">
        <f t="shared" si="257"/>
        <v>854000</v>
      </c>
      <c r="N903" s="188">
        <f t="shared" si="257"/>
        <v>622000</v>
      </c>
      <c r="O903" s="188">
        <f t="shared" si="257"/>
        <v>446000</v>
      </c>
      <c r="P903" s="214">
        <f>SUM(H903:O903)</f>
        <v>8386000</v>
      </c>
      <c r="Q903" s="214"/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203">
        <v>0.25</v>
      </c>
      <c r="N904" s="203">
        <v>0.25</v>
      </c>
      <c r="O904" s="203">
        <v>0.25</v>
      </c>
      <c r="P904" s="198"/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203">
        <v>0.35</v>
      </c>
      <c r="N905" s="203">
        <v>0.35</v>
      </c>
      <c r="O905" s="203">
        <v>0.35</v>
      </c>
      <c r="P905" s="198"/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203">
        <v>0.2</v>
      </c>
      <c r="N906" s="203">
        <v>0.2</v>
      </c>
      <c r="O906" s="203">
        <v>0.2</v>
      </c>
      <c r="P906" s="198"/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203">
        <v>0.2</v>
      </c>
      <c r="N907" s="203">
        <v>0.2</v>
      </c>
      <c r="O907" s="203">
        <v>0.2</v>
      </c>
      <c r="P907" s="198"/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203">
        <v>0.0</v>
      </c>
      <c r="N908" s="203">
        <v>0.0</v>
      </c>
      <c r="O908" s="203">
        <v>0.0</v>
      </c>
      <c r="P908" s="198"/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204">
        <v>20000.0</v>
      </c>
      <c r="N909" s="204">
        <v>20000.0</v>
      </c>
      <c r="O909" s="204">
        <v>20000.0</v>
      </c>
      <c r="P909" s="198"/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204">
        <v>10000.0</v>
      </c>
      <c r="N910" s="204">
        <v>10000.0</v>
      </c>
      <c r="O910" s="204">
        <v>10000.0</v>
      </c>
      <c r="P910" s="198"/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204">
        <v>6000.0</v>
      </c>
      <c r="N911" s="204">
        <v>6000.0</v>
      </c>
      <c r="O911" s="204">
        <v>6000.0</v>
      </c>
      <c r="P911" s="198"/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204">
        <v>42000.0</v>
      </c>
      <c r="N912" s="204">
        <v>42000.0</v>
      </c>
      <c r="O912" s="204">
        <v>42000.0</v>
      </c>
      <c r="P912" s="198"/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204">
        <v>0.0</v>
      </c>
      <c r="N913" s="204">
        <v>0.0</v>
      </c>
      <c r="O913" s="204">
        <v>0.0</v>
      </c>
      <c r="P913" s="198"/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62">
        <f>IFERROR(__xludf.DUMMYFUNCTION("MATCH(
  MIN(FILTER(M909:M913,M909:M913&gt;0)),
  M909:M913,
  0
)
"),3.0)</f>
        <v>3</v>
      </c>
      <c r="N914" s="162">
        <f>IFERROR(__xludf.DUMMYFUNCTION("MATCH(
  MIN(FILTER(N909:N913,N909:N913&gt;0)),
  N909:N913,
  0
)
"),3.0)</f>
        <v>3</v>
      </c>
      <c r="O914" s="162">
        <f>IFERROR(__xludf.DUMMYFUNCTION("MATCH(
  MIN(FILTER(O909:O913,O909:O913&gt;0)),
  O909:O913,
  0
)
"),3.0)</f>
        <v>3</v>
      </c>
      <c r="P914" s="198"/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48"/>
      <c r="N915" s="148"/>
      <c r="O915" s="148"/>
      <c r="P915" s="19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O916" si="258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8"/>
        <v>39</v>
      </c>
      <c r="J916" s="148">
        <f t="shared" si="258"/>
        <v>21</v>
      </c>
      <c r="K916" s="148">
        <f t="shared" si="258"/>
        <v>18</v>
      </c>
      <c r="L916" s="148">
        <f t="shared" si="258"/>
        <v>12</v>
      </c>
      <c r="M916" s="148">
        <f t="shared" si="258"/>
        <v>12</v>
      </c>
      <c r="N916" s="148">
        <f t="shared" si="258"/>
        <v>8</v>
      </c>
      <c r="O916" s="148">
        <f t="shared" si="258"/>
        <v>6</v>
      </c>
      <c r="P916" s="198"/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O917" si="259">(H916*H909)</f>
        <v>0</v>
      </c>
      <c r="I917" s="150">
        <f t="shared" si="259"/>
        <v>780000</v>
      </c>
      <c r="J917" s="150">
        <f t="shared" si="259"/>
        <v>420000</v>
      </c>
      <c r="K917" s="150">
        <f t="shared" si="259"/>
        <v>360000</v>
      </c>
      <c r="L917" s="150">
        <f t="shared" si="259"/>
        <v>240000</v>
      </c>
      <c r="M917" s="150">
        <f t="shared" si="259"/>
        <v>240000</v>
      </c>
      <c r="N917" s="150">
        <f t="shared" si="259"/>
        <v>160000</v>
      </c>
      <c r="O917" s="150">
        <f t="shared" si="259"/>
        <v>120000</v>
      </c>
      <c r="P917" s="198"/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48"/>
      <c r="N918" s="148"/>
      <c r="O918" s="148"/>
      <c r="P918" s="19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O919" si="260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60"/>
        <v>54</v>
      </c>
      <c r="J919" s="148">
        <f t="shared" si="260"/>
        <v>29</v>
      </c>
      <c r="K919" s="148">
        <f t="shared" si="260"/>
        <v>25</v>
      </c>
      <c r="L919" s="148">
        <f t="shared" si="260"/>
        <v>17</v>
      </c>
      <c r="M919" s="148">
        <f t="shared" si="260"/>
        <v>17</v>
      </c>
      <c r="N919" s="148">
        <f t="shared" si="260"/>
        <v>12</v>
      </c>
      <c r="O919" s="148">
        <f t="shared" si="260"/>
        <v>8</v>
      </c>
      <c r="P919" s="198"/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O920" si="261">(H910*H919)</f>
        <v>0</v>
      </c>
      <c r="I920" s="150">
        <f t="shared" si="261"/>
        <v>540000</v>
      </c>
      <c r="J920" s="150">
        <f t="shared" si="261"/>
        <v>290000</v>
      </c>
      <c r="K920" s="150">
        <f t="shared" si="261"/>
        <v>250000</v>
      </c>
      <c r="L920" s="150">
        <f t="shared" si="261"/>
        <v>170000</v>
      </c>
      <c r="M920" s="150">
        <f t="shared" si="261"/>
        <v>170000</v>
      </c>
      <c r="N920" s="150">
        <f t="shared" si="261"/>
        <v>120000</v>
      </c>
      <c r="O920" s="150">
        <f t="shared" si="261"/>
        <v>80000</v>
      </c>
      <c r="P920" s="198"/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48"/>
      <c r="N921" s="148"/>
      <c r="O921" s="148"/>
      <c r="P921" s="19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O922" si="262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62"/>
        <v>33</v>
      </c>
      <c r="J922" s="148">
        <f t="shared" si="262"/>
        <v>18</v>
      </c>
      <c r="K922" s="148">
        <f t="shared" si="262"/>
        <v>17</v>
      </c>
      <c r="L922" s="148">
        <f t="shared" si="262"/>
        <v>11</v>
      </c>
      <c r="M922" s="148">
        <f t="shared" si="262"/>
        <v>11</v>
      </c>
      <c r="N922" s="148">
        <f t="shared" si="262"/>
        <v>8</v>
      </c>
      <c r="O922" s="148">
        <f t="shared" si="262"/>
        <v>6</v>
      </c>
      <c r="P922" s="198"/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O923" si="263">(H911*H922)</f>
        <v>0</v>
      </c>
      <c r="I923" s="150">
        <f t="shared" si="263"/>
        <v>198000</v>
      </c>
      <c r="J923" s="150">
        <f t="shared" si="263"/>
        <v>108000</v>
      </c>
      <c r="K923" s="150">
        <f t="shared" si="263"/>
        <v>102000</v>
      </c>
      <c r="L923" s="150">
        <f t="shared" si="263"/>
        <v>66000</v>
      </c>
      <c r="M923" s="150">
        <f t="shared" si="263"/>
        <v>66000</v>
      </c>
      <c r="N923" s="150">
        <f t="shared" si="263"/>
        <v>48000</v>
      </c>
      <c r="O923" s="150">
        <f t="shared" si="263"/>
        <v>36000</v>
      </c>
      <c r="P923" s="198"/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48"/>
      <c r="N924" s="148"/>
      <c r="O924" s="148"/>
      <c r="P924" s="19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O925" si="264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4"/>
        <v>31</v>
      </c>
      <c r="J925" s="148">
        <f t="shared" si="264"/>
        <v>16</v>
      </c>
      <c r="K925" s="148">
        <f t="shared" si="264"/>
        <v>14</v>
      </c>
      <c r="L925" s="148">
        <f t="shared" si="264"/>
        <v>9</v>
      </c>
      <c r="M925" s="148">
        <f t="shared" si="264"/>
        <v>9</v>
      </c>
      <c r="N925" s="148">
        <f t="shared" si="264"/>
        <v>7</v>
      </c>
      <c r="O925" s="148">
        <f t="shared" si="264"/>
        <v>5</v>
      </c>
      <c r="P925" s="198"/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O926" si="265">(H912*H925)</f>
        <v>0</v>
      </c>
      <c r="I926" s="150">
        <f t="shared" si="265"/>
        <v>1302000</v>
      </c>
      <c r="J926" s="150">
        <f t="shared" si="265"/>
        <v>672000</v>
      </c>
      <c r="K926" s="150">
        <f t="shared" si="265"/>
        <v>588000</v>
      </c>
      <c r="L926" s="150">
        <f t="shared" si="265"/>
        <v>378000</v>
      </c>
      <c r="M926" s="150">
        <f t="shared" si="265"/>
        <v>378000</v>
      </c>
      <c r="N926" s="150">
        <f t="shared" si="265"/>
        <v>294000</v>
      </c>
      <c r="O926" s="150">
        <f t="shared" si="265"/>
        <v>210000</v>
      </c>
      <c r="P926" s="198"/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48"/>
      <c r="N927" s="148"/>
      <c r="O927" s="148"/>
      <c r="P927" s="19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O928" si="266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6"/>
        <v>0</v>
      </c>
      <c r="J928" s="148">
        <f t="shared" si="266"/>
        <v>0</v>
      </c>
      <c r="K928" s="148">
        <f t="shared" si="266"/>
        <v>0</v>
      </c>
      <c r="L928" s="148">
        <f t="shared" si="266"/>
        <v>0</v>
      </c>
      <c r="M928" s="148">
        <f t="shared" si="266"/>
        <v>0</v>
      </c>
      <c r="N928" s="148">
        <f t="shared" si="266"/>
        <v>0</v>
      </c>
      <c r="O928" s="148">
        <f t="shared" si="266"/>
        <v>0</v>
      </c>
      <c r="P928" s="198"/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O929" si="267">(H913*H928)</f>
        <v>0</v>
      </c>
      <c r="I929" s="150">
        <f t="shared" si="267"/>
        <v>0</v>
      </c>
      <c r="J929" s="150">
        <f t="shared" si="267"/>
        <v>0</v>
      </c>
      <c r="K929" s="150">
        <f t="shared" si="267"/>
        <v>0</v>
      </c>
      <c r="L929" s="150">
        <f t="shared" si="267"/>
        <v>0</v>
      </c>
      <c r="M929" s="150">
        <f t="shared" si="267"/>
        <v>0</v>
      </c>
      <c r="N929" s="150">
        <f t="shared" si="267"/>
        <v>0</v>
      </c>
      <c r="O929" s="150">
        <f t="shared" si="267"/>
        <v>0</v>
      </c>
      <c r="P929" s="198"/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60"/>
      <c r="N930" s="160"/>
      <c r="O930" s="160"/>
      <c r="P930" s="198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63"/>
      <c r="N931" s="163"/>
      <c r="O931" s="163"/>
      <c r="P931" s="1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519</v>
      </c>
      <c r="I933" s="206"/>
      <c r="J933" s="206"/>
      <c r="K933" s="206"/>
      <c r="L933" s="206"/>
      <c r="M933" s="206"/>
      <c r="N933" s="206"/>
      <c r="O933" s="206"/>
      <c r="P933" s="198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0.2920411047</v>
      </c>
      <c r="H934" s="149">
        <f>SUM($H$494)</f>
        <v>13641240</v>
      </c>
      <c r="I934" s="149"/>
      <c r="J934" s="149"/>
      <c r="K934" s="149"/>
      <c r="L934" s="149"/>
      <c r="M934" s="149"/>
      <c r="N934" s="149"/>
      <c r="O934" s="149"/>
      <c r="P934" s="160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56"/>
      <c r="N935" s="156"/>
      <c r="O935" s="156"/>
      <c r="P935" s="160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46710000</v>
      </c>
      <c r="I936" s="149"/>
      <c r="J936" s="149"/>
      <c r="K936" s="149"/>
      <c r="L936" s="149"/>
      <c r="M936" s="149"/>
      <c r="N936" s="149"/>
      <c r="O936" s="149"/>
      <c r="P936" s="160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49"/>
      <c r="N937" s="149"/>
      <c r="O937" s="149"/>
      <c r="P937" s="160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0.438061657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13">
        <v>0.1</v>
      </c>
      <c r="N938" s="213">
        <v>0.07</v>
      </c>
      <c r="O938" s="213">
        <v>0.05</v>
      </c>
      <c r="P938" s="200">
        <f>SUM(H938:O938)</f>
        <v>0.96</v>
      </c>
      <c r="Q938" s="200"/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20461860</v>
      </c>
      <c r="H939" s="19"/>
      <c r="I939" s="19"/>
      <c r="J939" s="19"/>
      <c r="K939" s="19"/>
      <c r="L939" s="19"/>
      <c r="M939" s="19"/>
      <c r="N939" s="19"/>
      <c r="O939" s="19"/>
      <c r="P939" s="16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13641240</v>
      </c>
      <c r="I940" s="149">
        <f t="shared" ref="I940:O940" si="268">H940+I949</f>
        <v>15831240</v>
      </c>
      <c r="J940" s="149">
        <f t="shared" si="268"/>
        <v>16991240</v>
      </c>
      <c r="K940" s="149">
        <f t="shared" si="268"/>
        <v>18019240</v>
      </c>
      <c r="L940" s="149">
        <f t="shared" si="268"/>
        <v>18705240</v>
      </c>
      <c r="M940" s="149">
        <f t="shared" si="268"/>
        <v>19391240</v>
      </c>
      <c r="N940" s="149">
        <f t="shared" si="268"/>
        <v>19875240</v>
      </c>
      <c r="O940" s="149">
        <f t="shared" si="268"/>
        <v>20217240</v>
      </c>
      <c r="P940" s="199" t="str">
        <f>#REF!</f>
        <v>#REF!</v>
      </c>
      <c r="Q940" s="199"/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6820620</v>
      </c>
      <c r="H941" s="149">
        <f t="shared" ref="H941:O941" si="269">$G$941*H938</f>
        <v>0</v>
      </c>
      <c r="I941" s="149">
        <f t="shared" si="269"/>
        <v>2182598.4</v>
      </c>
      <c r="J941" s="149">
        <f t="shared" si="269"/>
        <v>1159505.4</v>
      </c>
      <c r="K941" s="149">
        <f t="shared" si="269"/>
        <v>1023093</v>
      </c>
      <c r="L941" s="149">
        <f t="shared" si="269"/>
        <v>682062</v>
      </c>
      <c r="M941" s="149">
        <f t="shared" si="269"/>
        <v>682062</v>
      </c>
      <c r="N941" s="149">
        <f t="shared" si="269"/>
        <v>477443.4</v>
      </c>
      <c r="O941" s="149">
        <f t="shared" si="269"/>
        <v>341031</v>
      </c>
      <c r="P941" s="199">
        <f>SUM(H941:O941)</f>
        <v>6547795.2</v>
      </c>
      <c r="Q941" s="199"/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49"/>
      <c r="N942" s="149"/>
      <c r="O942" s="149"/>
      <c r="P942" s="160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O943" si="270">$H$936-H940</f>
        <v>33068760</v>
      </c>
      <c r="I943" s="149">
        <f t="shared" si="270"/>
        <v>30878760</v>
      </c>
      <c r="J943" s="149">
        <f t="shared" si="270"/>
        <v>29718760</v>
      </c>
      <c r="K943" s="149">
        <f t="shared" si="270"/>
        <v>28690760</v>
      </c>
      <c r="L943" s="149">
        <f t="shared" si="270"/>
        <v>28004760</v>
      </c>
      <c r="M943" s="149">
        <f t="shared" si="270"/>
        <v>27318760</v>
      </c>
      <c r="N943" s="149">
        <f t="shared" si="270"/>
        <v>26834760</v>
      </c>
      <c r="O943" s="149">
        <f t="shared" si="270"/>
        <v>26492760</v>
      </c>
      <c r="P943" s="160"/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P944" si="271">IFERROR(H940/$H$936,0)</f>
        <v>0.2920411047</v>
      </c>
      <c r="I944" s="142">
        <f t="shared" si="271"/>
        <v>0.33892614</v>
      </c>
      <c r="J944" s="142">
        <f t="shared" si="271"/>
        <v>0.3637602227</v>
      </c>
      <c r="K944" s="142">
        <f t="shared" si="271"/>
        <v>0.385768358</v>
      </c>
      <c r="L944" s="142">
        <f t="shared" si="271"/>
        <v>0.4004547206</v>
      </c>
      <c r="M944" s="142">
        <f t="shared" si="271"/>
        <v>0.4151410833</v>
      </c>
      <c r="N944" s="142">
        <f t="shared" si="271"/>
        <v>0.4255028902</v>
      </c>
      <c r="O944" s="142">
        <f t="shared" si="271"/>
        <v>0.4328246628</v>
      </c>
      <c r="P944" s="200">
        <f t="shared" si="271"/>
        <v>0</v>
      </c>
      <c r="Q944" s="200"/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P945" si="272">IFERROR(1-(H940/$H$936),0)</f>
        <v>0.7079588953</v>
      </c>
      <c r="I945" s="142">
        <f t="shared" si="272"/>
        <v>0.66107386</v>
      </c>
      <c r="J945" s="142">
        <f t="shared" si="272"/>
        <v>0.6362397773</v>
      </c>
      <c r="K945" s="142">
        <f t="shared" si="272"/>
        <v>0.614231642</v>
      </c>
      <c r="L945" s="142">
        <f t="shared" si="272"/>
        <v>0.5995452794</v>
      </c>
      <c r="M945" s="142">
        <f t="shared" si="272"/>
        <v>0.5848589167</v>
      </c>
      <c r="N945" s="142">
        <f t="shared" si="272"/>
        <v>0.5744971098</v>
      </c>
      <c r="O945" s="142">
        <f t="shared" si="272"/>
        <v>0.5671753372</v>
      </c>
      <c r="P945" s="200">
        <f t="shared" si="272"/>
        <v>0</v>
      </c>
      <c r="Q945" s="200"/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58"/>
      <c r="N946" s="158"/>
      <c r="O946" s="158"/>
      <c r="P946" s="19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3">ROUNDUP(H941/H948,0)</f>
        <v>0</v>
      </c>
      <c r="I947" s="190">
        <f t="shared" si="273"/>
        <v>249</v>
      </c>
      <c r="J947" s="190">
        <f t="shared" si="273"/>
        <v>132</v>
      </c>
      <c r="K947" s="190">
        <f t="shared" si="273"/>
        <v>117</v>
      </c>
      <c r="L947" s="190">
        <f t="shared" si="273"/>
        <v>78</v>
      </c>
      <c r="M947" s="190">
        <f>ROUND(M941/M948,0)</f>
        <v>78</v>
      </c>
      <c r="N947" s="190">
        <f t="shared" ref="N947:O947" si="274">ROUNDUP(N941/N948,0)</f>
        <v>55</v>
      </c>
      <c r="O947" s="190">
        <f t="shared" si="274"/>
        <v>39</v>
      </c>
      <c r="P947" s="201">
        <f>SUM(H947:O947)</f>
        <v>748</v>
      </c>
      <c r="Q947" s="201"/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56">
        <v>8800.0</v>
      </c>
      <c r="N948" s="156">
        <v>8800.0</v>
      </c>
      <c r="O948" s="156">
        <v>8800.0</v>
      </c>
      <c r="P948" s="198"/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O949" si="275">SUM(H963,H966,H969,H972,H975)</f>
        <v>0</v>
      </c>
      <c r="I949" s="188">
        <f t="shared" si="275"/>
        <v>2190000</v>
      </c>
      <c r="J949" s="188">
        <f t="shared" si="275"/>
        <v>1160000</v>
      </c>
      <c r="K949" s="188">
        <f t="shared" si="275"/>
        <v>1028000</v>
      </c>
      <c r="L949" s="188">
        <f t="shared" si="275"/>
        <v>686000</v>
      </c>
      <c r="M949" s="188">
        <f t="shared" si="275"/>
        <v>686000</v>
      </c>
      <c r="N949" s="188">
        <f t="shared" si="275"/>
        <v>484000</v>
      </c>
      <c r="O949" s="188">
        <f t="shared" si="275"/>
        <v>342000</v>
      </c>
      <c r="P949" s="196">
        <f>SUM(H949:O949)</f>
        <v>6576000</v>
      </c>
      <c r="Q949" s="160"/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203">
        <v>0.6</v>
      </c>
      <c r="N950" s="203">
        <v>0.6</v>
      </c>
      <c r="O950" s="203">
        <v>0.6</v>
      </c>
      <c r="P950" s="198"/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203">
        <v>0.4</v>
      </c>
      <c r="N951" s="203">
        <v>0.4</v>
      </c>
      <c r="O951" s="203">
        <v>0.4</v>
      </c>
      <c r="P951" s="198"/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203">
        <v>0.0</v>
      </c>
      <c r="N952" s="203">
        <v>0.0</v>
      </c>
      <c r="O952" s="203">
        <v>0.0</v>
      </c>
      <c r="P952" s="198"/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203">
        <v>0.0</v>
      </c>
      <c r="N953" s="203">
        <v>0.0</v>
      </c>
      <c r="O953" s="203">
        <v>0.0</v>
      </c>
      <c r="P953" s="198"/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203">
        <v>0.0</v>
      </c>
      <c r="N954" s="203">
        <v>0.0</v>
      </c>
      <c r="O954" s="203">
        <v>0.0</v>
      </c>
      <c r="P954" s="198"/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204">
        <v>8000.0</v>
      </c>
      <c r="N955" s="204">
        <v>8000.0</v>
      </c>
      <c r="O955" s="204">
        <v>8000.0</v>
      </c>
      <c r="P955" s="225"/>
      <c r="Q955" s="225"/>
      <c r="R955" s="225"/>
      <c r="S955" s="225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204">
        <v>10000.0</v>
      </c>
      <c r="N956" s="204">
        <v>10000.0</v>
      </c>
      <c r="O956" s="204">
        <v>10000.0</v>
      </c>
      <c r="P956" s="198"/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204">
        <v>0.0</v>
      </c>
      <c r="N957" s="204">
        <v>0.0</v>
      </c>
      <c r="O957" s="204">
        <v>0.0</v>
      </c>
      <c r="P957" s="198"/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204">
        <v>0.0</v>
      </c>
      <c r="N958" s="204">
        <v>0.0</v>
      </c>
      <c r="O958" s="204">
        <v>0.0</v>
      </c>
      <c r="P958" s="198"/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204">
        <v>0.0</v>
      </c>
      <c r="N959" s="204">
        <v>0.0</v>
      </c>
      <c r="O959" s="204">
        <v>0.0</v>
      </c>
      <c r="P959" s="198"/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62">
        <f>IFERROR(__xludf.DUMMYFUNCTION("MATCH(
  MIN(FILTER(M955:M959,M955:M959&gt;0)),
  M955:M959,
  0
)
"),1.0)</f>
        <v>1</v>
      </c>
      <c r="N960" s="162">
        <f>IFERROR(__xludf.DUMMYFUNCTION("MATCH(
  MIN(FILTER(N955:N959,N955:N959&gt;0)),
  N955:N959,
  0
)
"),1.0)</f>
        <v>1</v>
      </c>
      <c r="O960" s="162">
        <f>IFERROR(__xludf.DUMMYFUNCTION("MATCH(
  MIN(FILTER(O955:O959,O955:O959&gt;0)),
  O955:O959,
  0
)
"),1.0)</f>
        <v>1</v>
      </c>
      <c r="P960" s="198"/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48"/>
      <c r="N961" s="148"/>
      <c r="O961" s="148"/>
      <c r="P961" s="19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O962" si="276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6"/>
        <v>150</v>
      </c>
      <c r="J962" s="148">
        <f t="shared" si="276"/>
        <v>80</v>
      </c>
      <c r="K962" s="148">
        <f t="shared" si="276"/>
        <v>71</v>
      </c>
      <c r="L962" s="148">
        <f t="shared" si="276"/>
        <v>47</v>
      </c>
      <c r="M962" s="148">
        <f t="shared" si="276"/>
        <v>47</v>
      </c>
      <c r="N962" s="148">
        <f t="shared" si="276"/>
        <v>33</v>
      </c>
      <c r="O962" s="148">
        <f t="shared" si="276"/>
        <v>24</v>
      </c>
      <c r="P962" s="198"/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O963" si="277">(H962*H955)</f>
        <v>0</v>
      </c>
      <c r="I963" s="150">
        <f t="shared" si="277"/>
        <v>1200000</v>
      </c>
      <c r="J963" s="150">
        <f t="shared" si="277"/>
        <v>640000</v>
      </c>
      <c r="K963" s="150">
        <f t="shared" si="277"/>
        <v>568000</v>
      </c>
      <c r="L963" s="150">
        <f t="shared" si="277"/>
        <v>376000</v>
      </c>
      <c r="M963" s="150">
        <f t="shared" si="277"/>
        <v>376000</v>
      </c>
      <c r="N963" s="150">
        <f t="shared" si="277"/>
        <v>264000</v>
      </c>
      <c r="O963" s="150">
        <f t="shared" si="277"/>
        <v>192000</v>
      </c>
      <c r="P963" s="198"/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48"/>
      <c r="N964" s="148"/>
      <c r="O964" s="148"/>
      <c r="P964" s="19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O965" si="278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8"/>
        <v>99</v>
      </c>
      <c r="J965" s="148">
        <f t="shared" si="278"/>
        <v>52</v>
      </c>
      <c r="K965" s="148">
        <f t="shared" si="278"/>
        <v>46</v>
      </c>
      <c r="L965" s="148">
        <f t="shared" si="278"/>
        <v>31</v>
      </c>
      <c r="M965" s="148">
        <f t="shared" si="278"/>
        <v>31</v>
      </c>
      <c r="N965" s="148">
        <f t="shared" si="278"/>
        <v>22</v>
      </c>
      <c r="O965" s="148">
        <f t="shared" si="278"/>
        <v>15</v>
      </c>
      <c r="P965" s="198"/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O966" si="279">(H956*H965)</f>
        <v>0</v>
      </c>
      <c r="I966" s="150">
        <f t="shared" si="279"/>
        <v>990000</v>
      </c>
      <c r="J966" s="150">
        <f t="shared" si="279"/>
        <v>520000</v>
      </c>
      <c r="K966" s="150">
        <f t="shared" si="279"/>
        <v>460000</v>
      </c>
      <c r="L966" s="150">
        <f t="shared" si="279"/>
        <v>310000</v>
      </c>
      <c r="M966" s="150">
        <f t="shared" si="279"/>
        <v>310000</v>
      </c>
      <c r="N966" s="150">
        <f t="shared" si="279"/>
        <v>220000</v>
      </c>
      <c r="O966" s="150">
        <f t="shared" si="279"/>
        <v>150000</v>
      </c>
      <c r="P966" s="198"/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48"/>
      <c r="N967" s="148"/>
      <c r="O967" s="148"/>
      <c r="P967" s="19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O968" si="280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80"/>
        <v>0</v>
      </c>
      <c r="J968" s="148">
        <f t="shared" si="280"/>
        <v>0</v>
      </c>
      <c r="K968" s="148">
        <f t="shared" si="280"/>
        <v>0</v>
      </c>
      <c r="L968" s="148">
        <f t="shared" si="280"/>
        <v>0</v>
      </c>
      <c r="M968" s="148">
        <f t="shared" si="280"/>
        <v>0</v>
      </c>
      <c r="N968" s="148">
        <f t="shared" si="280"/>
        <v>0</v>
      </c>
      <c r="O968" s="148">
        <f t="shared" si="280"/>
        <v>0</v>
      </c>
      <c r="P968" s="198"/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O969" si="281">(H957*H968)</f>
        <v>0</v>
      </c>
      <c r="I969" s="150">
        <f t="shared" si="281"/>
        <v>0</v>
      </c>
      <c r="J969" s="150">
        <f t="shared" si="281"/>
        <v>0</v>
      </c>
      <c r="K969" s="150">
        <f t="shared" si="281"/>
        <v>0</v>
      </c>
      <c r="L969" s="150">
        <f t="shared" si="281"/>
        <v>0</v>
      </c>
      <c r="M969" s="150">
        <f t="shared" si="281"/>
        <v>0</v>
      </c>
      <c r="N969" s="150">
        <f t="shared" si="281"/>
        <v>0</v>
      </c>
      <c r="O969" s="150">
        <f t="shared" si="281"/>
        <v>0</v>
      </c>
      <c r="P969" s="198"/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48"/>
      <c r="N970" s="148"/>
      <c r="O970" s="148"/>
      <c r="P970" s="19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O971" si="282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82"/>
        <v>0</v>
      </c>
      <c r="J971" s="148">
        <f t="shared" si="282"/>
        <v>0</v>
      </c>
      <c r="K971" s="148">
        <f t="shared" si="282"/>
        <v>0</v>
      </c>
      <c r="L971" s="148">
        <f t="shared" si="282"/>
        <v>0</v>
      </c>
      <c r="M971" s="148">
        <f t="shared" si="282"/>
        <v>0</v>
      </c>
      <c r="N971" s="148">
        <f t="shared" si="282"/>
        <v>0</v>
      </c>
      <c r="O971" s="148">
        <f t="shared" si="282"/>
        <v>0</v>
      </c>
      <c r="P971" s="198"/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O972" si="283">(H958*H971)</f>
        <v>0</v>
      </c>
      <c r="I972" s="150">
        <f t="shared" si="283"/>
        <v>0</v>
      </c>
      <c r="J972" s="150">
        <f t="shared" si="283"/>
        <v>0</v>
      </c>
      <c r="K972" s="150">
        <f t="shared" si="283"/>
        <v>0</v>
      </c>
      <c r="L972" s="150">
        <f t="shared" si="283"/>
        <v>0</v>
      </c>
      <c r="M972" s="150">
        <f t="shared" si="283"/>
        <v>0</v>
      </c>
      <c r="N972" s="150">
        <f t="shared" si="283"/>
        <v>0</v>
      </c>
      <c r="O972" s="150">
        <f t="shared" si="283"/>
        <v>0</v>
      </c>
      <c r="P972" s="198"/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48"/>
      <c r="N973" s="148"/>
      <c r="O973" s="148"/>
      <c r="P973" s="19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O974" si="284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4"/>
        <v>0</v>
      </c>
      <c r="J974" s="148">
        <f t="shared" si="284"/>
        <v>0</v>
      </c>
      <c r="K974" s="148">
        <f t="shared" si="284"/>
        <v>0</v>
      </c>
      <c r="L974" s="148">
        <f t="shared" si="284"/>
        <v>0</v>
      </c>
      <c r="M974" s="148">
        <f t="shared" si="284"/>
        <v>0</v>
      </c>
      <c r="N974" s="148">
        <f t="shared" si="284"/>
        <v>0</v>
      </c>
      <c r="O974" s="148">
        <f t="shared" si="284"/>
        <v>0</v>
      </c>
      <c r="P974" s="198"/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O975" si="285">(H959*H974)</f>
        <v>0</v>
      </c>
      <c r="I975" s="150">
        <f t="shared" si="285"/>
        <v>0</v>
      </c>
      <c r="J975" s="150">
        <f t="shared" si="285"/>
        <v>0</v>
      </c>
      <c r="K975" s="150">
        <f t="shared" si="285"/>
        <v>0</v>
      </c>
      <c r="L975" s="150">
        <f t="shared" si="285"/>
        <v>0</v>
      </c>
      <c r="M975" s="150">
        <f t="shared" si="285"/>
        <v>0</v>
      </c>
      <c r="N975" s="150">
        <f t="shared" si="285"/>
        <v>0</v>
      </c>
      <c r="O975" s="150">
        <f t="shared" si="285"/>
        <v>0</v>
      </c>
      <c r="P975" s="198"/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60"/>
      <c r="N976" s="160"/>
      <c r="O976" s="160"/>
      <c r="P976" s="198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244</v>
      </c>
      <c r="I978" s="206"/>
      <c r="J978" s="206"/>
      <c r="K978" s="206"/>
      <c r="L978" s="206"/>
      <c r="M978" s="206"/>
      <c r="N978" s="206"/>
      <c r="O978" s="206"/>
      <c r="P978" s="198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0.3504651639</v>
      </c>
      <c r="H979" s="149">
        <f>SUM($H$520)</f>
        <v>4275675</v>
      </c>
      <c r="I979" s="149"/>
      <c r="J979" s="149"/>
      <c r="K979" s="149"/>
      <c r="L979" s="149"/>
      <c r="M979" s="149"/>
      <c r="N979" s="149"/>
      <c r="O979" s="149"/>
      <c r="P979" s="160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56"/>
      <c r="N980" s="156"/>
      <c r="O980" s="156"/>
      <c r="P980" s="160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12200000</v>
      </c>
      <c r="I981" s="149"/>
      <c r="J981" s="149"/>
      <c r="K981" s="149"/>
      <c r="L981" s="149"/>
      <c r="M981" s="149"/>
      <c r="N981" s="149"/>
      <c r="O981" s="149"/>
      <c r="P981" s="160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49"/>
      <c r="N982" s="149"/>
      <c r="O982" s="149"/>
      <c r="P982" s="160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0.5256977459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213">
        <v>0.1</v>
      </c>
      <c r="N983" s="213">
        <v>0.07</v>
      </c>
      <c r="O983" s="213">
        <v>0.05</v>
      </c>
      <c r="P983" s="160"/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6413512.5</v>
      </c>
      <c r="H984" s="19"/>
      <c r="I984" s="19"/>
      <c r="J984" s="19"/>
      <c r="K984" s="19"/>
      <c r="L984" s="19"/>
      <c r="M984" s="19"/>
      <c r="N984" s="19"/>
      <c r="O984" s="19"/>
      <c r="P984" s="16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4275675</v>
      </c>
      <c r="I985" s="149">
        <f t="shared" ref="I985:O985" si="286">H985+I994</f>
        <v>4965675</v>
      </c>
      <c r="J985" s="149">
        <f t="shared" si="286"/>
        <v>5331675</v>
      </c>
      <c r="K985" s="149">
        <f t="shared" si="286"/>
        <v>5655675</v>
      </c>
      <c r="L985" s="149">
        <f t="shared" si="286"/>
        <v>5871675</v>
      </c>
      <c r="M985" s="149">
        <f t="shared" si="286"/>
        <v>6087675</v>
      </c>
      <c r="N985" s="149">
        <f t="shared" si="286"/>
        <v>6237675</v>
      </c>
      <c r="O985" s="149">
        <f t="shared" si="286"/>
        <v>6345675</v>
      </c>
      <c r="P985" s="199" t="str">
        <f>#REF!</f>
        <v>#REF!</v>
      </c>
      <c r="Q985" s="199"/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2137837.5</v>
      </c>
      <c r="H986" s="149">
        <f t="shared" ref="H986:O986" si="287">$G$986*H983</f>
        <v>0</v>
      </c>
      <c r="I986" s="149">
        <f t="shared" si="287"/>
        <v>684108</v>
      </c>
      <c r="J986" s="149">
        <f t="shared" si="287"/>
        <v>363432.375</v>
      </c>
      <c r="K986" s="149">
        <f t="shared" si="287"/>
        <v>320675.625</v>
      </c>
      <c r="L986" s="149">
        <f t="shared" si="287"/>
        <v>213783.75</v>
      </c>
      <c r="M986" s="149">
        <f t="shared" si="287"/>
        <v>213783.75</v>
      </c>
      <c r="N986" s="149">
        <f t="shared" si="287"/>
        <v>149648.625</v>
      </c>
      <c r="O986" s="149">
        <f t="shared" si="287"/>
        <v>106891.875</v>
      </c>
      <c r="P986" s="199">
        <f>SUM(H986:O986)</f>
        <v>2052324</v>
      </c>
      <c r="Q986" s="199"/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49"/>
      <c r="N987" s="149"/>
      <c r="O987" s="149"/>
      <c r="P987" s="160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O988" si="288">$H$981-H985</f>
        <v>7924325</v>
      </c>
      <c r="I988" s="149">
        <f t="shared" si="288"/>
        <v>7234325</v>
      </c>
      <c r="J988" s="149">
        <f t="shared" si="288"/>
        <v>6868325</v>
      </c>
      <c r="K988" s="149">
        <f t="shared" si="288"/>
        <v>6544325</v>
      </c>
      <c r="L988" s="149">
        <f t="shared" si="288"/>
        <v>6328325</v>
      </c>
      <c r="M988" s="149">
        <f t="shared" si="288"/>
        <v>6112325</v>
      </c>
      <c r="N988" s="149">
        <f t="shared" si="288"/>
        <v>5962325</v>
      </c>
      <c r="O988" s="149">
        <f t="shared" si="288"/>
        <v>5854325</v>
      </c>
      <c r="P988" s="160"/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O989" si="289">IFERROR(SUM(H994,H979)/$H$981,0)</f>
        <v>0.3504651639</v>
      </c>
      <c r="I989" s="142">
        <f t="shared" si="289"/>
        <v>0.05655737705</v>
      </c>
      <c r="J989" s="142">
        <f t="shared" si="289"/>
        <v>0.03</v>
      </c>
      <c r="K989" s="142">
        <f t="shared" si="289"/>
        <v>0.02655737705</v>
      </c>
      <c r="L989" s="142">
        <f t="shared" si="289"/>
        <v>0.01770491803</v>
      </c>
      <c r="M989" s="142">
        <f t="shared" si="289"/>
        <v>0.01770491803</v>
      </c>
      <c r="N989" s="142">
        <f t="shared" si="289"/>
        <v>0.01229508197</v>
      </c>
      <c r="O989" s="142">
        <f t="shared" si="289"/>
        <v>0.008852459016</v>
      </c>
      <c r="P989" s="200">
        <f>IFERROR(P985/$H$981,0)</f>
        <v>0</v>
      </c>
      <c r="Q989" s="200"/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O990" si="290">IFERROR(1-(H979/$H$981),0)</f>
        <v>0.6495348361</v>
      </c>
      <c r="I990" s="216">
        <f t="shared" si="290"/>
        <v>1</v>
      </c>
      <c r="J990" s="216">
        <f t="shared" si="290"/>
        <v>1</v>
      </c>
      <c r="K990" s="216">
        <f t="shared" si="290"/>
        <v>1</v>
      </c>
      <c r="L990" s="216">
        <f t="shared" si="290"/>
        <v>1</v>
      </c>
      <c r="M990" s="216">
        <f t="shared" si="290"/>
        <v>1</v>
      </c>
      <c r="N990" s="216">
        <f t="shared" si="290"/>
        <v>1</v>
      </c>
      <c r="O990" s="216">
        <f t="shared" si="290"/>
        <v>1</v>
      </c>
      <c r="P990" s="200">
        <f>IFERROR(1-(P985/$H$981),0)</f>
        <v>0</v>
      </c>
      <c r="Q990" s="200"/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207"/>
      <c r="N991" s="207"/>
      <c r="O991" s="207"/>
      <c r="P991" s="198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91">ROUNDUP(H986/H993,0)</f>
        <v>0</v>
      </c>
      <c r="I992" s="190">
        <f t="shared" si="291"/>
        <v>96</v>
      </c>
      <c r="J992" s="190">
        <f t="shared" si="291"/>
        <v>51</v>
      </c>
      <c r="K992" s="190">
        <f t="shared" si="291"/>
        <v>45</v>
      </c>
      <c r="L992" s="190">
        <f t="shared" si="291"/>
        <v>30</v>
      </c>
      <c r="M992" s="190">
        <f>ROUND(M986/M993,0)</f>
        <v>30</v>
      </c>
      <c r="N992" s="190">
        <f t="shared" ref="N992:O992" si="292">ROUNDUP(N986/N993,0)</f>
        <v>21</v>
      </c>
      <c r="O992" s="190">
        <f t="shared" si="292"/>
        <v>15</v>
      </c>
      <c r="P992" s="201">
        <f>SUM(H992:O992)</f>
        <v>288</v>
      </c>
      <c r="Q992" s="201"/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56">
        <v>7200.0</v>
      </c>
      <c r="N993" s="156">
        <v>7200.0</v>
      </c>
      <c r="O993" s="156">
        <v>7200.0</v>
      </c>
      <c r="P993" s="198"/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O994" si="293">SUM(H1008,H1011,H1014,H1017,H1020)</f>
        <v>0</v>
      </c>
      <c r="I994" s="188">
        <f t="shared" si="293"/>
        <v>690000</v>
      </c>
      <c r="J994" s="188">
        <f t="shared" si="293"/>
        <v>366000</v>
      </c>
      <c r="K994" s="188">
        <f t="shared" si="293"/>
        <v>324000</v>
      </c>
      <c r="L994" s="188">
        <f t="shared" si="293"/>
        <v>216000</v>
      </c>
      <c r="M994" s="188">
        <f t="shared" si="293"/>
        <v>216000</v>
      </c>
      <c r="N994" s="188">
        <f t="shared" si="293"/>
        <v>150000</v>
      </c>
      <c r="O994" s="188">
        <f t="shared" si="293"/>
        <v>108000</v>
      </c>
      <c r="P994" s="196">
        <f>SUM(H994:O994)</f>
        <v>2070000</v>
      </c>
      <c r="Q994" s="160"/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203">
        <v>0.6</v>
      </c>
      <c r="N995" s="203">
        <v>0.6</v>
      </c>
      <c r="O995" s="203">
        <v>0.6</v>
      </c>
      <c r="P995" s="198"/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203">
        <v>0.4</v>
      </c>
      <c r="N996" s="203">
        <v>0.4</v>
      </c>
      <c r="O996" s="203">
        <v>0.4</v>
      </c>
      <c r="P996" s="198"/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203">
        <v>0.0</v>
      </c>
      <c r="N997" s="203">
        <v>0.0</v>
      </c>
      <c r="O997" s="203">
        <v>0.0</v>
      </c>
      <c r="P997" s="198"/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203">
        <v>0.0</v>
      </c>
      <c r="N998" s="203">
        <v>0.0</v>
      </c>
      <c r="O998" s="203">
        <v>0.0</v>
      </c>
      <c r="P998" s="198"/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203">
        <v>0.0</v>
      </c>
      <c r="N999" s="203">
        <v>0.0</v>
      </c>
      <c r="O999" s="203">
        <v>0.0</v>
      </c>
      <c r="P999" s="198"/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04">
        <v>8000.0</v>
      </c>
      <c r="N1000" s="204">
        <v>8000.0</v>
      </c>
      <c r="O1000" s="204">
        <v>8000.0</v>
      </c>
      <c r="P1000" s="225">
        <v>30000.0</v>
      </c>
      <c r="Q1000" s="225"/>
      <c r="R1000" s="225"/>
      <c r="S1000" s="225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204">
        <v>6000.0</v>
      </c>
      <c r="N1001" s="204">
        <v>6000.0</v>
      </c>
      <c r="O1001" s="204">
        <v>6000.0</v>
      </c>
      <c r="P1001" s="198"/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204">
        <v>0.0</v>
      </c>
      <c r="N1002" s="204">
        <v>0.0</v>
      </c>
      <c r="O1002" s="204">
        <v>0.0</v>
      </c>
      <c r="P1002" s="198"/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204">
        <v>0.0</v>
      </c>
      <c r="N1003" s="204">
        <v>0.0</v>
      </c>
      <c r="O1003" s="204">
        <v>0.0</v>
      </c>
      <c r="P1003" s="198"/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204">
        <v>0.0</v>
      </c>
      <c r="N1004" s="204">
        <v>0.0</v>
      </c>
      <c r="O1004" s="204">
        <v>0.0</v>
      </c>
      <c r="P1004" s="198"/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62">
        <f>IFERROR(__xludf.DUMMYFUNCTION("MATCH(
  MIN(FILTER(M1000:M1004,M1000:M1004&gt;0)),
  M1000:M1004,
  0
)
"),2.0)</f>
        <v>2</v>
      </c>
      <c r="N1005" s="162">
        <f>IFERROR(__xludf.DUMMYFUNCTION("MATCH(
  MIN(FILTER(N1000:N1004,N1000:N1004&gt;0)),
  N1000:N1004,
  0
)
"),2.0)</f>
        <v>2</v>
      </c>
      <c r="O1005" s="162">
        <f>IFERROR(__xludf.DUMMYFUNCTION("MATCH(
  MIN(FILTER(O1000:O1004,O1000:O1004&gt;0)),
  O1000:O1004,
  0
)
"),2.0)</f>
        <v>2</v>
      </c>
      <c r="P1005" s="198"/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9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O1007" si="294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94"/>
        <v>57</v>
      </c>
      <c r="J1007" s="148">
        <f t="shared" si="294"/>
        <v>30</v>
      </c>
      <c r="K1007" s="148">
        <f t="shared" si="294"/>
        <v>27</v>
      </c>
      <c r="L1007" s="148">
        <f t="shared" si="294"/>
        <v>18</v>
      </c>
      <c r="M1007" s="148">
        <f t="shared" si="294"/>
        <v>18</v>
      </c>
      <c r="N1007" s="148">
        <f t="shared" si="294"/>
        <v>12</v>
      </c>
      <c r="O1007" s="148">
        <f t="shared" si="294"/>
        <v>9</v>
      </c>
      <c r="P1007" s="198"/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O1008" si="295">(H1007*H1000)</f>
        <v>0</v>
      </c>
      <c r="I1008" s="150">
        <f t="shared" si="295"/>
        <v>456000</v>
      </c>
      <c r="J1008" s="150">
        <f t="shared" si="295"/>
        <v>240000</v>
      </c>
      <c r="K1008" s="150">
        <f t="shared" si="295"/>
        <v>216000</v>
      </c>
      <c r="L1008" s="150">
        <f t="shared" si="295"/>
        <v>144000</v>
      </c>
      <c r="M1008" s="150">
        <f t="shared" si="295"/>
        <v>144000</v>
      </c>
      <c r="N1008" s="150">
        <f t="shared" si="295"/>
        <v>96000</v>
      </c>
      <c r="O1008" s="150">
        <f t="shared" si="295"/>
        <v>72000</v>
      </c>
      <c r="P1008" s="198"/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9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O1010" si="296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6"/>
        <v>39</v>
      </c>
      <c r="J1010" s="148">
        <f t="shared" si="296"/>
        <v>21</v>
      </c>
      <c r="K1010" s="148">
        <f t="shared" si="296"/>
        <v>18</v>
      </c>
      <c r="L1010" s="148">
        <f t="shared" si="296"/>
        <v>12</v>
      </c>
      <c r="M1010" s="148">
        <f t="shared" si="296"/>
        <v>12</v>
      </c>
      <c r="N1010" s="148">
        <f t="shared" si="296"/>
        <v>9</v>
      </c>
      <c r="O1010" s="148">
        <f t="shared" si="296"/>
        <v>6</v>
      </c>
      <c r="P1010" s="198"/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O1011" si="297">(H1001*H1010)</f>
        <v>0</v>
      </c>
      <c r="I1011" s="150">
        <f t="shared" si="297"/>
        <v>234000</v>
      </c>
      <c r="J1011" s="150">
        <f t="shared" si="297"/>
        <v>126000</v>
      </c>
      <c r="K1011" s="150">
        <f t="shared" si="297"/>
        <v>108000</v>
      </c>
      <c r="L1011" s="150">
        <f t="shared" si="297"/>
        <v>72000</v>
      </c>
      <c r="M1011" s="150">
        <f t="shared" si="297"/>
        <v>72000</v>
      </c>
      <c r="N1011" s="150">
        <f t="shared" si="297"/>
        <v>54000</v>
      </c>
      <c r="O1011" s="150">
        <f t="shared" si="297"/>
        <v>36000</v>
      </c>
      <c r="P1011" s="198"/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48"/>
      <c r="N1012" s="148"/>
      <c r="O1012" s="148"/>
      <c r="P1012" s="19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O1013" si="298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8"/>
        <v>0</v>
      </c>
      <c r="J1013" s="148">
        <f t="shared" si="298"/>
        <v>0</v>
      </c>
      <c r="K1013" s="148">
        <f t="shared" si="298"/>
        <v>0</v>
      </c>
      <c r="L1013" s="148">
        <f t="shared" si="298"/>
        <v>0</v>
      </c>
      <c r="M1013" s="148">
        <f t="shared" si="298"/>
        <v>0</v>
      </c>
      <c r="N1013" s="148">
        <f t="shared" si="298"/>
        <v>0</v>
      </c>
      <c r="O1013" s="148">
        <f t="shared" si="298"/>
        <v>0</v>
      </c>
      <c r="P1013" s="198"/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O1014" si="299">(H1002*H1013)</f>
        <v>0</v>
      </c>
      <c r="I1014" s="150">
        <f t="shared" si="299"/>
        <v>0</v>
      </c>
      <c r="J1014" s="150">
        <f t="shared" si="299"/>
        <v>0</v>
      </c>
      <c r="K1014" s="150">
        <f t="shared" si="299"/>
        <v>0</v>
      </c>
      <c r="L1014" s="150">
        <f t="shared" si="299"/>
        <v>0</v>
      </c>
      <c r="M1014" s="150">
        <f t="shared" si="299"/>
        <v>0</v>
      </c>
      <c r="N1014" s="150">
        <f t="shared" si="299"/>
        <v>0</v>
      </c>
      <c r="O1014" s="150">
        <f t="shared" si="299"/>
        <v>0</v>
      </c>
      <c r="P1014" s="198"/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48"/>
      <c r="N1015" s="148"/>
      <c r="O1015" s="148"/>
      <c r="P1015" s="19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O1016" si="300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300"/>
        <v>0</v>
      </c>
      <c r="J1016" s="148">
        <f t="shared" si="300"/>
        <v>0</v>
      </c>
      <c r="K1016" s="148">
        <f t="shared" si="300"/>
        <v>0</v>
      </c>
      <c r="L1016" s="148">
        <f t="shared" si="300"/>
        <v>0</v>
      </c>
      <c r="M1016" s="148">
        <f t="shared" si="300"/>
        <v>0</v>
      </c>
      <c r="N1016" s="148">
        <f t="shared" si="300"/>
        <v>0</v>
      </c>
      <c r="O1016" s="148">
        <f t="shared" si="300"/>
        <v>0</v>
      </c>
      <c r="P1016" s="198"/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O1017" si="301">(H1003*H1016)</f>
        <v>0</v>
      </c>
      <c r="I1017" s="150">
        <f t="shared" si="301"/>
        <v>0</v>
      </c>
      <c r="J1017" s="150">
        <f t="shared" si="301"/>
        <v>0</v>
      </c>
      <c r="K1017" s="150">
        <f t="shared" si="301"/>
        <v>0</v>
      </c>
      <c r="L1017" s="150">
        <f t="shared" si="301"/>
        <v>0</v>
      </c>
      <c r="M1017" s="150">
        <f t="shared" si="301"/>
        <v>0</v>
      </c>
      <c r="N1017" s="150">
        <f t="shared" si="301"/>
        <v>0</v>
      </c>
      <c r="O1017" s="150">
        <f t="shared" si="301"/>
        <v>0</v>
      </c>
      <c r="P1017" s="198"/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48"/>
      <c r="N1018" s="148"/>
      <c r="O1018" s="148"/>
      <c r="P1018" s="19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O1019" si="302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302"/>
        <v>0</v>
      </c>
      <c r="J1019" s="148">
        <f t="shared" si="302"/>
        <v>0</v>
      </c>
      <c r="K1019" s="148">
        <f t="shared" si="302"/>
        <v>0</v>
      </c>
      <c r="L1019" s="148">
        <f t="shared" si="302"/>
        <v>0</v>
      </c>
      <c r="M1019" s="148">
        <f t="shared" si="302"/>
        <v>0</v>
      </c>
      <c r="N1019" s="148">
        <f t="shared" si="302"/>
        <v>0</v>
      </c>
      <c r="O1019" s="148">
        <f t="shared" si="302"/>
        <v>0</v>
      </c>
      <c r="P1019" s="198"/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O1020" si="303">(H1004*H1019)</f>
        <v>0</v>
      </c>
      <c r="I1020" s="150">
        <f t="shared" si="303"/>
        <v>0</v>
      </c>
      <c r="J1020" s="150">
        <f t="shared" si="303"/>
        <v>0</v>
      </c>
      <c r="K1020" s="150">
        <f t="shared" si="303"/>
        <v>0</v>
      </c>
      <c r="L1020" s="150">
        <f t="shared" si="303"/>
        <v>0</v>
      </c>
      <c r="M1020" s="150">
        <f t="shared" si="303"/>
        <v>0</v>
      </c>
      <c r="N1020" s="150">
        <f t="shared" si="303"/>
        <v>0</v>
      </c>
      <c r="O1020" s="150">
        <f t="shared" si="303"/>
        <v>0</v>
      </c>
      <c r="P1020" s="198"/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60"/>
      <c r="N1021" s="160"/>
      <c r="O1021" s="160"/>
      <c r="P1021" s="198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4"/>
      <c r="N1022" s="114"/>
      <c r="O1022" s="114"/>
      <c r="P1022" s="1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78"/>
      <c r="N1023" s="178"/>
      <c r="O1023" s="178"/>
      <c r="P1023" s="1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O1024" si="304">SUM(H1027,H1064,H1081,)</f>
        <v>33323500</v>
      </c>
      <c r="I1024" s="173">
        <f t="shared" si="304"/>
        <v>5739600</v>
      </c>
      <c r="J1024" s="173">
        <f t="shared" si="304"/>
        <v>3669560</v>
      </c>
      <c r="K1024" s="173">
        <f t="shared" si="304"/>
        <v>2858316</v>
      </c>
      <c r="L1024" s="173">
        <f t="shared" si="304"/>
        <v>1907907.6</v>
      </c>
      <c r="M1024" s="173">
        <f t="shared" si="304"/>
        <v>3803298.36</v>
      </c>
      <c r="N1024" s="173">
        <f t="shared" si="304"/>
        <v>1451936.196</v>
      </c>
      <c r="O1024" s="173">
        <f t="shared" si="304"/>
        <v>1877503.816</v>
      </c>
      <c r="P1024" s="223">
        <f>SUM(H1024:O1024)</f>
        <v>54631621.97</v>
      </c>
      <c r="Q1024" s="223"/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63"/>
      <c r="N1025" s="163"/>
      <c r="O1025" s="163"/>
      <c r="P1025" s="1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63"/>
      <c r="N1026" s="163"/>
      <c r="O1026" s="163"/>
      <c r="P1026" s="1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O1027" si="305">SUM(H1029,H1036,H1043,H1050,H1057,)</f>
        <v>33287500</v>
      </c>
      <c r="I1027" s="178">
        <f t="shared" si="305"/>
        <v>0</v>
      </c>
      <c r="J1027" s="178">
        <f t="shared" si="305"/>
        <v>0</v>
      </c>
      <c r="K1027" s="178">
        <f t="shared" si="305"/>
        <v>0</v>
      </c>
      <c r="L1027" s="178">
        <f t="shared" si="305"/>
        <v>0</v>
      </c>
      <c r="M1027" s="178">
        <f t="shared" si="305"/>
        <v>0</v>
      </c>
      <c r="N1027" s="178">
        <f t="shared" si="305"/>
        <v>0</v>
      </c>
      <c r="O1027" s="178">
        <f t="shared" si="305"/>
        <v>0</v>
      </c>
      <c r="P1027" s="223">
        <f>SUM(H1027:O1027)</f>
        <v>33287500</v>
      </c>
      <c r="Q1027" s="223"/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223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O1029" si="306">SUM(H1030:H1034)</f>
        <v>2223000</v>
      </c>
      <c r="I1029" s="178">
        <f t="shared" si="306"/>
        <v>0</v>
      </c>
      <c r="J1029" s="178">
        <f t="shared" si="306"/>
        <v>0</v>
      </c>
      <c r="K1029" s="178">
        <f t="shared" si="306"/>
        <v>0</v>
      </c>
      <c r="L1029" s="178">
        <f t="shared" si="306"/>
        <v>0</v>
      </c>
      <c r="M1029" s="178">
        <f t="shared" si="306"/>
        <v>0</v>
      </c>
      <c r="N1029" s="178">
        <f t="shared" si="306"/>
        <v>0</v>
      </c>
      <c r="O1029" s="178">
        <f t="shared" si="306"/>
        <v>0</v>
      </c>
      <c r="P1029" s="1"/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1050000</v>
      </c>
      <c r="I1030" s="178" t="str">
        <f t="shared" ref="I1030:O1030" si="307">I428</f>
        <v/>
      </c>
      <c r="J1030" s="178" t="str">
        <f t="shared" si="307"/>
        <v/>
      </c>
      <c r="K1030" s="178" t="str">
        <f t="shared" si="307"/>
        <v/>
      </c>
      <c r="L1030" s="178" t="str">
        <f t="shared" si="307"/>
        <v/>
      </c>
      <c r="M1030" s="178" t="str">
        <f t="shared" si="307"/>
        <v/>
      </c>
      <c r="N1030" s="178" t="str">
        <f t="shared" si="307"/>
        <v/>
      </c>
      <c r="O1030" s="178" t="str">
        <f t="shared" si="307"/>
        <v/>
      </c>
      <c r="P1030" s="1"/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158000</v>
      </c>
      <c r="I1031" s="178" t="str">
        <f t="shared" ref="I1031:O1031" si="308">I430</f>
        <v/>
      </c>
      <c r="J1031" s="178" t="str">
        <f t="shared" si="308"/>
        <v/>
      </c>
      <c r="K1031" s="178" t="str">
        <f t="shared" si="308"/>
        <v/>
      </c>
      <c r="L1031" s="178" t="str">
        <f t="shared" si="308"/>
        <v/>
      </c>
      <c r="M1031" s="178" t="str">
        <f t="shared" si="308"/>
        <v/>
      </c>
      <c r="N1031" s="178" t="str">
        <f t="shared" si="308"/>
        <v/>
      </c>
      <c r="O1031" s="178" t="str">
        <f t="shared" si="308"/>
        <v/>
      </c>
      <c r="P1031" s="1"/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O1032" si="309">I432</f>
        <v/>
      </c>
      <c r="J1032" s="178" t="str">
        <f t="shared" si="309"/>
        <v/>
      </c>
      <c r="K1032" s="178" t="str">
        <f t="shared" si="309"/>
        <v/>
      </c>
      <c r="L1032" s="178" t="str">
        <f t="shared" si="309"/>
        <v/>
      </c>
      <c r="M1032" s="178" t="str">
        <f t="shared" si="309"/>
        <v/>
      </c>
      <c r="N1032" s="178" t="str">
        <f t="shared" si="309"/>
        <v/>
      </c>
      <c r="O1032" s="178" t="str">
        <f t="shared" si="309"/>
        <v/>
      </c>
      <c r="P1032" s="1"/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1015000</v>
      </c>
      <c r="I1033" s="178" t="str">
        <f t="shared" ref="I1033:O1033" si="310">I434</f>
        <v/>
      </c>
      <c r="J1033" s="178" t="str">
        <f t="shared" si="310"/>
        <v/>
      </c>
      <c r="K1033" s="178" t="str">
        <f t="shared" si="310"/>
        <v/>
      </c>
      <c r="L1033" s="178" t="str">
        <f t="shared" si="310"/>
        <v/>
      </c>
      <c r="M1033" s="178" t="str">
        <f t="shared" si="310"/>
        <v/>
      </c>
      <c r="N1033" s="178" t="str">
        <f t="shared" si="310"/>
        <v/>
      </c>
      <c r="O1033" s="178" t="str">
        <f t="shared" si="310"/>
        <v/>
      </c>
      <c r="P1033" s="1"/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O1034" si="311">I436</f>
        <v/>
      </c>
      <c r="J1034" s="178" t="str">
        <f t="shared" si="311"/>
        <v/>
      </c>
      <c r="K1034" s="178" t="str">
        <f t="shared" si="311"/>
        <v/>
      </c>
      <c r="L1034" s="178" t="str">
        <f t="shared" si="311"/>
        <v/>
      </c>
      <c r="M1034" s="178" t="str">
        <f t="shared" si="311"/>
        <v/>
      </c>
      <c r="N1034" s="178" t="str">
        <f t="shared" si="311"/>
        <v/>
      </c>
      <c r="O1034" s="178" t="str">
        <f t="shared" si="311"/>
        <v/>
      </c>
      <c r="P1034" s="1"/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78"/>
      <c r="N1035" s="178"/>
      <c r="O1035" s="178"/>
      <c r="P1035" s="1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O1036" si="312">SUM(H1037:H1041)</f>
        <v>2280000</v>
      </c>
      <c r="I1036" s="178">
        <f t="shared" si="312"/>
        <v>0</v>
      </c>
      <c r="J1036" s="178">
        <f t="shared" si="312"/>
        <v>0</v>
      </c>
      <c r="K1036" s="178">
        <f t="shared" si="312"/>
        <v>0</v>
      </c>
      <c r="L1036" s="178">
        <f t="shared" si="312"/>
        <v>0</v>
      </c>
      <c r="M1036" s="178">
        <f t="shared" si="312"/>
        <v>0</v>
      </c>
      <c r="N1036" s="178">
        <f t="shared" si="312"/>
        <v>0</v>
      </c>
      <c r="O1036" s="178">
        <f t="shared" si="312"/>
        <v>0</v>
      </c>
      <c r="P1036" s="1"/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1200000</v>
      </c>
      <c r="I1037" s="178" t="str">
        <f t="shared" ref="I1037:O1037" si="313">I454</f>
        <v/>
      </c>
      <c r="J1037" s="178" t="str">
        <f t="shared" si="313"/>
        <v/>
      </c>
      <c r="K1037" s="178" t="str">
        <f t="shared" si="313"/>
        <v/>
      </c>
      <c r="L1037" s="178" t="str">
        <f t="shared" si="313"/>
        <v/>
      </c>
      <c r="M1037" s="178" t="str">
        <f t="shared" si="313"/>
        <v/>
      </c>
      <c r="N1037" s="178" t="str">
        <f t="shared" si="313"/>
        <v/>
      </c>
      <c r="O1037" s="178" t="str">
        <f t="shared" si="313"/>
        <v/>
      </c>
      <c r="P1037" s="1"/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90000</v>
      </c>
      <c r="I1038" s="178" t="str">
        <f t="shared" ref="I1038:O1038" si="314">I456</f>
        <v/>
      </c>
      <c r="J1038" s="178" t="str">
        <f t="shared" si="314"/>
        <v/>
      </c>
      <c r="K1038" s="178" t="str">
        <f t="shared" si="314"/>
        <v/>
      </c>
      <c r="L1038" s="178" t="str">
        <f t="shared" si="314"/>
        <v/>
      </c>
      <c r="M1038" s="178" t="str">
        <f t="shared" si="314"/>
        <v/>
      </c>
      <c r="N1038" s="178" t="str">
        <f t="shared" si="314"/>
        <v/>
      </c>
      <c r="O1038" s="178" t="str">
        <f t="shared" si="314"/>
        <v/>
      </c>
      <c r="P1038" s="1"/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O1039" si="315">I458</f>
        <v/>
      </c>
      <c r="J1039" s="178" t="str">
        <f t="shared" si="315"/>
        <v/>
      </c>
      <c r="K1039" s="178" t="str">
        <f t="shared" si="315"/>
        <v/>
      </c>
      <c r="L1039" s="178" t="str">
        <f t="shared" si="315"/>
        <v/>
      </c>
      <c r="M1039" s="178" t="str">
        <f t="shared" si="315"/>
        <v/>
      </c>
      <c r="N1039" s="178" t="str">
        <f t="shared" si="315"/>
        <v/>
      </c>
      <c r="O1039" s="178" t="str">
        <f t="shared" si="315"/>
        <v/>
      </c>
      <c r="P1039" s="1"/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990000</v>
      </c>
      <c r="I1040" s="178" t="str">
        <f t="shared" ref="I1040:O1040" si="316">I460</f>
        <v/>
      </c>
      <c r="J1040" s="178" t="str">
        <f t="shared" si="316"/>
        <v/>
      </c>
      <c r="K1040" s="178" t="str">
        <f t="shared" si="316"/>
        <v/>
      </c>
      <c r="L1040" s="178" t="str">
        <f t="shared" si="316"/>
        <v/>
      </c>
      <c r="M1040" s="178" t="str">
        <f t="shared" si="316"/>
        <v/>
      </c>
      <c r="N1040" s="178" t="str">
        <f t="shared" si="316"/>
        <v/>
      </c>
      <c r="O1040" s="178" t="str">
        <f t="shared" si="316"/>
        <v/>
      </c>
      <c r="P1040" s="1"/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O1041" si="317">I462</f>
        <v/>
      </c>
      <c r="J1041" s="178" t="str">
        <f t="shared" si="317"/>
        <v/>
      </c>
      <c r="K1041" s="178" t="str">
        <f t="shared" si="317"/>
        <v/>
      </c>
      <c r="L1041" s="178" t="str">
        <f t="shared" si="317"/>
        <v/>
      </c>
      <c r="M1041" s="178" t="str">
        <f t="shared" si="317"/>
        <v/>
      </c>
      <c r="N1041" s="178" t="str">
        <f t="shared" si="317"/>
        <v/>
      </c>
      <c r="O1041" s="178" t="str">
        <f t="shared" si="317"/>
        <v/>
      </c>
      <c r="P1041" s="1"/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78"/>
      <c r="N1042" s="178"/>
      <c r="O1042" s="178"/>
      <c r="P1042" s="1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O1043" si="318">SUM(H1044:H1048)</f>
        <v>9519000</v>
      </c>
      <c r="I1043" s="178">
        <f t="shared" si="318"/>
        <v>0</v>
      </c>
      <c r="J1043" s="178">
        <f t="shared" si="318"/>
        <v>0</v>
      </c>
      <c r="K1043" s="178">
        <f t="shared" si="318"/>
        <v>0</v>
      </c>
      <c r="L1043" s="178">
        <f t="shared" si="318"/>
        <v>0</v>
      </c>
      <c r="M1043" s="178">
        <f t="shared" si="318"/>
        <v>0</v>
      </c>
      <c r="N1043" s="178">
        <f t="shared" si="318"/>
        <v>0</v>
      </c>
      <c r="O1043" s="178">
        <f t="shared" si="318"/>
        <v>0</v>
      </c>
      <c r="P1043" s="1"/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5680000</v>
      </c>
      <c r="I1044" s="178"/>
      <c r="J1044" s="178"/>
      <c r="K1044" s="178"/>
      <c r="L1044" s="178"/>
      <c r="M1044" s="178"/>
      <c r="N1044" s="178"/>
      <c r="O1044" s="178"/>
      <c r="P1044" s="1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360000</v>
      </c>
      <c r="I1045" s="178"/>
      <c r="J1045" s="178"/>
      <c r="K1045" s="178"/>
      <c r="L1045" s="178"/>
      <c r="M1045" s="178"/>
      <c r="N1045" s="178"/>
      <c r="O1045" s="178"/>
      <c r="P1045" s="1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78"/>
      <c r="N1046" s="178"/>
      <c r="O1046" s="178"/>
      <c r="P1046" s="1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3479000</v>
      </c>
      <c r="I1047" s="178"/>
      <c r="J1047" s="178"/>
      <c r="K1047" s="178"/>
      <c r="L1047" s="178"/>
      <c r="M1047" s="178"/>
      <c r="N1047" s="178"/>
      <c r="O1047" s="178"/>
      <c r="P1047" s="1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78"/>
      <c r="N1048" s="178"/>
      <c r="O1048" s="178"/>
      <c r="P1048" s="1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78"/>
      <c r="N1049" s="178"/>
      <c r="O1049" s="178"/>
      <c r="P1049" s="1"/>
      <c r="Q1049" s="1"/>
      <c r="R1049" s="1"/>
      <c r="S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O1050" si="319">SUM(H1051:H1055)</f>
        <v>14668000</v>
      </c>
      <c r="I1050" s="178">
        <f t="shared" si="319"/>
        <v>0</v>
      </c>
      <c r="J1050" s="178">
        <f t="shared" si="319"/>
        <v>0</v>
      </c>
      <c r="K1050" s="178">
        <f t="shared" si="319"/>
        <v>0</v>
      </c>
      <c r="L1050" s="178">
        <f t="shared" si="319"/>
        <v>0</v>
      </c>
      <c r="M1050" s="178">
        <f t="shared" si="319"/>
        <v>0</v>
      </c>
      <c r="N1050" s="178">
        <f t="shared" si="319"/>
        <v>0</v>
      </c>
      <c r="O1050" s="178">
        <f t="shared" si="319"/>
        <v>0</v>
      </c>
      <c r="P1050" s="1"/>
      <c r="Q1050" s="1"/>
      <c r="R1050" s="1"/>
      <c r="S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13380000</v>
      </c>
      <c r="I1051" s="178"/>
      <c r="J1051" s="178"/>
      <c r="K1051" s="178"/>
      <c r="L1051" s="178"/>
      <c r="M1051" s="178"/>
      <c r="N1051" s="178"/>
      <c r="O1051" s="178"/>
      <c r="P1051" s="1"/>
      <c r="Q1051" s="1"/>
      <c r="R1051" s="1"/>
      <c r="S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1288000</v>
      </c>
      <c r="I1052" s="178"/>
      <c r="J1052" s="178"/>
      <c r="K1052" s="178"/>
      <c r="L1052" s="178"/>
      <c r="M1052" s="178"/>
      <c r="N1052" s="178"/>
      <c r="O1052" s="178"/>
      <c r="P1052" s="1"/>
      <c r="Q1052" s="1"/>
      <c r="R1052" s="1"/>
      <c r="S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78"/>
      <c r="N1053" s="178"/>
      <c r="O1053" s="178"/>
      <c r="P1053" s="1"/>
      <c r="Q1053" s="1"/>
      <c r="R1053" s="1"/>
      <c r="S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78"/>
      <c r="N1054" s="178"/>
      <c r="O1054" s="178"/>
      <c r="P1054" s="1"/>
      <c r="Q1054" s="1"/>
      <c r="R1054" s="1"/>
      <c r="S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78"/>
      <c r="N1055" s="178"/>
      <c r="O1055" s="178"/>
      <c r="P1055" s="1"/>
      <c r="Q1055" s="1"/>
      <c r="R1055" s="1"/>
      <c r="S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78"/>
      <c r="N1056" s="178"/>
      <c r="O1056" s="178"/>
      <c r="P1056" s="1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O1057" si="320">SUM(H1058:H1062)</f>
        <v>4597500</v>
      </c>
      <c r="I1057" s="178">
        <f t="shared" si="320"/>
        <v>0</v>
      </c>
      <c r="J1057" s="178">
        <f t="shared" si="320"/>
        <v>0</v>
      </c>
      <c r="K1057" s="178">
        <f t="shared" si="320"/>
        <v>0</v>
      </c>
      <c r="L1057" s="178">
        <f t="shared" si="320"/>
        <v>0</v>
      </c>
      <c r="M1057" s="178">
        <f t="shared" si="320"/>
        <v>0</v>
      </c>
      <c r="N1057" s="178">
        <f t="shared" si="320"/>
        <v>0</v>
      </c>
      <c r="O1057" s="178">
        <f t="shared" si="320"/>
        <v>0</v>
      </c>
      <c r="P1057" s="1"/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4200000</v>
      </c>
      <c r="I1058" s="178"/>
      <c r="J1058" s="178"/>
      <c r="K1058" s="178"/>
      <c r="L1058" s="178"/>
      <c r="M1058" s="178"/>
      <c r="N1058" s="178"/>
      <c r="O1058" s="178"/>
      <c r="P1058" s="1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397500</v>
      </c>
      <c r="I1059" s="178"/>
      <c r="J1059" s="178"/>
      <c r="K1059" s="178"/>
      <c r="L1059" s="178"/>
      <c r="M1059" s="178"/>
      <c r="N1059" s="178"/>
      <c r="O1059" s="178"/>
      <c r="P1059" s="1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78"/>
      <c r="N1060" s="178"/>
      <c r="O1060" s="178"/>
      <c r="P1060" s="1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78"/>
      <c r="N1061" s="178"/>
      <c r="O1061" s="178"/>
      <c r="P1061" s="1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78"/>
      <c r="N1062" s="178"/>
      <c r="O1062" s="178"/>
      <c r="P1062" s="1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78"/>
      <c r="N1063" s="178"/>
      <c r="O1063" s="178"/>
      <c r="P1063" s="1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O1064" si="321">SUM(H1066,H1071,H1076,)</f>
        <v>36000</v>
      </c>
      <c r="I1064" s="178">
        <f t="shared" si="321"/>
        <v>39600</v>
      </c>
      <c r="J1064" s="178">
        <f t="shared" si="321"/>
        <v>43560</v>
      </c>
      <c r="K1064" s="178">
        <f t="shared" si="321"/>
        <v>206316</v>
      </c>
      <c r="L1064" s="178">
        <f t="shared" si="321"/>
        <v>151907.6</v>
      </c>
      <c r="M1064" s="178">
        <f t="shared" si="321"/>
        <v>266298.36</v>
      </c>
      <c r="N1064" s="178">
        <f t="shared" si="321"/>
        <v>195936.196</v>
      </c>
      <c r="O1064" s="178">
        <f t="shared" si="321"/>
        <v>981503.8156</v>
      </c>
      <c r="P1064" s="223">
        <f>SUM(H1064:O1064)</f>
        <v>1921121.972</v>
      </c>
      <c r="Q1064" s="223"/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223"/>
      <c r="Q1065" s="223"/>
      <c r="R1065" s="223"/>
      <c r="S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O1066" si="322">SUM(H1067:H1069)</f>
        <v>13500</v>
      </c>
      <c r="I1066" s="178">
        <f t="shared" si="322"/>
        <v>14850</v>
      </c>
      <c r="J1066" s="178">
        <f t="shared" si="322"/>
        <v>16335</v>
      </c>
      <c r="K1066" s="178">
        <f t="shared" si="322"/>
        <v>17968.5</v>
      </c>
      <c r="L1066" s="178">
        <f t="shared" si="322"/>
        <v>19765.35</v>
      </c>
      <c r="M1066" s="178">
        <f t="shared" si="322"/>
        <v>21741.885</v>
      </c>
      <c r="N1066" s="178">
        <f t="shared" si="322"/>
        <v>23916.0735</v>
      </c>
      <c r="O1066" s="178">
        <f t="shared" si="322"/>
        <v>26307.68085</v>
      </c>
      <c r="P1066" s="1"/>
      <c r="Q1066" s="1"/>
      <c r="R1066" s="1"/>
      <c r="S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O1067" si="323">H571</f>
        <v>0</v>
      </c>
      <c r="I1067" s="178">
        <f t="shared" si="323"/>
        <v>0</v>
      </c>
      <c r="J1067" s="178">
        <f t="shared" si="323"/>
        <v>0</v>
      </c>
      <c r="K1067" s="178">
        <f t="shared" si="323"/>
        <v>0</v>
      </c>
      <c r="L1067" s="178">
        <f t="shared" si="323"/>
        <v>0</v>
      </c>
      <c r="M1067" s="178">
        <f t="shared" si="323"/>
        <v>0</v>
      </c>
      <c r="N1067" s="178">
        <f t="shared" si="323"/>
        <v>0</v>
      </c>
      <c r="O1067" s="178">
        <f t="shared" si="323"/>
        <v>0</v>
      </c>
      <c r="P1067" s="1"/>
      <c r="Q1067" s="1"/>
      <c r="R1067" s="1"/>
      <c r="S1067" s="1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O1068" si="324">H605</f>
        <v>0</v>
      </c>
      <c r="I1068" s="178">
        <f t="shared" si="324"/>
        <v>0</v>
      </c>
      <c r="J1068" s="178">
        <f t="shared" si="324"/>
        <v>0</v>
      </c>
      <c r="K1068" s="178">
        <f t="shared" si="324"/>
        <v>0</v>
      </c>
      <c r="L1068" s="178">
        <f t="shared" si="324"/>
        <v>0</v>
      </c>
      <c r="M1068" s="178">
        <f t="shared" si="324"/>
        <v>0</v>
      </c>
      <c r="N1068" s="178">
        <f t="shared" si="324"/>
        <v>0</v>
      </c>
      <c r="O1068" s="178">
        <f t="shared" si="324"/>
        <v>0</v>
      </c>
      <c r="P1068" s="1"/>
      <c r="Q1068" s="1"/>
      <c r="R1068" s="1"/>
      <c r="S1068" s="1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O1069" si="325">H624</f>
        <v>13500</v>
      </c>
      <c r="I1069" s="178">
        <f t="shared" si="325"/>
        <v>14850</v>
      </c>
      <c r="J1069" s="178">
        <f t="shared" si="325"/>
        <v>16335</v>
      </c>
      <c r="K1069" s="178">
        <f t="shared" si="325"/>
        <v>17968.5</v>
      </c>
      <c r="L1069" s="178">
        <f t="shared" si="325"/>
        <v>19765.35</v>
      </c>
      <c r="M1069" s="178">
        <f t="shared" si="325"/>
        <v>21741.885</v>
      </c>
      <c r="N1069" s="178">
        <f t="shared" si="325"/>
        <v>23916.0735</v>
      </c>
      <c r="O1069" s="178">
        <f t="shared" si="325"/>
        <v>26307.68085</v>
      </c>
      <c r="P1069" s="1"/>
      <c r="Q1069" s="1"/>
      <c r="R1069" s="1"/>
      <c r="S1069" s="1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"/>
      <c r="Q1070" s="1"/>
      <c r="R1070" s="1"/>
      <c r="S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 t="shared" ref="H1071:O1071" si="326">SUM(H1072:H1074)</f>
        <v>22500</v>
      </c>
      <c r="I1071" s="178">
        <f t="shared" si="326"/>
        <v>24750</v>
      </c>
      <c r="J1071" s="178">
        <f t="shared" si="326"/>
        <v>27225</v>
      </c>
      <c r="K1071" s="178">
        <f t="shared" si="326"/>
        <v>29947.5</v>
      </c>
      <c r="L1071" s="178">
        <f t="shared" si="326"/>
        <v>45742.25</v>
      </c>
      <c r="M1071" s="178">
        <f t="shared" si="326"/>
        <v>36236.475</v>
      </c>
      <c r="N1071" s="178">
        <f t="shared" si="326"/>
        <v>50100.1225</v>
      </c>
      <c r="O1071" s="178">
        <f t="shared" si="326"/>
        <v>88646.13475</v>
      </c>
      <c r="P1071" s="1"/>
      <c r="Q1071" s="1"/>
      <c r="R1071" s="1"/>
      <c r="S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O1072" si="327">H646</f>
        <v>0</v>
      </c>
      <c r="I1072" s="178">
        <f t="shared" si="327"/>
        <v>0</v>
      </c>
      <c r="J1072" s="178">
        <f t="shared" si="327"/>
        <v>0</v>
      </c>
      <c r="K1072" s="178">
        <f t="shared" si="327"/>
        <v>0</v>
      </c>
      <c r="L1072" s="178">
        <f t="shared" si="327"/>
        <v>12800</v>
      </c>
      <c r="M1072" s="178">
        <f t="shared" si="327"/>
        <v>0</v>
      </c>
      <c r="N1072" s="178">
        <f t="shared" si="327"/>
        <v>10240</v>
      </c>
      <c r="O1072" s="178">
        <f t="shared" si="327"/>
        <v>44800</v>
      </c>
      <c r="P1072" s="1"/>
      <c r="Q1072" s="1"/>
      <c r="R1072" s="1"/>
      <c r="S1072" s="1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O1073" si="328">H679</f>
        <v>0</v>
      </c>
      <c r="I1073" s="178">
        <f t="shared" si="328"/>
        <v>0</v>
      </c>
      <c r="J1073" s="178">
        <f t="shared" si="328"/>
        <v>0</v>
      </c>
      <c r="K1073" s="178">
        <f t="shared" si="328"/>
        <v>0</v>
      </c>
      <c r="L1073" s="178">
        <f t="shared" si="328"/>
        <v>0</v>
      </c>
      <c r="M1073" s="178">
        <f t="shared" si="328"/>
        <v>0</v>
      </c>
      <c r="N1073" s="178">
        <f t="shared" si="328"/>
        <v>0</v>
      </c>
      <c r="O1073" s="178">
        <f t="shared" si="328"/>
        <v>0</v>
      </c>
      <c r="P1073" s="1"/>
      <c r="Q1073" s="1"/>
      <c r="R1073" s="1"/>
      <c r="S1073" s="1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O1074" si="329">H698</f>
        <v>22500</v>
      </c>
      <c r="I1074" s="178">
        <f t="shared" si="329"/>
        <v>24750</v>
      </c>
      <c r="J1074" s="178">
        <f t="shared" si="329"/>
        <v>27225</v>
      </c>
      <c r="K1074" s="178">
        <f t="shared" si="329"/>
        <v>29947.5</v>
      </c>
      <c r="L1074" s="178">
        <f t="shared" si="329"/>
        <v>32942.25</v>
      </c>
      <c r="M1074" s="178">
        <f t="shared" si="329"/>
        <v>36236.475</v>
      </c>
      <c r="N1074" s="178">
        <f t="shared" si="329"/>
        <v>39860.1225</v>
      </c>
      <c r="O1074" s="178">
        <f t="shared" si="329"/>
        <v>43846.13475</v>
      </c>
      <c r="P1074" s="1"/>
      <c r="Q1074" s="1"/>
      <c r="R1074" s="1"/>
      <c r="S1074" s="1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"/>
      <c r="Q1075" s="1"/>
      <c r="R1075" s="1"/>
      <c r="S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 t="shared" ref="H1076:O1076" si="330">SUM(H1077:H1079)</f>
        <v>0</v>
      </c>
      <c r="I1076" s="178">
        <f t="shared" si="330"/>
        <v>0</v>
      </c>
      <c r="J1076" s="178">
        <f t="shared" si="330"/>
        <v>0</v>
      </c>
      <c r="K1076" s="178">
        <f t="shared" si="330"/>
        <v>158400</v>
      </c>
      <c r="L1076" s="178">
        <f t="shared" si="330"/>
        <v>86400</v>
      </c>
      <c r="M1076" s="178">
        <f t="shared" si="330"/>
        <v>208320</v>
      </c>
      <c r="N1076" s="178">
        <f t="shared" si="330"/>
        <v>121920</v>
      </c>
      <c r="O1076" s="178">
        <f t="shared" si="330"/>
        <v>866550</v>
      </c>
      <c r="P1076" s="1"/>
      <c r="Q1076" s="1"/>
      <c r="R1076" s="1"/>
      <c r="S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O1077" si="331">H720</f>
        <v>0</v>
      </c>
      <c r="I1077" s="178">
        <f t="shared" si="331"/>
        <v>0</v>
      </c>
      <c r="J1077" s="178">
        <f t="shared" si="331"/>
        <v>0</v>
      </c>
      <c r="K1077" s="178">
        <f t="shared" si="331"/>
        <v>158400</v>
      </c>
      <c r="L1077" s="178">
        <f t="shared" si="331"/>
        <v>86400</v>
      </c>
      <c r="M1077" s="178">
        <f t="shared" si="331"/>
        <v>208320</v>
      </c>
      <c r="N1077" s="178">
        <f t="shared" si="331"/>
        <v>121920</v>
      </c>
      <c r="O1077" s="178">
        <f t="shared" si="331"/>
        <v>219456</v>
      </c>
      <c r="P1077" s="1"/>
      <c r="Q1077" s="1"/>
      <c r="R1077" s="1"/>
      <c r="S1077" s="1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O1078" si="332">H754</f>
        <v>0</v>
      </c>
      <c r="I1078" s="178">
        <f t="shared" si="332"/>
        <v>0</v>
      </c>
      <c r="J1078" s="178">
        <f t="shared" si="332"/>
        <v>0</v>
      </c>
      <c r="K1078" s="178">
        <f t="shared" si="332"/>
        <v>0</v>
      </c>
      <c r="L1078" s="178">
        <f t="shared" si="332"/>
        <v>0</v>
      </c>
      <c r="M1078" s="178">
        <f t="shared" si="332"/>
        <v>0</v>
      </c>
      <c r="N1078" s="178">
        <f t="shared" si="332"/>
        <v>0</v>
      </c>
      <c r="O1078" s="178">
        <f t="shared" si="332"/>
        <v>647094</v>
      </c>
      <c r="P1078" s="1"/>
      <c r="Q1078" s="1"/>
      <c r="R1078" s="1"/>
      <c r="S1078" s="1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O1079" si="333">H774</f>
        <v>0</v>
      </c>
      <c r="I1079" s="178">
        <f t="shared" si="333"/>
        <v>0</v>
      </c>
      <c r="J1079" s="178">
        <f t="shared" si="333"/>
        <v>0</v>
      </c>
      <c r="K1079" s="178">
        <f t="shared" si="333"/>
        <v>0</v>
      </c>
      <c r="L1079" s="178">
        <f t="shared" si="333"/>
        <v>0</v>
      </c>
      <c r="M1079" s="178">
        <f t="shared" si="333"/>
        <v>0</v>
      </c>
      <c r="N1079" s="178">
        <f t="shared" si="333"/>
        <v>0</v>
      </c>
      <c r="O1079" s="178">
        <f t="shared" si="333"/>
        <v>0</v>
      </c>
      <c r="P1079" s="1"/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O1081" si="334">SUM(H1083,H1090,H1097,H1104,H1111,)</f>
        <v>0</v>
      </c>
      <c r="I1081" s="178">
        <f t="shared" si="334"/>
        <v>5700000</v>
      </c>
      <c r="J1081" s="178">
        <f t="shared" si="334"/>
        <v>3626000</v>
      </c>
      <c r="K1081" s="178">
        <f t="shared" si="334"/>
        <v>2652000</v>
      </c>
      <c r="L1081" s="178">
        <f t="shared" si="334"/>
        <v>1756000</v>
      </c>
      <c r="M1081" s="178">
        <f t="shared" si="334"/>
        <v>3537000</v>
      </c>
      <c r="N1081" s="178">
        <f t="shared" si="334"/>
        <v>1256000</v>
      </c>
      <c r="O1081" s="178">
        <f t="shared" si="334"/>
        <v>896000</v>
      </c>
      <c r="P1081" s="223">
        <f>SUM(H1081:O1081)</f>
        <v>19423000</v>
      </c>
      <c r="Q1081" s="223"/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223"/>
      <c r="Q1082" s="223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O1083" si="335">SUM(H1084:H1088)</f>
        <v>0</v>
      </c>
      <c r="I1083" s="178">
        <f t="shared" si="335"/>
        <v>0</v>
      </c>
      <c r="J1083" s="178">
        <f t="shared" si="335"/>
        <v>170000</v>
      </c>
      <c r="K1083" s="178">
        <f t="shared" si="335"/>
        <v>0</v>
      </c>
      <c r="L1083" s="178">
        <f t="shared" si="335"/>
        <v>0</v>
      </c>
      <c r="M1083" s="178">
        <f t="shared" si="335"/>
        <v>560000</v>
      </c>
      <c r="N1083" s="178">
        <f t="shared" si="335"/>
        <v>0</v>
      </c>
      <c r="O1083" s="178">
        <f t="shared" si="335"/>
        <v>0</v>
      </c>
      <c r="P1083" s="1"/>
      <c r="Q1083" s="1"/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O1084" si="336">H827</f>
        <v>0</v>
      </c>
      <c r="I1084" s="179">
        <f t="shared" si="336"/>
        <v>0</v>
      </c>
      <c r="J1084" s="179">
        <f t="shared" si="336"/>
        <v>140000</v>
      </c>
      <c r="K1084" s="179">
        <f t="shared" si="336"/>
        <v>0</v>
      </c>
      <c r="L1084" s="179">
        <f t="shared" si="336"/>
        <v>0</v>
      </c>
      <c r="M1084" s="179">
        <f t="shared" si="336"/>
        <v>490000</v>
      </c>
      <c r="N1084" s="179">
        <f t="shared" si="336"/>
        <v>0</v>
      </c>
      <c r="O1084" s="179">
        <f t="shared" si="336"/>
        <v>0</v>
      </c>
      <c r="P1084" s="1"/>
      <c r="Q1084" s="1"/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O1085" si="337">H830</f>
        <v>0</v>
      </c>
      <c r="I1085" s="179">
        <f t="shared" si="337"/>
        <v>0</v>
      </c>
      <c r="J1085" s="179">
        <f t="shared" si="337"/>
        <v>30000</v>
      </c>
      <c r="K1085" s="179">
        <f t="shared" si="337"/>
        <v>0</v>
      </c>
      <c r="L1085" s="179">
        <f t="shared" si="337"/>
        <v>0</v>
      </c>
      <c r="M1085" s="179">
        <f t="shared" si="337"/>
        <v>70000</v>
      </c>
      <c r="N1085" s="179">
        <f t="shared" si="337"/>
        <v>0</v>
      </c>
      <c r="O1085" s="179">
        <f t="shared" si="337"/>
        <v>0</v>
      </c>
      <c r="P1085" s="1"/>
      <c r="Q1085" s="1"/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O1086" si="338">H833</f>
        <v>0</v>
      </c>
      <c r="I1086" s="179">
        <f t="shared" si="338"/>
        <v>0</v>
      </c>
      <c r="J1086" s="179">
        <f t="shared" si="338"/>
        <v>0</v>
      </c>
      <c r="K1086" s="179">
        <f t="shared" si="338"/>
        <v>0</v>
      </c>
      <c r="L1086" s="179">
        <f t="shared" si="338"/>
        <v>0</v>
      </c>
      <c r="M1086" s="179">
        <f t="shared" si="338"/>
        <v>0</v>
      </c>
      <c r="N1086" s="179">
        <f t="shared" si="338"/>
        <v>0</v>
      </c>
      <c r="O1086" s="179">
        <f t="shared" si="338"/>
        <v>0</v>
      </c>
      <c r="P1086" s="1"/>
      <c r="Q1086" s="1"/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O1087" si="339">H836</f>
        <v>0</v>
      </c>
      <c r="I1087" s="179">
        <f t="shared" si="339"/>
        <v>0</v>
      </c>
      <c r="J1087" s="179">
        <f t="shared" si="339"/>
        <v>0</v>
      </c>
      <c r="K1087" s="179">
        <f t="shared" si="339"/>
        <v>0</v>
      </c>
      <c r="L1087" s="179">
        <f t="shared" si="339"/>
        <v>0</v>
      </c>
      <c r="M1087" s="179">
        <f t="shared" si="339"/>
        <v>0</v>
      </c>
      <c r="N1087" s="179">
        <f t="shared" si="339"/>
        <v>0</v>
      </c>
      <c r="O1087" s="179">
        <f t="shared" si="339"/>
        <v>0</v>
      </c>
      <c r="P1087" s="1"/>
      <c r="Q1087" s="1"/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O1088" si="340">H839</f>
        <v>0</v>
      </c>
      <c r="I1088" s="179">
        <f t="shared" si="340"/>
        <v>0</v>
      </c>
      <c r="J1088" s="179">
        <f t="shared" si="340"/>
        <v>0</v>
      </c>
      <c r="K1088" s="179">
        <f t="shared" si="340"/>
        <v>0</v>
      </c>
      <c r="L1088" s="179">
        <f t="shared" si="340"/>
        <v>0</v>
      </c>
      <c r="M1088" s="179">
        <f t="shared" si="340"/>
        <v>0</v>
      </c>
      <c r="N1088" s="179">
        <f t="shared" si="340"/>
        <v>0</v>
      </c>
      <c r="O1088" s="179">
        <f t="shared" si="340"/>
        <v>0</v>
      </c>
      <c r="P1088" s="1"/>
      <c r="Q1088" s="1"/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"/>
      <c r="Q1089" s="1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O1090" si="341">SUM(H1091:H1095)</f>
        <v>0</v>
      </c>
      <c r="I1090" s="178">
        <f t="shared" si="341"/>
        <v>0</v>
      </c>
      <c r="J1090" s="178">
        <f t="shared" si="341"/>
        <v>440000</v>
      </c>
      <c r="K1090" s="178">
        <f t="shared" si="341"/>
        <v>0</v>
      </c>
      <c r="L1090" s="178">
        <f t="shared" si="341"/>
        <v>0</v>
      </c>
      <c r="M1090" s="178">
        <f t="shared" si="341"/>
        <v>1221000</v>
      </c>
      <c r="N1090" s="178">
        <f t="shared" si="341"/>
        <v>0</v>
      </c>
      <c r="O1090" s="178">
        <f t="shared" si="341"/>
        <v>0</v>
      </c>
      <c r="P1090" s="1"/>
      <c r="Q1090" s="1"/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O1091" si="342">H872</f>
        <v>0</v>
      </c>
      <c r="I1091" s="179">
        <f t="shared" si="342"/>
        <v>0</v>
      </c>
      <c r="J1091" s="179">
        <f t="shared" si="342"/>
        <v>200000</v>
      </c>
      <c r="K1091" s="179">
        <f t="shared" si="342"/>
        <v>0</v>
      </c>
      <c r="L1091" s="179">
        <f t="shared" si="342"/>
        <v>0</v>
      </c>
      <c r="M1091" s="179">
        <f t="shared" si="342"/>
        <v>575000</v>
      </c>
      <c r="N1091" s="179">
        <f t="shared" si="342"/>
        <v>0</v>
      </c>
      <c r="O1091" s="179">
        <f t="shared" si="342"/>
        <v>0</v>
      </c>
      <c r="P1091" s="1"/>
      <c r="Q1091" s="1"/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O1092" si="343">H875</f>
        <v>0</v>
      </c>
      <c r="I1092" s="179">
        <f t="shared" si="343"/>
        <v>0</v>
      </c>
      <c r="J1092" s="179">
        <f t="shared" si="343"/>
        <v>80000</v>
      </c>
      <c r="K1092" s="179">
        <f t="shared" si="343"/>
        <v>0</v>
      </c>
      <c r="L1092" s="179">
        <f t="shared" si="343"/>
        <v>0</v>
      </c>
      <c r="M1092" s="179">
        <f t="shared" si="343"/>
        <v>230000</v>
      </c>
      <c r="N1092" s="179">
        <f t="shared" si="343"/>
        <v>0</v>
      </c>
      <c r="O1092" s="179">
        <f t="shared" si="343"/>
        <v>0</v>
      </c>
      <c r="P1092" s="1"/>
      <c r="Q1092" s="1"/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O1093" si="344">H878</f>
        <v>0</v>
      </c>
      <c r="I1093" s="179">
        <f t="shared" si="344"/>
        <v>0</v>
      </c>
      <c r="J1093" s="179">
        <f t="shared" si="344"/>
        <v>16000</v>
      </c>
      <c r="K1093" s="179">
        <f t="shared" si="344"/>
        <v>0</v>
      </c>
      <c r="L1093" s="179">
        <f t="shared" si="344"/>
        <v>0</v>
      </c>
      <c r="M1093" s="179">
        <f t="shared" si="344"/>
        <v>56000</v>
      </c>
      <c r="N1093" s="179">
        <f t="shared" si="344"/>
        <v>0</v>
      </c>
      <c r="O1093" s="179">
        <f t="shared" si="344"/>
        <v>0</v>
      </c>
      <c r="P1093" s="1"/>
      <c r="Q1093" s="1"/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O1094" si="345">H881</f>
        <v>0</v>
      </c>
      <c r="I1094" s="179">
        <f t="shared" si="345"/>
        <v>0</v>
      </c>
      <c r="J1094" s="179">
        <f t="shared" si="345"/>
        <v>144000</v>
      </c>
      <c r="K1094" s="179">
        <f t="shared" si="345"/>
        <v>0</v>
      </c>
      <c r="L1094" s="179">
        <f t="shared" si="345"/>
        <v>0</v>
      </c>
      <c r="M1094" s="179">
        <f t="shared" si="345"/>
        <v>360000</v>
      </c>
      <c r="N1094" s="179">
        <f t="shared" si="345"/>
        <v>0</v>
      </c>
      <c r="O1094" s="179">
        <f t="shared" si="345"/>
        <v>0</v>
      </c>
      <c r="P1094" s="1"/>
      <c r="Q1094" s="1"/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O1095" si="346">H884</f>
        <v>0</v>
      </c>
      <c r="I1095" s="179">
        <f t="shared" si="346"/>
        <v>0</v>
      </c>
      <c r="J1095" s="179">
        <f t="shared" si="346"/>
        <v>0</v>
      </c>
      <c r="K1095" s="179">
        <f t="shared" si="346"/>
        <v>0</v>
      </c>
      <c r="L1095" s="179">
        <f t="shared" si="346"/>
        <v>0</v>
      </c>
      <c r="M1095" s="179">
        <f t="shared" si="346"/>
        <v>0</v>
      </c>
      <c r="N1095" s="179">
        <f t="shared" si="346"/>
        <v>0</v>
      </c>
      <c r="O1095" s="179">
        <f t="shared" si="346"/>
        <v>0</v>
      </c>
      <c r="P1095" s="1"/>
      <c r="Q1095" s="1"/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O1097" si="347">SUM(H1098:H1102)</f>
        <v>0</v>
      </c>
      <c r="I1097" s="178">
        <f t="shared" si="347"/>
        <v>2820000</v>
      </c>
      <c r="J1097" s="178">
        <f t="shared" si="347"/>
        <v>1490000</v>
      </c>
      <c r="K1097" s="178">
        <f t="shared" si="347"/>
        <v>1300000</v>
      </c>
      <c r="L1097" s="178">
        <f t="shared" si="347"/>
        <v>854000</v>
      </c>
      <c r="M1097" s="178">
        <f t="shared" si="347"/>
        <v>854000</v>
      </c>
      <c r="N1097" s="178">
        <f t="shared" si="347"/>
        <v>622000</v>
      </c>
      <c r="O1097" s="178">
        <f t="shared" si="347"/>
        <v>446000</v>
      </c>
      <c r="P1097" s="1"/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O1098" si="348">H917</f>
        <v>0</v>
      </c>
      <c r="I1098" s="180">
        <f t="shared" si="348"/>
        <v>780000</v>
      </c>
      <c r="J1098" s="180">
        <f t="shared" si="348"/>
        <v>420000</v>
      </c>
      <c r="K1098" s="180">
        <f t="shared" si="348"/>
        <v>360000</v>
      </c>
      <c r="L1098" s="180">
        <f t="shared" si="348"/>
        <v>240000</v>
      </c>
      <c r="M1098" s="180">
        <f t="shared" si="348"/>
        <v>240000</v>
      </c>
      <c r="N1098" s="180">
        <f t="shared" si="348"/>
        <v>160000</v>
      </c>
      <c r="O1098" s="180">
        <f t="shared" si="348"/>
        <v>120000</v>
      </c>
      <c r="P1098" s="1"/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O1099" si="349">H920</f>
        <v>0</v>
      </c>
      <c r="I1099" s="170">
        <f t="shared" si="349"/>
        <v>540000</v>
      </c>
      <c r="J1099" s="170">
        <f t="shared" si="349"/>
        <v>290000</v>
      </c>
      <c r="K1099" s="170">
        <f t="shared" si="349"/>
        <v>250000</v>
      </c>
      <c r="L1099" s="170">
        <f t="shared" si="349"/>
        <v>170000</v>
      </c>
      <c r="M1099" s="170">
        <f t="shared" si="349"/>
        <v>170000</v>
      </c>
      <c r="N1099" s="170">
        <f t="shared" si="349"/>
        <v>120000</v>
      </c>
      <c r="O1099" s="170">
        <f t="shared" si="349"/>
        <v>80000</v>
      </c>
      <c r="P1099" s="1"/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O1100" si="350">H923</f>
        <v>0</v>
      </c>
      <c r="I1100" s="170">
        <f t="shared" si="350"/>
        <v>198000</v>
      </c>
      <c r="J1100" s="170">
        <f t="shared" si="350"/>
        <v>108000</v>
      </c>
      <c r="K1100" s="170">
        <f t="shared" si="350"/>
        <v>102000</v>
      </c>
      <c r="L1100" s="170">
        <f t="shared" si="350"/>
        <v>66000</v>
      </c>
      <c r="M1100" s="170">
        <f t="shared" si="350"/>
        <v>66000</v>
      </c>
      <c r="N1100" s="170">
        <f t="shared" si="350"/>
        <v>48000</v>
      </c>
      <c r="O1100" s="170">
        <f t="shared" si="350"/>
        <v>36000</v>
      </c>
      <c r="P1100" s="1"/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O1101" si="351">H926</f>
        <v>0</v>
      </c>
      <c r="I1101" s="170">
        <f t="shared" si="351"/>
        <v>1302000</v>
      </c>
      <c r="J1101" s="170">
        <f t="shared" si="351"/>
        <v>672000</v>
      </c>
      <c r="K1101" s="170">
        <f t="shared" si="351"/>
        <v>588000</v>
      </c>
      <c r="L1101" s="170">
        <f t="shared" si="351"/>
        <v>378000</v>
      </c>
      <c r="M1101" s="170">
        <f t="shared" si="351"/>
        <v>378000</v>
      </c>
      <c r="N1101" s="170">
        <f t="shared" si="351"/>
        <v>294000</v>
      </c>
      <c r="O1101" s="170">
        <f t="shared" si="351"/>
        <v>210000</v>
      </c>
      <c r="P1101" s="1"/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O1102" si="352">H929</f>
        <v>0</v>
      </c>
      <c r="I1102" s="170">
        <f t="shared" si="352"/>
        <v>0</v>
      </c>
      <c r="J1102" s="170">
        <f t="shared" si="352"/>
        <v>0</v>
      </c>
      <c r="K1102" s="170">
        <f t="shared" si="352"/>
        <v>0</v>
      </c>
      <c r="L1102" s="170">
        <f t="shared" si="352"/>
        <v>0</v>
      </c>
      <c r="M1102" s="170">
        <f t="shared" si="352"/>
        <v>0</v>
      </c>
      <c r="N1102" s="170">
        <f t="shared" si="352"/>
        <v>0</v>
      </c>
      <c r="O1102" s="170">
        <f t="shared" si="352"/>
        <v>0</v>
      </c>
      <c r="P1102" s="1"/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O1104" si="353">SUM(H1105:H1109)</f>
        <v>0</v>
      </c>
      <c r="I1104" s="178">
        <f t="shared" si="353"/>
        <v>2190000</v>
      </c>
      <c r="J1104" s="178">
        <f t="shared" si="353"/>
        <v>1160000</v>
      </c>
      <c r="K1104" s="178">
        <f t="shared" si="353"/>
        <v>1028000</v>
      </c>
      <c r="L1104" s="178">
        <f t="shared" si="353"/>
        <v>686000</v>
      </c>
      <c r="M1104" s="178">
        <f t="shared" si="353"/>
        <v>686000</v>
      </c>
      <c r="N1104" s="178">
        <f t="shared" si="353"/>
        <v>484000</v>
      </c>
      <c r="O1104" s="178">
        <f t="shared" si="353"/>
        <v>342000</v>
      </c>
      <c r="P1104" s="1"/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O1105" si="354">H963</f>
        <v>0</v>
      </c>
      <c r="I1105" s="170">
        <f t="shared" si="354"/>
        <v>1200000</v>
      </c>
      <c r="J1105" s="170">
        <f t="shared" si="354"/>
        <v>640000</v>
      </c>
      <c r="K1105" s="170">
        <f t="shared" si="354"/>
        <v>568000</v>
      </c>
      <c r="L1105" s="170">
        <f t="shared" si="354"/>
        <v>376000</v>
      </c>
      <c r="M1105" s="170">
        <f t="shared" si="354"/>
        <v>376000</v>
      </c>
      <c r="N1105" s="170">
        <f t="shared" si="354"/>
        <v>264000</v>
      </c>
      <c r="O1105" s="170">
        <f t="shared" si="354"/>
        <v>192000</v>
      </c>
      <c r="P1105" s="1"/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O1106" si="355">H966</f>
        <v>0</v>
      </c>
      <c r="I1106" s="170">
        <f t="shared" si="355"/>
        <v>990000</v>
      </c>
      <c r="J1106" s="170">
        <f t="shared" si="355"/>
        <v>520000</v>
      </c>
      <c r="K1106" s="170">
        <f t="shared" si="355"/>
        <v>460000</v>
      </c>
      <c r="L1106" s="170">
        <f t="shared" si="355"/>
        <v>310000</v>
      </c>
      <c r="M1106" s="170">
        <f t="shared" si="355"/>
        <v>310000</v>
      </c>
      <c r="N1106" s="170">
        <f t="shared" si="355"/>
        <v>220000</v>
      </c>
      <c r="O1106" s="170">
        <f t="shared" si="355"/>
        <v>150000</v>
      </c>
      <c r="P1106" s="1"/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O1107" si="356">H969</f>
        <v>0</v>
      </c>
      <c r="I1107" s="170">
        <f t="shared" si="356"/>
        <v>0</v>
      </c>
      <c r="J1107" s="170">
        <f t="shared" si="356"/>
        <v>0</v>
      </c>
      <c r="K1107" s="170">
        <f t="shared" si="356"/>
        <v>0</v>
      </c>
      <c r="L1107" s="170">
        <f t="shared" si="356"/>
        <v>0</v>
      </c>
      <c r="M1107" s="170">
        <f t="shared" si="356"/>
        <v>0</v>
      </c>
      <c r="N1107" s="170">
        <f t="shared" si="356"/>
        <v>0</v>
      </c>
      <c r="O1107" s="170">
        <f t="shared" si="356"/>
        <v>0</v>
      </c>
      <c r="P1107" s="1"/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O1108" si="357">H972</f>
        <v>0</v>
      </c>
      <c r="I1108" s="170">
        <f t="shared" si="357"/>
        <v>0</v>
      </c>
      <c r="J1108" s="170">
        <f t="shared" si="357"/>
        <v>0</v>
      </c>
      <c r="K1108" s="170">
        <f t="shared" si="357"/>
        <v>0</v>
      </c>
      <c r="L1108" s="170">
        <f t="shared" si="357"/>
        <v>0</v>
      </c>
      <c r="M1108" s="170">
        <f t="shared" si="357"/>
        <v>0</v>
      </c>
      <c r="N1108" s="170">
        <f t="shared" si="357"/>
        <v>0</v>
      </c>
      <c r="O1108" s="170">
        <f t="shared" si="357"/>
        <v>0</v>
      </c>
      <c r="P1108" s="1"/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O1109" si="358">H975</f>
        <v>0</v>
      </c>
      <c r="I1109" s="170">
        <f t="shared" si="358"/>
        <v>0</v>
      </c>
      <c r="J1109" s="170">
        <f t="shared" si="358"/>
        <v>0</v>
      </c>
      <c r="K1109" s="170">
        <f t="shared" si="358"/>
        <v>0</v>
      </c>
      <c r="L1109" s="170">
        <f t="shared" si="358"/>
        <v>0</v>
      </c>
      <c r="M1109" s="170">
        <f t="shared" si="358"/>
        <v>0</v>
      </c>
      <c r="N1109" s="170">
        <f t="shared" si="358"/>
        <v>0</v>
      </c>
      <c r="O1109" s="170">
        <f t="shared" si="358"/>
        <v>0</v>
      </c>
      <c r="P1109" s="1"/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O1111" si="359">SUM(H1112:H1116)</f>
        <v>0</v>
      </c>
      <c r="I1111" s="178">
        <f t="shared" si="359"/>
        <v>690000</v>
      </c>
      <c r="J1111" s="178">
        <f t="shared" si="359"/>
        <v>366000</v>
      </c>
      <c r="K1111" s="178">
        <f t="shared" si="359"/>
        <v>324000</v>
      </c>
      <c r="L1111" s="178">
        <f t="shared" si="359"/>
        <v>216000</v>
      </c>
      <c r="M1111" s="178">
        <f t="shared" si="359"/>
        <v>216000</v>
      </c>
      <c r="N1111" s="178">
        <f t="shared" si="359"/>
        <v>150000</v>
      </c>
      <c r="O1111" s="178">
        <f t="shared" si="359"/>
        <v>108000</v>
      </c>
      <c r="P1111" s="1"/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O1112" si="360">H1008</f>
        <v>0</v>
      </c>
      <c r="I1112" s="170">
        <f t="shared" si="360"/>
        <v>456000</v>
      </c>
      <c r="J1112" s="170">
        <f t="shared" si="360"/>
        <v>240000</v>
      </c>
      <c r="K1112" s="170">
        <f t="shared" si="360"/>
        <v>216000</v>
      </c>
      <c r="L1112" s="170">
        <f t="shared" si="360"/>
        <v>144000</v>
      </c>
      <c r="M1112" s="170">
        <f t="shared" si="360"/>
        <v>144000</v>
      </c>
      <c r="N1112" s="170">
        <f t="shared" si="360"/>
        <v>96000</v>
      </c>
      <c r="O1112" s="170">
        <f t="shared" si="360"/>
        <v>72000</v>
      </c>
      <c r="P1112" s="223"/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O1113" si="361">H1011</f>
        <v>0</v>
      </c>
      <c r="I1113" s="170">
        <f t="shared" si="361"/>
        <v>234000</v>
      </c>
      <c r="J1113" s="170">
        <f t="shared" si="361"/>
        <v>126000</v>
      </c>
      <c r="K1113" s="170">
        <f t="shared" si="361"/>
        <v>108000</v>
      </c>
      <c r="L1113" s="170">
        <f t="shared" si="361"/>
        <v>72000</v>
      </c>
      <c r="M1113" s="170">
        <f t="shared" si="361"/>
        <v>72000</v>
      </c>
      <c r="N1113" s="170">
        <f t="shared" si="361"/>
        <v>54000</v>
      </c>
      <c r="O1113" s="170">
        <f t="shared" si="361"/>
        <v>36000</v>
      </c>
      <c r="P1113" s="1"/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O1114" si="362">H1014</f>
        <v>0</v>
      </c>
      <c r="I1114" s="170">
        <f t="shared" si="362"/>
        <v>0</v>
      </c>
      <c r="J1114" s="170">
        <f t="shared" si="362"/>
        <v>0</v>
      </c>
      <c r="K1114" s="170">
        <f t="shared" si="362"/>
        <v>0</v>
      </c>
      <c r="L1114" s="170">
        <f t="shared" si="362"/>
        <v>0</v>
      </c>
      <c r="M1114" s="170">
        <f t="shared" si="362"/>
        <v>0</v>
      </c>
      <c r="N1114" s="170">
        <f t="shared" si="362"/>
        <v>0</v>
      </c>
      <c r="O1114" s="170">
        <f t="shared" si="362"/>
        <v>0</v>
      </c>
      <c r="P1114" s="1"/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O1115" si="363">H1017</f>
        <v>0</v>
      </c>
      <c r="I1115" s="170">
        <f t="shared" si="363"/>
        <v>0</v>
      </c>
      <c r="J1115" s="170">
        <f t="shared" si="363"/>
        <v>0</v>
      </c>
      <c r="K1115" s="170">
        <f t="shared" si="363"/>
        <v>0</v>
      </c>
      <c r="L1115" s="170">
        <f t="shared" si="363"/>
        <v>0</v>
      </c>
      <c r="M1115" s="170">
        <f t="shared" si="363"/>
        <v>0</v>
      </c>
      <c r="N1115" s="170">
        <f t="shared" si="363"/>
        <v>0</v>
      </c>
      <c r="O1115" s="170">
        <f t="shared" si="363"/>
        <v>0</v>
      </c>
      <c r="P1115" s="1"/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O1116" si="364">H1020</f>
        <v>0</v>
      </c>
      <c r="I1116" s="170">
        <f t="shared" si="364"/>
        <v>0</v>
      </c>
      <c r="J1116" s="170">
        <f t="shared" si="364"/>
        <v>0</v>
      </c>
      <c r="K1116" s="170">
        <f t="shared" si="364"/>
        <v>0</v>
      </c>
      <c r="L1116" s="170">
        <f t="shared" si="364"/>
        <v>0</v>
      </c>
      <c r="M1116" s="170">
        <f t="shared" si="364"/>
        <v>0</v>
      </c>
      <c r="N1116" s="170">
        <f t="shared" si="364"/>
        <v>0</v>
      </c>
      <c r="O1116" s="170">
        <f t="shared" si="364"/>
        <v>0</v>
      </c>
      <c r="P1116" s="1"/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P1:P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14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5" t="s">
        <v>1</v>
      </c>
      <c r="P1" s="6"/>
      <c r="Q1" s="6"/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368</v>
      </c>
      <c r="I2" s="9">
        <f t="shared" ref="I2:N2" si="1">H2+1</f>
        <v>7</v>
      </c>
      <c r="J2" s="9">
        <f t="shared" si="1"/>
        <v>8</v>
      </c>
      <c r="K2" s="9">
        <f t="shared" si="1"/>
        <v>9</v>
      </c>
      <c r="L2" s="9">
        <f t="shared" si="1"/>
        <v>10</v>
      </c>
      <c r="M2" s="9">
        <f t="shared" si="1"/>
        <v>11</v>
      </c>
      <c r="N2" s="9">
        <f t="shared" si="1"/>
        <v>12</v>
      </c>
      <c r="O2" s="10"/>
      <c r="P2" s="6"/>
      <c r="Q2" s="6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14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15"/>
      <c r="N5" s="1"/>
      <c r="O5" s="124"/>
      <c r="P5" s="124"/>
      <c r="Q5" s="124"/>
      <c r="R5" s="124"/>
      <c r="S5" s="124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15"/>
      <c r="N6" s="1"/>
      <c r="O6" s="125"/>
      <c r="P6" s="125"/>
      <c r="Q6" s="125"/>
      <c r="R6" s="125"/>
      <c r="S6" s="125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18"/>
      <c r="N7" s="118"/>
      <c r="O7" s="123"/>
      <c r="P7" s="123"/>
      <c r="Q7" s="123"/>
      <c r="R7" s="123"/>
      <c r="S7" s="123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- 2026'!M6</f>
        <v>6455314.958</v>
      </c>
      <c r="I8" s="120"/>
      <c r="J8" s="120"/>
      <c r="K8" s="120"/>
      <c r="L8" s="120"/>
      <c r="M8" s="120"/>
      <c r="N8" s="120"/>
      <c r="O8" s="130"/>
      <c r="P8" s="130"/>
      <c r="Q8" s="130"/>
      <c r="R8" s="130"/>
      <c r="S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- 2026'!M9</f>
        <v>425.680418</v>
      </c>
      <c r="I9" s="122"/>
      <c r="J9" s="122"/>
      <c r="K9" s="122"/>
      <c r="L9" s="122"/>
      <c r="M9" s="122"/>
      <c r="N9" s="122"/>
      <c r="O9" s="130"/>
      <c r="P9" s="130"/>
      <c r="Q9" s="130"/>
      <c r="R9" s="130"/>
      <c r="S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15164.69794</v>
      </c>
      <c r="I10" s="123"/>
      <c r="J10" s="123"/>
      <c r="K10" s="123"/>
      <c r="L10" s="123"/>
      <c r="M10" s="123"/>
      <c r="N10" s="123"/>
      <c r="O10" s="130"/>
      <c r="P10" s="130"/>
      <c r="Q10" s="130"/>
      <c r="R10" s="130"/>
      <c r="S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3035.697942</v>
      </c>
      <c r="I11" s="124"/>
      <c r="J11" s="124"/>
      <c r="K11" s="124"/>
      <c r="L11" s="124"/>
      <c r="M11" s="124"/>
      <c r="N11" s="124"/>
      <c r="O11" s="130"/>
      <c r="P11" s="130"/>
      <c r="Q11" s="130"/>
      <c r="R11" s="130"/>
      <c r="S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12129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558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619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2454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5774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2724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532.2215317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18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15"/>
      <c r="N28" s="115"/>
      <c r="O28" s="1"/>
      <c r="P28" s="1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12129</v>
      </c>
      <c r="I29" s="115"/>
      <c r="J29" s="115"/>
      <c r="K29" s="115"/>
      <c r="L29" s="115"/>
      <c r="M29" s="115"/>
      <c r="N29" s="115"/>
      <c r="O29" s="1"/>
      <c r="P29" s="1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0.2926869486</v>
      </c>
      <c r="I30" s="134"/>
      <c r="J30" s="134"/>
      <c r="K30" s="134"/>
      <c r="L30" s="134"/>
      <c r="M30" s="134"/>
      <c r="N30" s="134"/>
      <c r="O30" s="1"/>
      <c r="P30" s="1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3550</v>
      </c>
      <c r="I31" s="115"/>
      <c r="J31" s="115"/>
      <c r="K31" s="115"/>
      <c r="L31" s="115"/>
      <c r="M31" s="115"/>
      <c r="N31" s="115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35"/>
      <c r="N32" s="135"/>
      <c r="O32" s="1"/>
      <c r="P32" s="1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15"/>
      <c r="N33" s="115"/>
      <c r="O33" s="1"/>
      <c r="P33" s="1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558</v>
      </c>
      <c r="I34" s="115"/>
      <c r="J34" s="115"/>
      <c r="K34" s="115"/>
      <c r="L34" s="115"/>
      <c r="M34" s="115"/>
      <c r="N34" s="115"/>
      <c r="O34" s="1"/>
      <c r="P34" s="1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26"/>
      <c r="N35" s="126"/>
      <c r="O35" s="1"/>
      <c r="P35" s="1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111</v>
      </c>
      <c r="I36" s="115"/>
      <c r="J36" s="115"/>
      <c r="K36" s="115"/>
      <c r="L36" s="115"/>
      <c r="M36" s="115"/>
      <c r="N36" s="115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15"/>
      <c r="N37" s="115"/>
      <c r="O37" s="1"/>
      <c r="P37" s="1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15"/>
      <c r="N38" s="115"/>
      <c r="O38" s="1"/>
      <c r="P38" s="1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619</v>
      </c>
      <c r="I39" s="115"/>
      <c r="J39" s="115"/>
      <c r="K39" s="115"/>
      <c r="L39" s="115"/>
      <c r="M39" s="115"/>
      <c r="N39" s="115"/>
      <c r="O39" s="1"/>
      <c r="P39" s="1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26"/>
      <c r="N40" s="126"/>
      <c r="O40" s="1"/>
      <c r="P40" s="1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154</v>
      </c>
      <c r="I41" s="115"/>
      <c r="J41" s="115"/>
      <c r="K41" s="115"/>
      <c r="L41" s="115"/>
      <c r="M41" s="115"/>
      <c r="N41" s="115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15"/>
      <c r="N42" s="115"/>
      <c r="O42" s="1"/>
      <c r="P42" s="1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15"/>
      <c r="N43" s="115"/>
      <c r="O43" s="1"/>
      <c r="P43" s="1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2454</v>
      </c>
      <c r="I44" s="115"/>
      <c r="J44" s="115"/>
      <c r="K44" s="115"/>
      <c r="L44" s="115"/>
      <c r="M44" s="115"/>
      <c r="N44" s="115"/>
      <c r="O44" s="1"/>
      <c r="P44" s="1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26"/>
      <c r="N45" s="126"/>
      <c r="O45" s="1"/>
      <c r="P45" s="1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736</v>
      </c>
      <c r="I46" s="115"/>
      <c r="J46" s="115"/>
      <c r="K46" s="115"/>
      <c r="L46" s="115"/>
      <c r="M46" s="115"/>
      <c r="N46" s="115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15"/>
      <c r="N47" s="115"/>
      <c r="O47" s="1"/>
      <c r="P47" s="1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15"/>
      <c r="N48" s="115"/>
      <c r="O48" s="1"/>
      <c r="P48" s="1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5774</v>
      </c>
      <c r="I49" s="115"/>
      <c r="J49" s="115"/>
      <c r="K49" s="115"/>
      <c r="L49" s="115"/>
      <c r="M49" s="115"/>
      <c r="N49" s="115"/>
      <c r="O49" s="1"/>
      <c r="P49" s="1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26"/>
      <c r="N50" s="126"/>
      <c r="O50" s="1"/>
      <c r="P50" s="1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1732</v>
      </c>
      <c r="I51" s="115"/>
      <c r="J51" s="115"/>
      <c r="K51" s="115"/>
      <c r="L51" s="115"/>
      <c r="M51" s="115"/>
      <c r="N51" s="115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15"/>
      <c r="N52" s="115"/>
      <c r="O52" s="1"/>
      <c r="P52" s="1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15"/>
      <c r="N53" s="115"/>
      <c r="O53" s="1"/>
      <c r="P53" s="1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2724</v>
      </c>
      <c r="I54" s="115"/>
      <c r="J54" s="115"/>
      <c r="K54" s="115"/>
      <c r="L54" s="115"/>
      <c r="M54" s="115"/>
      <c r="N54" s="115"/>
      <c r="O54" s="1"/>
      <c r="P54" s="1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26"/>
      <c r="N55" s="126"/>
      <c r="O55" s="1"/>
      <c r="P55" s="1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817</v>
      </c>
      <c r="I56" s="115"/>
      <c r="J56" s="115"/>
      <c r="K56" s="115"/>
      <c r="L56" s="115"/>
      <c r="M56" s="115"/>
      <c r="N56" s="115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15"/>
      <c r="N57" s="115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15"/>
      <c r="N58" s="115"/>
      <c r="O58" s="1"/>
      <c r="P58" s="1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18"/>
      <c r="N59" s="118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15"/>
      <c r="N60" s="115"/>
      <c r="O60" s="1"/>
      <c r="P60" s="1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3550</v>
      </c>
      <c r="I61" s="115"/>
      <c r="J61" s="115"/>
      <c r="K61" s="115"/>
      <c r="L61" s="115"/>
      <c r="M61" s="115"/>
      <c r="N61" s="115"/>
      <c r="O61" s="1"/>
      <c r="P61" s="1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1.073943662</v>
      </c>
      <c r="I62" s="138"/>
      <c r="J62" s="138"/>
      <c r="K62" s="138"/>
      <c r="L62" s="138"/>
      <c r="M62" s="138"/>
      <c r="N62" s="138"/>
      <c r="O62" s="1"/>
      <c r="P62" s="1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3812.5</v>
      </c>
      <c r="I63" s="115"/>
      <c r="J63" s="115"/>
      <c r="K63" s="115"/>
      <c r="L63" s="115"/>
      <c r="M63" s="115"/>
      <c r="N63" s="115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15"/>
      <c r="N64" s="115"/>
      <c r="O64" s="1"/>
      <c r="P64" s="1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15"/>
      <c r="N65" s="115"/>
      <c r="O65" s="1"/>
      <c r="P65" s="1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111</v>
      </c>
      <c r="I66" s="115"/>
      <c r="J66" s="115"/>
      <c r="K66" s="115"/>
      <c r="L66" s="115"/>
      <c r="M66" s="115"/>
      <c r="N66" s="115"/>
      <c r="O66" s="1"/>
      <c r="P66" s="1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26"/>
      <c r="N67" s="126"/>
      <c r="O67" s="1"/>
      <c r="P67" s="1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118.75</v>
      </c>
      <c r="I68" s="115"/>
      <c r="J68" s="115"/>
      <c r="K68" s="115"/>
      <c r="L68" s="115"/>
      <c r="M68" s="115"/>
      <c r="N68" s="115"/>
      <c r="O68" s="1"/>
      <c r="P68" s="1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95</v>
      </c>
      <c r="I69" s="115"/>
      <c r="J69" s="115"/>
      <c r="K69" s="115"/>
      <c r="L69" s="115"/>
      <c r="M69" s="115"/>
      <c r="N69" s="115"/>
      <c r="O69" s="1"/>
      <c r="P69" s="1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23.75</v>
      </c>
      <c r="I70" s="115"/>
      <c r="J70" s="115"/>
      <c r="K70" s="115"/>
      <c r="L70" s="115"/>
      <c r="M70" s="115"/>
      <c r="N70" s="115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15"/>
      <c r="N71" s="115"/>
      <c r="O71" s="1"/>
      <c r="P71" s="1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26"/>
      <c r="M72" s="126"/>
      <c r="N72" s="126"/>
      <c r="O72" s="1"/>
      <c r="P72" s="1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154</v>
      </c>
      <c r="I73" s="115"/>
      <c r="J73" s="115"/>
      <c r="K73" s="115"/>
      <c r="L73" s="115"/>
      <c r="M73" s="115"/>
      <c r="N73" s="115"/>
      <c r="O73" s="1"/>
      <c r="P73" s="1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15"/>
      <c r="M74" s="115"/>
      <c r="N74" s="115"/>
      <c r="O74" s="1"/>
      <c r="P74" s="1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165</v>
      </c>
      <c r="I75" s="115"/>
      <c r="J75" s="115"/>
      <c r="K75" s="115"/>
      <c r="L75" s="115"/>
      <c r="M75" s="115"/>
      <c r="N75" s="115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132</v>
      </c>
      <c r="I76" s="115"/>
      <c r="J76" s="115"/>
      <c r="K76" s="115"/>
      <c r="L76" s="115"/>
      <c r="M76" s="115"/>
      <c r="N76" s="115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33</v>
      </c>
      <c r="I77" s="126"/>
      <c r="J77" s="126"/>
      <c r="K77" s="126"/>
      <c r="L77" s="126"/>
      <c r="M77" s="126"/>
      <c r="N77" s="126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15"/>
      <c r="N78" s="115"/>
      <c r="O78" s="1"/>
      <c r="P78" s="1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15"/>
      <c r="N79" s="115"/>
      <c r="O79" s="1"/>
      <c r="P79" s="1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736</v>
      </c>
      <c r="I80" s="115"/>
      <c r="J80" s="115"/>
      <c r="K80" s="115"/>
      <c r="L80" s="115"/>
      <c r="M80" s="115"/>
      <c r="N80" s="115"/>
      <c r="O80" s="1"/>
      <c r="P80" s="1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15"/>
      <c r="M81" s="115"/>
      <c r="N81" s="115"/>
      <c r="O81" s="1"/>
      <c r="P81" s="1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790</v>
      </c>
      <c r="I82" s="126"/>
      <c r="J82" s="126"/>
      <c r="K82" s="126"/>
      <c r="L82" s="126"/>
      <c r="M82" s="126"/>
      <c r="N82" s="126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632</v>
      </c>
      <c r="I83" s="115"/>
      <c r="J83" s="115"/>
      <c r="K83" s="115"/>
      <c r="L83" s="115"/>
      <c r="M83" s="115"/>
      <c r="N83" s="115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158</v>
      </c>
      <c r="I84" s="115"/>
      <c r="J84" s="115"/>
      <c r="K84" s="115"/>
      <c r="L84" s="115"/>
      <c r="M84" s="115"/>
      <c r="N84" s="115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15"/>
      <c r="N85" s="115"/>
      <c r="O85" s="1"/>
      <c r="P85" s="1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15"/>
      <c r="N86" s="115"/>
      <c r="O86" s="1"/>
      <c r="P86" s="1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1732</v>
      </c>
      <c r="I87" s="126"/>
      <c r="J87" s="126"/>
      <c r="K87" s="126"/>
      <c r="L87" s="126"/>
      <c r="M87" s="126"/>
      <c r="N87" s="126"/>
      <c r="O87" s="1"/>
      <c r="P87" s="1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15"/>
      <c r="M88" s="115"/>
      <c r="N88" s="115"/>
      <c r="O88" s="1"/>
      <c r="P88" s="1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1861.25</v>
      </c>
      <c r="I89" s="115"/>
      <c r="J89" s="115"/>
      <c r="K89" s="115"/>
      <c r="L89" s="115"/>
      <c r="M89" s="115"/>
      <c r="N89" s="115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1489</v>
      </c>
      <c r="I90" s="115"/>
      <c r="J90" s="115"/>
      <c r="K90" s="115"/>
      <c r="L90" s="115"/>
      <c r="M90" s="115"/>
      <c r="N90" s="115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372.25</v>
      </c>
      <c r="I91" s="115"/>
      <c r="J91" s="115"/>
      <c r="K91" s="115"/>
      <c r="L91" s="115"/>
      <c r="M91" s="115"/>
      <c r="N91" s="115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15"/>
      <c r="N92" s="115"/>
      <c r="O92" s="1"/>
      <c r="P92" s="1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15"/>
      <c r="N93" s="115"/>
      <c r="O93" s="1"/>
      <c r="P93" s="1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817</v>
      </c>
      <c r="I94" s="115"/>
      <c r="J94" s="115"/>
      <c r="K94" s="115"/>
      <c r="L94" s="115"/>
      <c r="M94" s="115"/>
      <c r="N94" s="115"/>
      <c r="O94" s="1"/>
      <c r="P94" s="1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15"/>
      <c r="M95" s="115"/>
      <c r="N95" s="115"/>
      <c r="O95" s="1"/>
      <c r="P95" s="1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877.5</v>
      </c>
      <c r="I96" s="115"/>
      <c r="J96" s="115"/>
      <c r="K96" s="115"/>
      <c r="L96" s="115"/>
      <c r="M96" s="115"/>
      <c r="N96" s="115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702</v>
      </c>
      <c r="I97" s="115"/>
      <c r="J97" s="115"/>
      <c r="K97" s="115"/>
      <c r="L97" s="115"/>
      <c r="M97" s="115"/>
      <c r="N97" s="115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175.5</v>
      </c>
      <c r="I98" s="115"/>
      <c r="J98" s="115"/>
      <c r="K98" s="115"/>
      <c r="L98" s="115"/>
      <c r="M98" s="115"/>
      <c r="N98" s="115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15"/>
      <c r="N99" s="115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15"/>
      <c r="N100" s="115"/>
      <c r="O100" s="1"/>
      <c r="P100" s="1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18"/>
      <c r="N101" s="118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15"/>
      <c r="N102" s="115"/>
      <c r="O102" s="1"/>
      <c r="P102" s="1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3812.5</v>
      </c>
      <c r="I103" s="115"/>
      <c r="J103" s="115"/>
      <c r="K103" s="115"/>
      <c r="L103" s="115"/>
      <c r="M103" s="115"/>
      <c r="N103" s="115"/>
      <c r="O103" s="1"/>
      <c r="P103" s="1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0.3000655738</v>
      </c>
      <c r="I104" s="143"/>
      <c r="J104" s="143"/>
      <c r="K104" s="143"/>
      <c r="L104" s="143"/>
      <c r="M104" s="143"/>
      <c r="N104" s="143"/>
      <c r="O104" s="1"/>
      <c r="P104" s="1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0.09431939979</v>
      </c>
      <c r="I105" s="143"/>
      <c r="J105" s="143"/>
      <c r="K105" s="143"/>
      <c r="L105" s="143"/>
      <c r="M105" s="143"/>
      <c r="N105" s="143"/>
      <c r="O105" s="1"/>
      <c r="P105" s="1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1144</v>
      </c>
      <c r="I106" s="115"/>
      <c r="J106" s="115"/>
      <c r="K106" s="115"/>
      <c r="L106" s="115"/>
      <c r="M106" s="115"/>
      <c r="N106" s="115"/>
      <c r="O106" s="1"/>
      <c r="P106" s="1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29097.46503</v>
      </c>
      <c r="I107" s="115"/>
      <c r="J107" s="115"/>
      <c r="K107" s="115"/>
      <c r="L107" s="115"/>
      <c r="M107" s="115"/>
      <c r="N107" s="115"/>
      <c r="O107" s="1"/>
      <c r="P107" s="1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33287500</v>
      </c>
      <c r="I108" s="115"/>
      <c r="J108" s="115"/>
      <c r="K108" s="115"/>
      <c r="L108" s="115"/>
      <c r="M108" s="115"/>
      <c r="N108" s="115"/>
      <c r="O108" s="1"/>
      <c r="P108" s="1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15"/>
      <c r="N109" s="115"/>
      <c r="O109" s="1"/>
      <c r="P109" s="1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43"/>
      <c r="N110" s="143"/>
      <c r="O110" s="1"/>
      <c r="P110" s="1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118.75</v>
      </c>
      <c r="I111" s="135"/>
      <c r="J111" s="135"/>
      <c r="K111" s="135"/>
      <c r="L111" s="135"/>
      <c r="M111" s="135"/>
      <c r="N111" s="135"/>
      <c r="O111" s="1"/>
      <c r="P111" s="1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29"/>
      <c r="N112" s="129"/>
      <c r="O112" s="1"/>
      <c r="P112" s="1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0.06451612903</v>
      </c>
      <c r="I113" s="143"/>
      <c r="J113" s="143"/>
      <c r="K113" s="143"/>
      <c r="L113" s="143"/>
      <c r="M113" s="143"/>
      <c r="N113" s="143"/>
      <c r="O113" s="1"/>
      <c r="P113" s="1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36</v>
      </c>
      <c r="I114" s="148"/>
      <c r="J114" s="148"/>
      <c r="K114" s="148"/>
      <c r="L114" s="148"/>
      <c r="M114" s="148"/>
      <c r="N114" s="148"/>
      <c r="O114" s="1"/>
      <c r="P114" s="1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61750</v>
      </c>
      <c r="I115" s="150"/>
      <c r="J115" s="150"/>
      <c r="K115" s="150"/>
      <c r="L115" s="150"/>
      <c r="M115" s="150"/>
      <c r="N115" s="150"/>
      <c r="O115" s="1"/>
      <c r="P115" s="1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2223000</v>
      </c>
      <c r="I116" s="150"/>
      <c r="J116" s="150"/>
      <c r="K116" s="150"/>
      <c r="L116" s="150"/>
      <c r="M116" s="150"/>
      <c r="N116" s="150"/>
      <c r="O116" s="1"/>
      <c r="P116" s="1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53"/>
      <c r="N117" s="153"/>
      <c r="O117" s="1"/>
      <c r="P117" s="1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53"/>
      <c r="N118" s="153"/>
      <c r="O118" s="1"/>
      <c r="P118" s="1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55"/>
      <c r="N119" s="155"/>
      <c r="O119" s="1"/>
      <c r="P119" s="1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55"/>
      <c r="N120" s="155"/>
      <c r="O120" s="1"/>
      <c r="P120" s="1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55"/>
      <c r="N121" s="155"/>
      <c r="O121" s="1"/>
      <c r="P121" s="1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50000.0</v>
      </c>
      <c r="I122" s="157"/>
      <c r="J122" s="157"/>
      <c r="K122" s="157"/>
      <c r="L122" s="157"/>
      <c r="M122" s="157"/>
      <c r="N122" s="157"/>
      <c r="O122" s="1"/>
      <c r="P122" s="1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57"/>
      <c r="N123" s="157"/>
      <c r="O123" s="1"/>
      <c r="P123" s="1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57"/>
      <c r="N124" s="157"/>
      <c r="O124" s="1"/>
      <c r="P124" s="1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57"/>
      <c r="N125" s="157"/>
      <c r="O125" s="1"/>
      <c r="P125" s="1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59"/>
      <c r="N126" s="159"/>
      <c r="O126" s="1"/>
      <c r="P126" s="1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62"/>
      <c r="K127" s="162"/>
      <c r="L127" s="162"/>
      <c r="M127" s="162"/>
      <c r="N127" s="162"/>
      <c r="O127" s="1"/>
      <c r="P127" s="1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21</v>
      </c>
      <c r="I128" s="148"/>
      <c r="J128" s="148"/>
      <c r="K128" s="148"/>
      <c r="L128" s="148"/>
      <c r="M128" s="148"/>
      <c r="N128" s="148"/>
      <c r="O128" s="1"/>
      <c r="P128" s="1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1050000</v>
      </c>
      <c r="I129" s="150"/>
      <c r="J129" s="150"/>
      <c r="K129" s="150"/>
      <c r="L129" s="150"/>
      <c r="M129" s="150"/>
      <c r="N129" s="150"/>
      <c r="O129" s="1"/>
      <c r="P129" s="1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5</v>
      </c>
      <c r="I130" s="148"/>
      <c r="J130" s="148"/>
      <c r="K130" s="148"/>
      <c r="L130" s="148"/>
      <c r="M130" s="148"/>
      <c r="N130" s="148"/>
      <c r="O130" s="1"/>
      <c r="P130" s="1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158000</v>
      </c>
      <c r="I131" s="150"/>
      <c r="J131" s="150"/>
      <c r="K131" s="150"/>
      <c r="L131" s="150"/>
      <c r="M131" s="150"/>
      <c r="N131" s="150"/>
      <c r="O131" s="1"/>
      <c r="P131" s="1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48"/>
      <c r="N132" s="148"/>
      <c r="O132" s="1"/>
      <c r="P132" s="1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50"/>
      <c r="N133" s="150"/>
      <c r="O133" s="1"/>
      <c r="P133" s="1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7</v>
      </c>
      <c r="I134" s="148"/>
      <c r="J134" s="148"/>
      <c r="K134" s="148"/>
      <c r="L134" s="148"/>
      <c r="M134" s="148"/>
      <c r="N134" s="148"/>
      <c r="O134" s="1"/>
      <c r="P134" s="1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1015000</v>
      </c>
      <c r="I135" s="150"/>
      <c r="J135" s="150"/>
      <c r="K135" s="150"/>
      <c r="L135" s="150"/>
      <c r="M135" s="150"/>
      <c r="N135" s="150"/>
      <c r="O135" s="1"/>
      <c r="P135" s="1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48"/>
      <c r="N136" s="148"/>
      <c r="O136" s="1"/>
      <c r="P136" s="1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50"/>
      <c r="N137" s="150"/>
      <c r="O137" s="1"/>
      <c r="P137" s="1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63"/>
      <c r="N138" s="163"/>
      <c r="O138" s="1"/>
      <c r="P138" s="1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43"/>
      <c r="N139" s="143"/>
      <c r="O139" s="1"/>
      <c r="P139" s="1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165</v>
      </c>
      <c r="I140" s="148"/>
      <c r="J140" s="148"/>
      <c r="K140" s="148"/>
      <c r="L140" s="148"/>
      <c r="M140" s="148"/>
      <c r="N140" s="148"/>
      <c r="O140" s="1"/>
      <c r="P140" s="1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29"/>
      <c r="N141" s="129"/>
      <c r="O141" s="1"/>
      <c r="P141" s="1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0.08077544426</v>
      </c>
      <c r="I142" s="143"/>
      <c r="J142" s="143"/>
      <c r="K142" s="143"/>
      <c r="L142" s="143"/>
      <c r="M142" s="143"/>
      <c r="N142" s="143"/>
      <c r="O142" s="1"/>
      <c r="P142" s="1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50</v>
      </c>
      <c r="I143" s="148"/>
      <c r="J143" s="148"/>
      <c r="K143" s="148"/>
      <c r="L143" s="148"/>
      <c r="M143" s="148"/>
      <c r="N143" s="148"/>
      <c r="O143" s="1"/>
      <c r="P143" s="1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45600</v>
      </c>
      <c r="I144" s="150"/>
      <c r="J144" s="150"/>
      <c r="K144" s="150"/>
      <c r="L144" s="150"/>
      <c r="M144" s="150"/>
      <c r="N144" s="150"/>
      <c r="O144" s="1"/>
      <c r="P144" s="1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2280000</v>
      </c>
      <c r="I145" s="150"/>
      <c r="J145" s="150"/>
      <c r="K145" s="150"/>
      <c r="L145" s="150"/>
      <c r="M145" s="150"/>
      <c r="N145" s="150"/>
      <c r="O145" s="1"/>
      <c r="P145" s="1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55"/>
      <c r="N146" s="155"/>
      <c r="O146" s="1"/>
      <c r="P146" s="1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53"/>
      <c r="N147" s="153"/>
      <c r="O147" s="1"/>
      <c r="P147" s="1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55"/>
      <c r="N148" s="155"/>
      <c r="O148" s="1"/>
      <c r="P148" s="1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55"/>
      <c r="N149" s="155"/>
      <c r="O149" s="1"/>
      <c r="P149" s="1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55"/>
      <c r="N150" s="155"/>
      <c r="O150" s="1"/>
      <c r="P150" s="1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40000.0</v>
      </c>
      <c r="I151" s="159"/>
      <c r="J151" s="159"/>
      <c r="K151" s="159"/>
      <c r="L151" s="159"/>
      <c r="M151" s="159"/>
      <c r="N151" s="159"/>
      <c r="O151" s="1"/>
      <c r="P151" s="1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57"/>
      <c r="N152" s="157"/>
      <c r="O152" s="1"/>
      <c r="P152" s="1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57"/>
      <c r="M153" s="157"/>
      <c r="N153" s="157"/>
      <c r="O153" s="1"/>
      <c r="P153" s="1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59"/>
      <c r="N154" s="159"/>
      <c r="O154" s="1"/>
      <c r="P154" s="1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59"/>
      <c r="N155" s="159"/>
      <c r="O155" s="1"/>
      <c r="P155" s="1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62"/>
      <c r="N156" s="162"/>
      <c r="O156" s="1"/>
      <c r="P156" s="1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30</v>
      </c>
      <c r="I157" s="148"/>
      <c r="J157" s="148"/>
      <c r="K157" s="148"/>
      <c r="L157" s="148"/>
      <c r="M157" s="148"/>
      <c r="N157" s="148"/>
      <c r="O157" s="1"/>
      <c r="P157" s="1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1200000</v>
      </c>
      <c r="I158" s="150"/>
      <c r="J158" s="150"/>
      <c r="K158" s="150"/>
      <c r="L158" s="150"/>
      <c r="M158" s="150"/>
      <c r="N158" s="150"/>
      <c r="O158" s="1"/>
      <c r="P158" s="1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5</v>
      </c>
      <c r="I159" s="148"/>
      <c r="J159" s="148"/>
      <c r="K159" s="148"/>
      <c r="L159" s="148"/>
      <c r="M159" s="148"/>
      <c r="N159" s="148"/>
      <c r="O159" s="1"/>
      <c r="P159" s="1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90000</v>
      </c>
      <c r="I160" s="150"/>
      <c r="J160" s="150"/>
      <c r="K160" s="150"/>
      <c r="L160" s="150"/>
      <c r="M160" s="150"/>
      <c r="N160" s="150"/>
      <c r="O160" s="1"/>
      <c r="P160" s="1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48"/>
      <c r="N161" s="148"/>
      <c r="O161" s="1"/>
      <c r="P161" s="1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50"/>
      <c r="N162" s="150"/>
      <c r="O162" s="1"/>
      <c r="P162" s="1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10</v>
      </c>
      <c r="I163" s="148"/>
      <c r="J163" s="148"/>
      <c r="K163" s="148"/>
      <c r="L163" s="148"/>
      <c r="M163" s="148"/>
      <c r="N163" s="148"/>
      <c r="O163" s="1"/>
      <c r="P163" s="1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990000</v>
      </c>
      <c r="I164" s="150"/>
      <c r="J164" s="150"/>
      <c r="K164" s="150"/>
      <c r="L164" s="150"/>
      <c r="M164" s="150"/>
      <c r="N164" s="150"/>
      <c r="O164" s="1"/>
      <c r="P164" s="1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5</v>
      </c>
      <c r="I165" s="148"/>
      <c r="J165" s="148"/>
      <c r="K165" s="148"/>
      <c r="L165" s="148"/>
      <c r="M165" s="148"/>
      <c r="N165" s="148"/>
      <c r="O165" s="1"/>
      <c r="P165" s="1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50"/>
      <c r="N166" s="150"/>
      <c r="O166" s="1"/>
      <c r="P166" s="1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50"/>
      <c r="N167" s="150"/>
      <c r="O167" s="1"/>
      <c r="P167" s="1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43"/>
      <c r="N168" s="143"/>
      <c r="O168" s="1"/>
      <c r="P168" s="1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43"/>
      <c r="N169" s="143"/>
      <c r="O169" s="1"/>
      <c r="P169" s="1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790</v>
      </c>
      <c r="I170" s="148"/>
      <c r="J170" s="148"/>
      <c r="K170" s="148"/>
      <c r="L170" s="148"/>
      <c r="M170" s="148"/>
      <c r="N170" s="148"/>
      <c r="O170" s="1"/>
      <c r="P170" s="1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29"/>
      <c r="N171" s="129"/>
      <c r="O171" s="1"/>
      <c r="P171" s="1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0.09657701711</v>
      </c>
      <c r="I172" s="143"/>
      <c r="J172" s="143"/>
      <c r="K172" s="143"/>
      <c r="L172" s="143"/>
      <c r="M172" s="143"/>
      <c r="N172" s="143"/>
      <c r="O172" s="1"/>
      <c r="P172" s="1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237</v>
      </c>
      <c r="I173" s="166"/>
      <c r="J173" s="166"/>
      <c r="K173" s="166"/>
      <c r="L173" s="166"/>
      <c r="M173" s="166"/>
      <c r="N173" s="166"/>
      <c r="O173" s="1"/>
      <c r="P173" s="1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40164.55696</v>
      </c>
      <c r="I174" s="150"/>
      <c r="J174" s="150"/>
      <c r="K174" s="150"/>
      <c r="L174" s="150"/>
      <c r="M174" s="150"/>
      <c r="N174" s="150"/>
      <c r="O174" s="1"/>
      <c r="P174" s="1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9519000</v>
      </c>
      <c r="I175" s="150"/>
      <c r="J175" s="150"/>
      <c r="K175" s="150"/>
      <c r="L175" s="150"/>
      <c r="M175" s="150"/>
      <c r="N175" s="150"/>
      <c r="O175" s="1"/>
      <c r="P175" s="1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53"/>
      <c r="N176" s="153"/>
      <c r="O176" s="1"/>
      <c r="P176" s="1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53"/>
      <c r="N177" s="153"/>
      <c r="O177" s="1"/>
      <c r="P177" s="1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55"/>
      <c r="N178" s="155"/>
      <c r="O178" s="1"/>
      <c r="P178" s="1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55"/>
      <c r="N179" s="155"/>
      <c r="O179" s="1"/>
      <c r="P179" s="1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55"/>
      <c r="N180" s="155"/>
      <c r="O180" s="1"/>
      <c r="P180" s="1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40000.0</v>
      </c>
      <c r="I181" s="157"/>
      <c r="J181" s="157"/>
      <c r="K181" s="157"/>
      <c r="L181" s="157"/>
      <c r="M181" s="157"/>
      <c r="N181" s="157"/>
      <c r="O181" s="1"/>
      <c r="P181" s="1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57"/>
      <c r="N182" s="157"/>
      <c r="O182" s="1"/>
      <c r="P182" s="1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57"/>
      <c r="N183" s="157"/>
      <c r="O183" s="1"/>
      <c r="P183" s="1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59"/>
      <c r="N184" s="159"/>
      <c r="O184" s="1"/>
      <c r="P184" s="1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59"/>
      <c r="N185" s="159"/>
      <c r="O185" s="1"/>
      <c r="P185" s="1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62"/>
      <c r="N186" s="162"/>
      <c r="O186" s="1"/>
      <c r="P186" s="1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142</v>
      </c>
      <c r="I187" s="148"/>
      <c r="J187" s="148"/>
      <c r="K187" s="148"/>
      <c r="L187" s="148"/>
      <c r="M187" s="148"/>
      <c r="N187" s="148"/>
      <c r="O187" s="1"/>
      <c r="P187" s="1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5680000</v>
      </c>
      <c r="I188" s="150"/>
      <c r="J188" s="150"/>
      <c r="K188" s="150"/>
      <c r="L188" s="150"/>
      <c r="M188" s="150"/>
      <c r="N188" s="150"/>
      <c r="O188" s="1"/>
      <c r="P188" s="1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24</v>
      </c>
      <c r="I189" s="148"/>
      <c r="J189" s="148"/>
      <c r="K189" s="148"/>
      <c r="L189" s="148"/>
      <c r="M189" s="148"/>
      <c r="N189" s="148"/>
      <c r="O189" s="1"/>
      <c r="P189" s="1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360000</v>
      </c>
      <c r="I190" s="150"/>
      <c r="J190" s="150"/>
      <c r="K190" s="150"/>
      <c r="L190" s="150"/>
      <c r="M190" s="150"/>
      <c r="N190" s="150"/>
      <c r="O190" s="1"/>
      <c r="P190" s="1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48"/>
      <c r="N191" s="148"/>
      <c r="O191" s="1"/>
      <c r="P191" s="1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50"/>
      <c r="N192" s="150"/>
      <c r="O192" s="1"/>
      <c r="P192" s="1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71</v>
      </c>
      <c r="I193" s="148"/>
      <c r="J193" s="148"/>
      <c r="K193" s="148"/>
      <c r="L193" s="148"/>
      <c r="M193" s="148"/>
      <c r="N193" s="148"/>
      <c r="O193" s="1"/>
      <c r="P193" s="1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3479000</v>
      </c>
      <c r="I194" s="150"/>
      <c r="J194" s="150"/>
      <c r="K194" s="150"/>
      <c r="L194" s="150"/>
      <c r="M194" s="150"/>
      <c r="N194" s="150"/>
      <c r="O194" s="1"/>
      <c r="P194" s="1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48"/>
      <c r="N195" s="148"/>
      <c r="O195" s="1"/>
      <c r="P195" s="1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50"/>
      <c r="N196" s="150"/>
      <c r="O196" s="1"/>
      <c r="P196" s="1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50"/>
      <c r="N197" s="150"/>
      <c r="O197" s="1"/>
      <c r="P197" s="1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43"/>
      <c r="N198" s="143"/>
      <c r="O198" s="1"/>
      <c r="P198" s="1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43"/>
      <c r="N199" s="143"/>
      <c r="O199" s="1"/>
      <c r="P199" s="1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1861.25</v>
      </c>
      <c r="I200" s="148"/>
      <c r="J200" s="148"/>
      <c r="K200" s="148"/>
      <c r="L200" s="148"/>
      <c r="M200" s="148"/>
      <c r="N200" s="148"/>
      <c r="O200" s="1"/>
      <c r="P200" s="1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26"/>
      <c r="N201" s="126"/>
      <c r="O201" s="1"/>
      <c r="P201" s="1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0.09664011084</v>
      </c>
      <c r="I202" s="143"/>
      <c r="J202" s="143"/>
      <c r="K202" s="143"/>
      <c r="L202" s="143"/>
      <c r="M202" s="143"/>
      <c r="N202" s="143"/>
      <c r="O202" s="1"/>
      <c r="P202" s="1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558</v>
      </c>
      <c r="I203" s="148"/>
      <c r="J203" s="148"/>
      <c r="K203" s="148"/>
      <c r="L203" s="148"/>
      <c r="M203" s="148"/>
      <c r="N203" s="148"/>
      <c r="O203" s="1"/>
      <c r="P203" s="1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26286.73835</v>
      </c>
      <c r="I204" s="150"/>
      <c r="J204" s="150"/>
      <c r="K204" s="150"/>
      <c r="L204" s="150"/>
      <c r="M204" s="150"/>
      <c r="N204" s="150"/>
      <c r="O204" s="1"/>
      <c r="P204" s="1"/>
      <c r="Q204" s="1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14668000</v>
      </c>
      <c r="I205" s="150"/>
      <c r="J205" s="150"/>
      <c r="K205" s="150"/>
      <c r="L205" s="150"/>
      <c r="M205" s="150"/>
      <c r="N205" s="150"/>
      <c r="O205" s="1"/>
      <c r="P205" s="1"/>
      <c r="Q205" s="1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55"/>
      <c r="N206" s="155"/>
      <c r="O206" s="1"/>
      <c r="P206" s="1"/>
      <c r="Q206" s="1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55"/>
      <c r="N207" s="155"/>
      <c r="O207" s="1"/>
      <c r="P207" s="1"/>
      <c r="Q207" s="1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55"/>
      <c r="N208" s="155"/>
      <c r="O208" s="1"/>
      <c r="P208" s="1"/>
      <c r="Q208" s="1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53"/>
      <c r="N209" s="153"/>
      <c r="O209" s="1"/>
      <c r="P209" s="1"/>
      <c r="Q209" s="1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55"/>
      <c r="N210" s="155"/>
      <c r="O210" s="1"/>
      <c r="P210" s="1"/>
      <c r="Q210" s="1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30000.0</v>
      </c>
      <c r="I211" s="157"/>
      <c r="J211" s="157"/>
      <c r="K211" s="157"/>
      <c r="L211" s="157"/>
      <c r="M211" s="157"/>
      <c r="N211" s="157"/>
      <c r="O211" s="1"/>
      <c r="P211" s="1"/>
      <c r="Q211" s="1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57"/>
      <c r="N212" s="157"/>
      <c r="O212" s="1"/>
      <c r="P212" s="1"/>
      <c r="Q212" s="1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59"/>
      <c r="N213" s="159"/>
      <c r="O213" s="1"/>
      <c r="P213" s="1"/>
      <c r="Q213" s="1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59"/>
      <c r="N214" s="159"/>
      <c r="O214" s="1"/>
      <c r="P214" s="1"/>
      <c r="Q214" s="1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59"/>
      <c r="N215" s="159"/>
      <c r="O215" s="1"/>
      <c r="P215" s="1"/>
      <c r="Q215" s="1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62"/>
      <c r="N216" s="162"/>
      <c r="O216" s="1"/>
      <c r="P216" s="1"/>
      <c r="Q216" s="1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446</v>
      </c>
      <c r="I217" s="148"/>
      <c r="J217" s="148"/>
      <c r="K217" s="148"/>
      <c r="L217" s="148"/>
      <c r="M217" s="148"/>
      <c r="N217" s="148"/>
      <c r="O217" s="1"/>
      <c r="P217" s="1"/>
      <c r="Q217" s="1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13380000</v>
      </c>
      <c r="I218" s="150"/>
      <c r="J218" s="150"/>
      <c r="K218" s="150"/>
      <c r="L218" s="150"/>
      <c r="M218" s="150"/>
      <c r="N218" s="150"/>
      <c r="O218" s="1"/>
      <c r="P218" s="1"/>
      <c r="Q218" s="1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112</v>
      </c>
      <c r="I219" s="148"/>
      <c r="J219" s="148"/>
      <c r="K219" s="148"/>
      <c r="L219" s="148"/>
      <c r="M219" s="148"/>
      <c r="N219" s="148"/>
      <c r="O219" s="1"/>
      <c r="P219" s="1"/>
      <c r="Q219" s="1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1288000</v>
      </c>
      <c r="I220" s="150"/>
      <c r="J220" s="150"/>
      <c r="K220" s="150"/>
      <c r="L220" s="150"/>
      <c r="M220" s="150"/>
      <c r="N220" s="150"/>
      <c r="O220" s="1"/>
      <c r="P220" s="1"/>
      <c r="Q220" s="1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48"/>
      <c r="N221" s="148"/>
      <c r="O221" s="1"/>
      <c r="P221" s="1"/>
      <c r="Q221" s="1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50"/>
      <c r="N222" s="150"/>
      <c r="O222" s="1"/>
      <c r="P222" s="1"/>
      <c r="Q222" s="1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48"/>
      <c r="N223" s="148"/>
      <c r="O223" s="1"/>
      <c r="P223" s="1"/>
      <c r="Q223" s="1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50"/>
      <c r="N224" s="150"/>
      <c r="O224" s="1"/>
      <c r="P224" s="1"/>
      <c r="Q224" s="1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48"/>
      <c r="N225" s="148"/>
      <c r="O225" s="1"/>
      <c r="P225" s="1"/>
      <c r="Q225" s="1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50"/>
      <c r="N226" s="150"/>
      <c r="O226" s="1"/>
      <c r="P226" s="1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15"/>
      <c r="N227" s="115"/>
      <c r="O227" s="1"/>
      <c r="P227" s="1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43"/>
      <c r="N228" s="143"/>
      <c r="O228" s="1"/>
      <c r="P228" s="1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877.5</v>
      </c>
      <c r="I229" s="148"/>
      <c r="J229" s="148"/>
      <c r="K229" s="148"/>
      <c r="L229" s="148"/>
      <c r="M229" s="148"/>
      <c r="N229" s="148"/>
      <c r="O229" s="1"/>
      <c r="P229" s="1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29"/>
      <c r="N230" s="129"/>
      <c r="O230" s="1"/>
      <c r="P230" s="1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0.09654919236</v>
      </c>
      <c r="I231" s="143"/>
      <c r="J231" s="143"/>
      <c r="K231" s="143"/>
      <c r="L231" s="143"/>
      <c r="M231" s="143"/>
      <c r="N231" s="143"/>
      <c r="O231" s="1"/>
      <c r="P231" s="1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263</v>
      </c>
      <c r="I232" s="148"/>
      <c r="J232" s="148"/>
      <c r="K232" s="148"/>
      <c r="L232" s="148"/>
      <c r="M232" s="148"/>
      <c r="N232" s="148"/>
      <c r="O232" s="1"/>
      <c r="P232" s="1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17480.98859</v>
      </c>
      <c r="I233" s="150"/>
      <c r="J233" s="150"/>
      <c r="K233" s="150"/>
      <c r="L233" s="150"/>
      <c r="M233" s="150"/>
      <c r="N233" s="150"/>
      <c r="O233" s="1"/>
      <c r="P233" s="1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4597500</v>
      </c>
      <c r="I234" s="150"/>
      <c r="J234" s="150"/>
      <c r="K234" s="150"/>
      <c r="L234" s="150"/>
      <c r="M234" s="150"/>
      <c r="N234" s="150"/>
      <c r="O234" s="1"/>
      <c r="P234" s="1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55"/>
      <c r="N235" s="155"/>
      <c r="O235" s="1"/>
      <c r="P235" s="1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55"/>
      <c r="N236" s="155"/>
      <c r="O236" s="1"/>
      <c r="P236" s="1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55"/>
      <c r="N237" s="155"/>
      <c r="O237" s="1"/>
      <c r="P237" s="1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53"/>
      <c r="N238" s="153"/>
      <c r="O238" s="1"/>
      <c r="P238" s="1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55"/>
      <c r="N239" s="155"/>
      <c r="O239" s="1"/>
      <c r="P239" s="1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20000.0</v>
      </c>
      <c r="I240" s="157"/>
      <c r="J240" s="157"/>
      <c r="K240" s="157"/>
      <c r="L240" s="157"/>
      <c r="M240" s="157"/>
      <c r="N240" s="157"/>
      <c r="O240" s="1"/>
      <c r="P240" s="1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57"/>
      <c r="N241" s="157"/>
      <c r="O241" s="1"/>
      <c r="P241" s="1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59"/>
      <c r="N242" s="159"/>
      <c r="O242" s="1"/>
      <c r="P242" s="1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59"/>
      <c r="N243" s="159"/>
      <c r="O243" s="1"/>
      <c r="P243" s="1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59"/>
      <c r="N244" s="159"/>
      <c r="O244" s="1"/>
      <c r="P244" s="1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62"/>
      <c r="N245" s="162"/>
      <c r="O245" s="1"/>
      <c r="P245" s="1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210</v>
      </c>
      <c r="I246" s="148"/>
      <c r="J246" s="148"/>
      <c r="K246" s="148"/>
      <c r="L246" s="148"/>
      <c r="M246" s="148"/>
      <c r="N246" s="148"/>
      <c r="O246" s="1"/>
      <c r="P246" s="1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4200000</v>
      </c>
      <c r="I247" s="150"/>
      <c r="J247" s="150"/>
      <c r="K247" s="150"/>
      <c r="L247" s="150"/>
      <c r="M247" s="150"/>
      <c r="N247" s="150"/>
      <c r="O247" s="1"/>
      <c r="P247" s="1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53</v>
      </c>
      <c r="I248" s="148"/>
      <c r="J248" s="148"/>
      <c r="K248" s="148"/>
      <c r="L248" s="148"/>
      <c r="M248" s="148"/>
      <c r="N248" s="148"/>
      <c r="O248" s="1"/>
      <c r="P248" s="1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397500</v>
      </c>
      <c r="I249" s="150"/>
      <c r="J249" s="150"/>
      <c r="K249" s="150"/>
      <c r="L249" s="150"/>
      <c r="M249" s="150"/>
      <c r="N249" s="150"/>
      <c r="O249" s="1"/>
      <c r="P249" s="1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48"/>
      <c r="N250" s="148"/>
      <c r="O250" s="1"/>
      <c r="P250" s="1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50"/>
      <c r="N251" s="150"/>
      <c r="O251" s="1"/>
      <c r="P251" s="1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48"/>
      <c r="N252" s="148"/>
      <c r="O252" s="1"/>
      <c r="P252" s="1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50"/>
      <c r="N253" s="150"/>
      <c r="O253" s="1"/>
      <c r="P253" s="1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48"/>
      <c r="N254" s="148"/>
      <c r="O254" s="1"/>
      <c r="P254" s="1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50"/>
      <c r="N255" s="150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63"/>
      <c r="N256" s="163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15"/>
      <c r="N257" s="115"/>
      <c r="O257" s="1"/>
      <c r="P257" s="1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18"/>
      <c r="N258" s="118"/>
      <c r="O258" s="1"/>
      <c r="P258" s="1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1144</v>
      </c>
      <c r="I259" s="115"/>
      <c r="J259" s="115"/>
      <c r="K259" s="115"/>
      <c r="L259" s="115"/>
      <c r="M259" s="115"/>
      <c r="N259" s="115"/>
      <c r="O259" s="1"/>
      <c r="P259" s="1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0.923951049</v>
      </c>
      <c r="I260" s="168"/>
      <c r="J260" s="168"/>
      <c r="K260" s="168"/>
      <c r="L260" s="168"/>
      <c r="M260" s="168"/>
      <c r="N260" s="168"/>
      <c r="O260" s="1"/>
      <c r="P260" s="1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1057</v>
      </c>
      <c r="I261" s="169"/>
      <c r="J261" s="169"/>
      <c r="K261" s="169"/>
      <c r="L261" s="169"/>
      <c r="M261" s="169"/>
      <c r="N261" s="169"/>
      <c r="O261" s="1"/>
      <c r="P261" s="1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15"/>
      <c r="N262" s="115"/>
      <c r="O262" s="1"/>
      <c r="P262" s="1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33287500</v>
      </c>
      <c r="I263" s="170"/>
      <c r="J263" s="170"/>
      <c r="K263" s="170"/>
      <c r="L263" s="170"/>
      <c r="M263" s="170"/>
      <c r="N263" s="170"/>
      <c r="O263" s="1"/>
      <c r="P263" s="1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68"/>
      <c r="N264" s="168"/>
      <c r="O264" s="1"/>
      <c r="P264" s="1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30957375</v>
      </c>
      <c r="I265" s="150"/>
      <c r="J265" s="150"/>
      <c r="K265" s="150"/>
      <c r="L265" s="150"/>
      <c r="M265" s="150"/>
      <c r="N265" s="150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15"/>
      <c r="N266" s="115"/>
      <c r="O266" s="1"/>
      <c r="P266" s="1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38"/>
      <c r="N267" s="138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36</v>
      </c>
      <c r="I268" s="13"/>
      <c r="J268" s="13"/>
      <c r="K268" s="13"/>
      <c r="L268" s="13"/>
      <c r="M268" s="13"/>
      <c r="N268" s="13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0.8888888889</v>
      </c>
      <c r="I269" s="168"/>
      <c r="J269" s="168"/>
      <c r="K269" s="168"/>
      <c r="L269" s="168"/>
      <c r="M269" s="168"/>
      <c r="N269" s="168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32</v>
      </c>
      <c r="I270" s="166"/>
      <c r="J270" s="166"/>
      <c r="K270" s="166"/>
      <c r="L270" s="166"/>
      <c r="M270" s="166"/>
      <c r="N270" s="166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68"/>
      <c r="N271" s="168"/>
      <c r="O271" s="1"/>
      <c r="P271" s="1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2067390</v>
      </c>
      <c r="I272" s="150"/>
      <c r="J272" s="150"/>
      <c r="K272" s="150"/>
      <c r="L272" s="150"/>
      <c r="M272" s="150"/>
      <c r="N272" s="150"/>
      <c r="O272" s="1"/>
      <c r="P272" s="1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55"/>
      <c r="N273" s="155"/>
      <c r="O273" s="1"/>
      <c r="P273" s="1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55"/>
      <c r="N274" s="155"/>
      <c r="O274" s="1"/>
      <c r="P274" s="1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55"/>
      <c r="N275" s="155"/>
      <c r="O275" s="1"/>
      <c r="P275" s="1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55"/>
      <c r="N276" s="155"/>
      <c r="O276" s="1"/>
      <c r="P276" s="1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55"/>
      <c r="N277" s="155"/>
      <c r="O277" s="1"/>
      <c r="P277" s="1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55"/>
      <c r="N278" s="155"/>
      <c r="O278" s="1"/>
      <c r="P278" s="1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55"/>
      <c r="N279" s="155"/>
      <c r="O279" s="1"/>
      <c r="P279" s="1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55"/>
      <c r="N280" s="155"/>
      <c r="O280" s="1"/>
      <c r="P280" s="1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52"/>
      <c r="N281" s="152"/>
      <c r="O281" s="160"/>
      <c r="P281" s="160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52"/>
      <c r="N282" s="152"/>
      <c r="O282" s="160"/>
      <c r="P282" s="160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20</v>
      </c>
      <c r="I283" s="166"/>
      <c r="J283" s="166"/>
      <c r="K283" s="166"/>
      <c r="L283" s="166"/>
      <c r="M283" s="166"/>
      <c r="N283" s="166"/>
      <c r="O283" s="1"/>
      <c r="P283" s="1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976500</v>
      </c>
      <c r="I284" s="150"/>
      <c r="J284" s="150"/>
      <c r="K284" s="150"/>
      <c r="L284" s="150"/>
      <c r="M284" s="150"/>
      <c r="N284" s="150"/>
      <c r="O284" s="1"/>
      <c r="P284" s="1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5</v>
      </c>
      <c r="I285" s="166"/>
      <c r="J285" s="166"/>
      <c r="K285" s="166"/>
      <c r="L285" s="166"/>
      <c r="M285" s="166"/>
      <c r="N285" s="166"/>
      <c r="O285" s="1"/>
      <c r="P285" s="1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146940</v>
      </c>
      <c r="I286" s="150"/>
      <c r="J286" s="150"/>
      <c r="K286" s="150"/>
      <c r="L286" s="150"/>
      <c r="M286" s="150"/>
      <c r="N286" s="150"/>
      <c r="O286" s="1"/>
      <c r="P286" s="1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66"/>
      <c r="N287" s="166"/>
      <c r="O287" s="1"/>
      <c r="P287" s="1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50"/>
      <c r="N288" s="150"/>
      <c r="O288" s="1"/>
      <c r="P288" s="1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7</v>
      </c>
      <c r="I289" s="166"/>
      <c r="J289" s="166"/>
      <c r="K289" s="166"/>
      <c r="L289" s="166"/>
      <c r="M289" s="166"/>
      <c r="N289" s="166"/>
      <c r="O289" s="1"/>
      <c r="P289" s="1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943950</v>
      </c>
      <c r="I290" s="150"/>
      <c r="J290" s="150"/>
      <c r="K290" s="150"/>
      <c r="L290" s="150"/>
      <c r="M290" s="150"/>
      <c r="N290" s="150"/>
      <c r="O290" s="1"/>
      <c r="P290" s="1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66"/>
      <c r="N291" s="166"/>
      <c r="O291" s="1"/>
      <c r="P291" s="1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50"/>
      <c r="N292" s="150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38"/>
      <c r="N294" s="138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50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</v>
      </c>
      <c r="I296" s="168"/>
      <c r="J296" s="168"/>
      <c r="K296" s="168"/>
      <c r="L296" s="168"/>
      <c r="M296" s="168"/>
      <c r="N296" s="168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42</v>
      </c>
      <c r="I297" s="148"/>
      <c r="J297" s="148"/>
      <c r="K297" s="148"/>
      <c r="L297" s="148"/>
      <c r="M297" s="148"/>
      <c r="N297" s="148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68"/>
      <c r="N298" s="168"/>
      <c r="O298" s="1"/>
      <c r="P298" s="1"/>
      <c r="Q298" s="1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2120400</v>
      </c>
      <c r="I299" s="173"/>
      <c r="J299" s="173"/>
      <c r="K299" s="173"/>
      <c r="L299" s="173"/>
      <c r="M299" s="173"/>
      <c r="N299" s="173"/>
      <c r="O299" s="1"/>
      <c r="P299" s="1"/>
      <c r="Q299" s="1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55"/>
      <c r="N300" s="155"/>
      <c r="O300" s="1"/>
      <c r="P300" s="1"/>
      <c r="Q300" s="1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55"/>
      <c r="N301" s="155"/>
      <c r="O301" s="1"/>
      <c r="P301" s="1"/>
      <c r="Q301" s="1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55"/>
      <c r="N302" s="155"/>
      <c r="O302" s="1"/>
      <c r="P302" s="1"/>
      <c r="Q302" s="1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55"/>
      <c r="N303" s="155"/>
      <c r="O303" s="1"/>
      <c r="P303" s="1"/>
      <c r="Q303" s="1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55"/>
      <c r="N304" s="155"/>
      <c r="O304" s="1"/>
      <c r="P304" s="1"/>
      <c r="Q304" s="1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55"/>
      <c r="N305" s="155"/>
      <c r="O305" s="1"/>
      <c r="P305" s="1"/>
      <c r="Q305" s="1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55"/>
      <c r="N306" s="155"/>
      <c r="O306" s="1"/>
      <c r="P306" s="1"/>
      <c r="Q306" s="1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55"/>
      <c r="N307" s="155"/>
      <c r="O307" s="1"/>
      <c r="P307" s="1"/>
      <c r="Q307" s="1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55"/>
      <c r="N308" s="155"/>
      <c r="O308" s="1"/>
      <c r="P308" s="1"/>
      <c r="Q308" s="1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55"/>
      <c r="N309" s="155"/>
      <c r="O309" s="1"/>
      <c r="P309" s="1"/>
      <c r="Q309" s="1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28</v>
      </c>
      <c r="I310" s="148"/>
      <c r="J310" s="148"/>
      <c r="K310" s="148"/>
      <c r="L310" s="148"/>
      <c r="M310" s="148"/>
      <c r="N310" s="148"/>
      <c r="O310" s="1"/>
      <c r="P310" s="1"/>
      <c r="Q310" s="1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1116000</v>
      </c>
      <c r="I311" s="150"/>
      <c r="J311" s="150"/>
      <c r="K311" s="150"/>
      <c r="L311" s="150"/>
      <c r="M311" s="150"/>
      <c r="N311" s="150"/>
      <c r="O311" s="1"/>
      <c r="P311" s="1"/>
      <c r="Q311" s="1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5</v>
      </c>
      <c r="I312" s="148"/>
      <c r="J312" s="148"/>
      <c r="K312" s="148"/>
      <c r="L312" s="148"/>
      <c r="M312" s="148"/>
      <c r="N312" s="148"/>
      <c r="O312" s="1"/>
      <c r="P312" s="1"/>
      <c r="Q312" s="1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83700</v>
      </c>
      <c r="I313" s="150"/>
      <c r="J313" s="150"/>
      <c r="K313" s="150"/>
      <c r="L313" s="150"/>
      <c r="M313" s="150"/>
      <c r="N313" s="150"/>
      <c r="O313" s="1"/>
      <c r="P313" s="1"/>
      <c r="Q313" s="1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48"/>
      <c r="N314" s="148"/>
      <c r="O314" s="1"/>
      <c r="P314" s="1"/>
      <c r="Q314" s="1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50"/>
      <c r="N315" s="150"/>
      <c r="O315" s="1"/>
      <c r="P315" s="1"/>
      <c r="Q315" s="1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9</v>
      </c>
      <c r="I316" s="148"/>
      <c r="J316" s="148"/>
      <c r="K316" s="148"/>
      <c r="L316" s="148"/>
      <c r="M316" s="148"/>
      <c r="N316" s="148"/>
      <c r="O316" s="1"/>
      <c r="P316" s="1"/>
      <c r="Q316" s="1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920700</v>
      </c>
      <c r="I317" s="150"/>
      <c r="J317" s="150"/>
      <c r="K317" s="150"/>
      <c r="L317" s="150"/>
      <c r="M317" s="150"/>
      <c r="N317" s="150"/>
      <c r="O317" s="1"/>
      <c r="P317" s="1"/>
      <c r="Q317" s="1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5</v>
      </c>
      <c r="I318" s="166"/>
      <c r="J318" s="166"/>
      <c r="K318" s="166"/>
      <c r="L318" s="166"/>
      <c r="M318" s="166"/>
      <c r="N318" s="166"/>
      <c r="O318" s="1"/>
      <c r="P318" s="1"/>
      <c r="Q318" s="1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50"/>
      <c r="N319" s="150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38"/>
      <c r="N321" s="138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237</v>
      </c>
      <c r="I322" s="163"/>
      <c r="J322" s="163"/>
      <c r="K322" s="163"/>
      <c r="L322" s="163"/>
      <c r="M322" s="163"/>
      <c r="N322" s="163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0.9282700422</v>
      </c>
      <c r="I323" s="168"/>
      <c r="J323" s="168"/>
      <c r="K323" s="168"/>
      <c r="L323" s="168"/>
      <c r="M323" s="168"/>
      <c r="N323" s="168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220</v>
      </c>
      <c r="I324" s="148"/>
      <c r="J324" s="148"/>
      <c r="K324" s="148"/>
      <c r="L324" s="148"/>
      <c r="M324" s="148"/>
      <c r="N324" s="148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68"/>
      <c r="N325" s="168"/>
      <c r="O325" s="1"/>
      <c r="P325" s="1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8852670</v>
      </c>
      <c r="I326" s="150"/>
      <c r="J326" s="150"/>
      <c r="K326" s="150"/>
      <c r="L326" s="150"/>
      <c r="M326" s="150"/>
      <c r="N326" s="150"/>
      <c r="O326" s="1"/>
      <c r="P326" s="1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55"/>
      <c r="N327" s="155"/>
      <c r="O327" s="1"/>
      <c r="P327" s="1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55"/>
      <c r="N328" s="155"/>
      <c r="O328" s="1"/>
      <c r="P328" s="1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55"/>
      <c r="N329" s="155"/>
      <c r="O329" s="1"/>
      <c r="P329" s="1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55"/>
      <c r="N330" s="155"/>
      <c r="O330" s="1"/>
      <c r="P330" s="1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55"/>
      <c r="N331" s="155"/>
      <c r="O331" s="1"/>
      <c r="P331" s="1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55"/>
      <c r="N332" s="155"/>
      <c r="O332" s="1"/>
      <c r="P332" s="1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55"/>
      <c r="N333" s="155"/>
      <c r="O333" s="1"/>
      <c r="P333" s="1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55"/>
      <c r="N334" s="155"/>
      <c r="O334" s="1"/>
      <c r="P334" s="1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55"/>
      <c r="N335" s="155"/>
      <c r="O335" s="1"/>
      <c r="P335" s="1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55"/>
      <c r="N336" s="155"/>
      <c r="O336" s="1"/>
      <c r="P336" s="1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132</v>
      </c>
      <c r="I337" s="148"/>
      <c r="J337" s="148"/>
      <c r="K337" s="148"/>
      <c r="L337" s="148"/>
      <c r="M337" s="148"/>
      <c r="N337" s="148"/>
      <c r="O337" s="1"/>
      <c r="P337" s="1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5282400</v>
      </c>
      <c r="I338" s="150"/>
      <c r="J338" s="150"/>
      <c r="K338" s="150"/>
      <c r="L338" s="150"/>
      <c r="M338" s="150"/>
      <c r="N338" s="150"/>
      <c r="O338" s="1"/>
      <c r="P338" s="1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22</v>
      </c>
      <c r="I339" s="148"/>
      <c r="J339" s="148"/>
      <c r="K339" s="148"/>
      <c r="L339" s="148"/>
      <c r="M339" s="148"/>
      <c r="N339" s="148"/>
      <c r="O339" s="1"/>
      <c r="P339" s="1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334800</v>
      </c>
      <c r="I340" s="150"/>
      <c r="J340" s="150"/>
      <c r="K340" s="150"/>
      <c r="L340" s="150"/>
      <c r="M340" s="150"/>
      <c r="N340" s="150"/>
      <c r="O340" s="1"/>
      <c r="P340" s="1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48"/>
      <c r="N341" s="148"/>
      <c r="O341" s="1"/>
      <c r="P341" s="1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50"/>
      <c r="N342" s="150"/>
      <c r="O342" s="1"/>
      <c r="P342" s="1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66</v>
      </c>
      <c r="I343" s="148"/>
      <c r="J343" s="148"/>
      <c r="K343" s="148"/>
      <c r="L343" s="148"/>
      <c r="M343" s="148"/>
      <c r="N343" s="148"/>
      <c r="O343" s="1"/>
      <c r="P343" s="1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3235470</v>
      </c>
      <c r="I344" s="150"/>
      <c r="J344" s="150"/>
      <c r="K344" s="150"/>
      <c r="L344" s="150"/>
      <c r="M344" s="150"/>
      <c r="N344" s="150"/>
      <c r="O344" s="1"/>
      <c r="P344" s="1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66"/>
      <c r="N345" s="166"/>
      <c r="O345" s="1"/>
      <c r="P345" s="1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50"/>
      <c r="N346" s="150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38"/>
      <c r="N348" s="138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558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0.9301075269</v>
      </c>
      <c r="I350" s="168"/>
      <c r="J350" s="168"/>
      <c r="K350" s="168"/>
      <c r="L350" s="168"/>
      <c r="M350" s="168"/>
      <c r="N350" s="168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519</v>
      </c>
      <c r="I351" s="148"/>
      <c r="J351" s="148"/>
      <c r="K351" s="148"/>
      <c r="L351" s="148"/>
      <c r="M351" s="148"/>
      <c r="N351" s="148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68"/>
      <c r="N352" s="168"/>
      <c r="O352" s="1"/>
      <c r="P352" s="1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13641240</v>
      </c>
      <c r="I353" s="150"/>
      <c r="J353" s="150"/>
      <c r="K353" s="150"/>
      <c r="L353" s="150"/>
      <c r="M353" s="150"/>
      <c r="N353" s="150"/>
      <c r="O353" s="1"/>
      <c r="P353" s="1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55"/>
      <c r="N354" s="155"/>
      <c r="O354" s="1"/>
      <c r="P354" s="1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55"/>
      <c r="N355" s="155"/>
      <c r="O355" s="1"/>
      <c r="P355" s="1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55"/>
      <c r="N356" s="155"/>
      <c r="O356" s="1"/>
      <c r="P356" s="1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55"/>
      <c r="N357" s="155"/>
      <c r="O357" s="1"/>
      <c r="P357" s="1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53"/>
      <c r="N358" s="153"/>
      <c r="O358" s="1"/>
      <c r="P358" s="1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53"/>
      <c r="N359" s="153"/>
      <c r="O359" s="1"/>
      <c r="P359" s="1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53"/>
      <c r="N360" s="153"/>
      <c r="O360" s="1"/>
      <c r="P360" s="1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53"/>
      <c r="N361" s="153"/>
      <c r="O361" s="1"/>
      <c r="P361" s="1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55"/>
      <c r="N362" s="155"/>
      <c r="O362" s="1"/>
      <c r="P362" s="1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55"/>
      <c r="N363" s="155"/>
      <c r="O363" s="1"/>
      <c r="P363" s="1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415</v>
      </c>
      <c r="I364" s="148"/>
      <c r="J364" s="148"/>
      <c r="K364" s="148"/>
      <c r="L364" s="148"/>
      <c r="M364" s="148"/>
      <c r="N364" s="148"/>
      <c r="O364" s="1"/>
      <c r="P364" s="1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12443400</v>
      </c>
      <c r="I365" s="150"/>
      <c r="J365" s="150"/>
      <c r="K365" s="150"/>
      <c r="L365" s="150"/>
      <c r="M365" s="150"/>
      <c r="N365" s="150"/>
      <c r="O365" s="1"/>
      <c r="P365" s="1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104</v>
      </c>
      <c r="I366" s="148"/>
      <c r="J366" s="148"/>
      <c r="K366" s="148"/>
      <c r="L366" s="148"/>
      <c r="M366" s="148"/>
      <c r="N366" s="148"/>
      <c r="O366" s="1"/>
      <c r="P366" s="1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1197840</v>
      </c>
      <c r="I367" s="150"/>
      <c r="J367" s="150"/>
      <c r="K367" s="150"/>
      <c r="L367" s="150"/>
      <c r="M367" s="150"/>
      <c r="N367" s="150"/>
      <c r="O367" s="1"/>
      <c r="P367" s="1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48"/>
      <c r="N368" s="148"/>
      <c r="O368" s="1"/>
      <c r="P368" s="1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50"/>
      <c r="N369" s="150"/>
      <c r="O369" s="1"/>
      <c r="P369" s="1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48"/>
      <c r="N370" s="148"/>
      <c r="O370" s="1"/>
      <c r="P370" s="1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50"/>
      <c r="N371" s="150"/>
      <c r="O371" s="1"/>
      <c r="P371" s="1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66"/>
      <c r="N372" s="166"/>
      <c r="O372" s="1"/>
      <c r="P372" s="1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50"/>
      <c r="N373" s="150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38"/>
      <c r="N375" s="138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263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0.927756654</v>
      </c>
      <c r="I377" s="168"/>
      <c r="J377" s="168"/>
      <c r="K377" s="168"/>
      <c r="L377" s="168"/>
      <c r="M377" s="168"/>
      <c r="N377" s="168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244</v>
      </c>
      <c r="I378" s="148"/>
      <c r="J378" s="148"/>
      <c r="K378" s="148"/>
      <c r="L378" s="148"/>
      <c r="M378" s="148"/>
      <c r="N378" s="148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34"/>
      <c r="N379" s="134"/>
      <c r="O379" s="1"/>
      <c r="P379" s="1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4275675</v>
      </c>
      <c r="I380" s="150"/>
      <c r="J380" s="150"/>
      <c r="K380" s="150"/>
      <c r="L380" s="150"/>
      <c r="M380" s="150"/>
      <c r="N380" s="150"/>
      <c r="O380" s="1"/>
      <c r="P380" s="1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55"/>
      <c r="N381" s="155"/>
      <c r="O381" s="1"/>
      <c r="P381" s="1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55"/>
      <c r="N382" s="155"/>
      <c r="O382" s="1"/>
      <c r="P382" s="1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55"/>
      <c r="N383" s="155"/>
      <c r="O383" s="1"/>
      <c r="P383" s="1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55"/>
      <c r="N384" s="155"/>
      <c r="O384" s="1"/>
      <c r="P384" s="1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53"/>
      <c r="N385" s="153"/>
      <c r="O385" s="1"/>
      <c r="P385" s="1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53"/>
      <c r="N386" s="153"/>
      <c r="O386" s="1"/>
      <c r="P386" s="1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53"/>
      <c r="N387" s="153"/>
      <c r="O387" s="1"/>
      <c r="P387" s="1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53"/>
      <c r="N388" s="153"/>
      <c r="O388" s="1"/>
      <c r="P388" s="1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55"/>
      <c r="N389" s="155"/>
      <c r="O389" s="1"/>
      <c r="P389" s="1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55"/>
      <c r="N390" s="155"/>
      <c r="O390" s="1"/>
      <c r="P390" s="1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195</v>
      </c>
      <c r="I391" s="148"/>
      <c r="J391" s="148"/>
      <c r="K391" s="148"/>
      <c r="L391" s="148"/>
      <c r="M391" s="148"/>
      <c r="N391" s="148"/>
      <c r="O391" s="1"/>
      <c r="P391" s="1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3906000</v>
      </c>
      <c r="I392" s="150"/>
      <c r="J392" s="150"/>
      <c r="K392" s="150"/>
      <c r="L392" s="150"/>
      <c r="M392" s="150"/>
      <c r="N392" s="150"/>
      <c r="O392" s="1"/>
      <c r="P392" s="1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49</v>
      </c>
      <c r="I393" s="148"/>
      <c r="J393" s="148"/>
      <c r="K393" s="148"/>
      <c r="L393" s="148"/>
      <c r="M393" s="148"/>
      <c r="N393" s="148"/>
      <c r="O393" s="1"/>
      <c r="P393" s="1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369675</v>
      </c>
      <c r="I394" s="150"/>
      <c r="J394" s="150"/>
      <c r="K394" s="150"/>
      <c r="L394" s="150"/>
      <c r="M394" s="150"/>
      <c r="N394" s="150"/>
      <c r="O394" s="1"/>
      <c r="P394" s="1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48"/>
      <c r="N395" s="148"/>
      <c r="O395" s="1"/>
      <c r="P395" s="1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50"/>
      <c r="N396" s="150"/>
      <c r="O396" s="1"/>
      <c r="P396" s="1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48"/>
      <c r="N397" s="148"/>
      <c r="O397" s="1"/>
      <c r="P397" s="1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50"/>
      <c r="N398" s="150"/>
      <c r="O398" s="1"/>
      <c r="P398" s="1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48"/>
      <c r="N399" s="148"/>
      <c r="O399" s="1"/>
      <c r="P399" s="1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50"/>
      <c r="N400" s="150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18"/>
      <c r="N403" s="118"/>
      <c r="O403" s="1"/>
      <c r="P403" s="1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1057</v>
      </c>
      <c r="I404" s="123"/>
      <c r="J404" s="123"/>
      <c r="K404" s="123"/>
      <c r="L404" s="123"/>
      <c r="M404" s="123"/>
      <c r="N404" s="123"/>
      <c r="O404" s="1"/>
      <c r="P404" s="1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68"/>
      <c r="N405" s="168"/>
      <c r="O405" s="1"/>
      <c r="P405" s="1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1057</v>
      </c>
      <c r="I406" s="148"/>
      <c r="J406" s="148"/>
      <c r="K406" s="148"/>
      <c r="L406" s="148"/>
      <c r="M406" s="148"/>
      <c r="N406" s="148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30957375</v>
      </c>
      <c r="I408" s="150"/>
      <c r="J408" s="150"/>
      <c r="K408" s="150"/>
      <c r="L408" s="150"/>
      <c r="M408" s="150"/>
      <c r="N408" s="150"/>
      <c r="O408" s="1"/>
      <c r="P408" s="1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68"/>
      <c r="N409" s="168"/>
      <c r="O409" s="1"/>
      <c r="P409" s="1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30957375</v>
      </c>
      <c r="I410" s="150"/>
      <c r="J410" s="150"/>
      <c r="K410" s="150"/>
      <c r="L410" s="150"/>
      <c r="M410" s="150"/>
      <c r="N410" s="150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15"/>
      <c r="N411" s="115"/>
      <c r="O411" s="1"/>
      <c r="P411" s="1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38"/>
      <c r="N412" s="138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68"/>
      <c r="N413" s="168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32</v>
      </c>
      <c r="I414" s="148"/>
      <c r="J414" s="148"/>
      <c r="K414" s="148"/>
      <c r="L414" s="148"/>
      <c r="M414" s="148"/>
      <c r="N414" s="148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68"/>
      <c r="N415" s="168"/>
      <c r="O415" s="1"/>
      <c r="P415" s="1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2067390</v>
      </c>
      <c r="I416" s="150"/>
      <c r="J416" s="150"/>
      <c r="K416" s="150"/>
      <c r="L416" s="150"/>
      <c r="M416" s="150"/>
      <c r="N416" s="150"/>
      <c r="O416" s="1"/>
      <c r="P416" s="1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53"/>
      <c r="N417" s="153"/>
      <c r="O417" s="1"/>
      <c r="P417" s="1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53"/>
      <c r="N418" s="153"/>
      <c r="O418" s="1"/>
      <c r="P418" s="1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53"/>
      <c r="N419" s="153"/>
      <c r="O419" s="1"/>
      <c r="P419" s="1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53"/>
      <c r="N420" s="153"/>
      <c r="O420" s="1"/>
      <c r="P420" s="1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53"/>
      <c r="N421" s="153"/>
      <c r="O421" s="1"/>
      <c r="P421" s="1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53"/>
      <c r="N422" s="153"/>
      <c r="O422" s="1"/>
      <c r="P422" s="1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53"/>
      <c r="N423" s="153"/>
      <c r="O423" s="1"/>
      <c r="P423" s="1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53"/>
      <c r="N424" s="153"/>
      <c r="O424" s="1"/>
      <c r="P424" s="1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53"/>
      <c r="N425" s="153"/>
      <c r="O425" s="1"/>
      <c r="P425" s="1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53"/>
      <c r="N426" s="153"/>
      <c r="O426" s="1"/>
      <c r="P426" s="1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20</v>
      </c>
      <c r="I427" s="148"/>
      <c r="J427" s="148"/>
      <c r="K427" s="148"/>
      <c r="L427" s="148"/>
      <c r="M427" s="148"/>
      <c r="N427" s="148"/>
      <c r="O427" s="1"/>
      <c r="P427" s="1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976500</v>
      </c>
      <c r="I428" s="173"/>
      <c r="J428" s="173"/>
      <c r="K428" s="173"/>
      <c r="L428" s="173"/>
      <c r="M428" s="173"/>
      <c r="N428" s="173"/>
      <c r="O428" s="1"/>
      <c r="P428" s="1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5</v>
      </c>
      <c r="I429" s="148"/>
      <c r="J429" s="148"/>
      <c r="K429" s="148"/>
      <c r="L429" s="148"/>
      <c r="M429" s="148"/>
      <c r="N429" s="148"/>
      <c r="O429" s="1"/>
      <c r="P429" s="1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146940</v>
      </c>
      <c r="I430" s="148"/>
      <c r="J430" s="148"/>
      <c r="K430" s="148"/>
      <c r="L430" s="148"/>
      <c r="M430" s="148"/>
      <c r="N430" s="148"/>
      <c r="O430" s="1"/>
      <c r="P430" s="1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74"/>
      <c r="N431" s="174"/>
      <c r="O431" s="1"/>
      <c r="P431" s="1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74"/>
      <c r="N432" s="174"/>
      <c r="O432" s="1"/>
      <c r="P432" s="1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7</v>
      </c>
      <c r="I433" s="174"/>
      <c r="J433" s="174"/>
      <c r="K433" s="174"/>
      <c r="L433" s="174"/>
      <c r="M433" s="174"/>
      <c r="N433" s="174"/>
      <c r="O433" s="1"/>
      <c r="P433" s="1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943950</v>
      </c>
      <c r="I434" s="174"/>
      <c r="J434" s="174"/>
      <c r="K434" s="174"/>
      <c r="L434" s="174"/>
      <c r="M434" s="174"/>
      <c r="N434" s="174"/>
      <c r="O434" s="1"/>
      <c r="P434" s="1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74"/>
      <c r="N435" s="174"/>
      <c r="O435" s="1"/>
      <c r="P435" s="1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74"/>
      <c r="N436" s="174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38"/>
      <c r="N438" s="138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68"/>
      <c r="N439" s="168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42</v>
      </c>
      <c r="I440" s="148"/>
      <c r="J440" s="148"/>
      <c r="K440" s="148"/>
      <c r="L440" s="148"/>
      <c r="M440" s="148"/>
      <c r="N440" s="148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68"/>
      <c r="N441" s="168"/>
      <c r="O441" s="1"/>
      <c r="P441" s="1"/>
      <c r="Q441" s="1"/>
      <c r="R441" s="1"/>
      <c r="S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2120400</v>
      </c>
      <c r="I442" s="150"/>
      <c r="J442" s="150"/>
      <c r="K442" s="150"/>
      <c r="L442" s="150"/>
      <c r="M442" s="150"/>
      <c r="N442" s="150"/>
      <c r="O442" s="1"/>
      <c r="P442" s="1"/>
      <c r="Q442" s="1"/>
      <c r="R442" s="1"/>
      <c r="S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55"/>
      <c r="N443" s="155"/>
      <c r="O443" s="1"/>
      <c r="P443" s="1"/>
      <c r="Q443" s="1"/>
      <c r="R443" s="1"/>
      <c r="S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55"/>
      <c r="N444" s="155"/>
      <c r="O444" s="1"/>
      <c r="P444" s="1"/>
      <c r="Q444" s="1"/>
      <c r="R444" s="1"/>
      <c r="S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55"/>
      <c r="N445" s="155"/>
      <c r="O445" s="1"/>
      <c r="P445" s="1"/>
      <c r="Q445" s="1"/>
      <c r="R445" s="1"/>
      <c r="S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55"/>
      <c r="N446" s="155"/>
      <c r="O446" s="1"/>
      <c r="P446" s="1"/>
      <c r="Q446" s="1"/>
      <c r="R446" s="1"/>
      <c r="S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55"/>
      <c r="N447" s="155"/>
      <c r="O447" s="1"/>
      <c r="P447" s="1"/>
      <c r="Q447" s="1"/>
      <c r="R447" s="1"/>
      <c r="S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55"/>
      <c r="N448" s="155"/>
      <c r="O448" s="1"/>
      <c r="P448" s="1"/>
      <c r="Q448" s="1"/>
      <c r="R448" s="1"/>
      <c r="S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53"/>
      <c r="N449" s="153"/>
      <c r="O449" s="1"/>
      <c r="P449" s="1"/>
      <c r="Q449" s="1"/>
      <c r="R449" s="1"/>
      <c r="S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53"/>
      <c r="N450" s="153"/>
      <c r="O450" s="1"/>
      <c r="P450" s="1"/>
      <c r="Q450" s="1"/>
      <c r="R450" s="1"/>
      <c r="S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53"/>
      <c r="N451" s="153"/>
      <c r="O451" s="1"/>
      <c r="P451" s="1"/>
      <c r="Q451" s="1"/>
      <c r="R451" s="1"/>
      <c r="S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53"/>
      <c r="N452" s="153"/>
      <c r="O452" s="1"/>
      <c r="P452" s="1"/>
      <c r="Q452" s="1"/>
      <c r="R452" s="1"/>
      <c r="S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28</v>
      </c>
      <c r="I453" s="148"/>
      <c r="J453" s="148"/>
      <c r="K453" s="148"/>
      <c r="L453" s="148"/>
      <c r="M453" s="148"/>
      <c r="N453" s="148"/>
      <c r="O453" s="1"/>
      <c r="P453" s="1"/>
      <c r="Q453" s="1"/>
      <c r="R453" s="1"/>
      <c r="S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1116000</v>
      </c>
      <c r="I454" s="148"/>
      <c r="J454" s="148"/>
      <c r="K454" s="148"/>
      <c r="L454" s="148"/>
      <c r="M454" s="148"/>
      <c r="N454" s="148"/>
      <c r="O454" s="1"/>
      <c r="P454" s="1"/>
      <c r="Q454" s="1"/>
      <c r="R454" s="1"/>
      <c r="S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5</v>
      </c>
      <c r="I455" s="148"/>
      <c r="J455" s="148"/>
      <c r="K455" s="148"/>
      <c r="L455" s="148"/>
      <c r="M455" s="148"/>
      <c r="N455" s="148"/>
      <c r="O455" s="1"/>
      <c r="P455" s="1"/>
      <c r="Q455" s="1"/>
      <c r="R455" s="1"/>
      <c r="S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83700</v>
      </c>
      <c r="I456" s="148"/>
      <c r="J456" s="148"/>
      <c r="K456" s="148"/>
      <c r="L456" s="148"/>
      <c r="M456" s="148"/>
      <c r="N456" s="148"/>
      <c r="O456" s="1"/>
      <c r="P456" s="1"/>
      <c r="Q456" s="1"/>
      <c r="R456" s="1"/>
      <c r="S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48"/>
      <c r="N457" s="148"/>
      <c r="O457" s="1"/>
      <c r="P457" s="1"/>
      <c r="Q457" s="1"/>
      <c r="R457" s="1"/>
      <c r="S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48"/>
      <c r="N458" s="148"/>
      <c r="O458" s="1"/>
      <c r="P458" s="1"/>
      <c r="Q458" s="1"/>
      <c r="R458" s="1"/>
      <c r="S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9</v>
      </c>
      <c r="I459" s="148"/>
      <c r="J459" s="148"/>
      <c r="K459" s="148"/>
      <c r="L459" s="148"/>
      <c r="M459" s="148"/>
      <c r="N459" s="148"/>
      <c r="O459" s="1"/>
      <c r="P459" s="1"/>
      <c r="Q459" s="1"/>
      <c r="R459" s="1"/>
      <c r="S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920700</v>
      </c>
      <c r="I460" s="148"/>
      <c r="J460" s="148"/>
      <c r="K460" s="148"/>
      <c r="L460" s="148"/>
      <c r="M460" s="148"/>
      <c r="N460" s="148"/>
      <c r="O460" s="1"/>
      <c r="P460" s="1"/>
      <c r="Q460" s="1"/>
      <c r="R460" s="1"/>
      <c r="S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5</v>
      </c>
      <c r="I461" s="148"/>
      <c r="J461" s="148"/>
      <c r="K461" s="148"/>
      <c r="L461" s="148"/>
      <c r="M461" s="148"/>
      <c r="N461" s="148"/>
      <c r="O461" s="1"/>
      <c r="P461" s="1"/>
      <c r="Q461" s="1"/>
      <c r="R461" s="1"/>
      <c r="S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48"/>
      <c r="N462" s="148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38"/>
      <c r="N464" s="138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68"/>
      <c r="N465" s="168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220</v>
      </c>
      <c r="I466" s="148"/>
      <c r="J466" s="148"/>
      <c r="K466" s="148"/>
      <c r="L466" s="148"/>
      <c r="M466" s="148"/>
      <c r="N466" s="148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68"/>
      <c r="N467" s="168"/>
      <c r="O467" s="1"/>
      <c r="P467" s="1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8852670</v>
      </c>
      <c r="I468" s="150"/>
      <c r="J468" s="150"/>
      <c r="K468" s="150"/>
      <c r="L468" s="150"/>
      <c r="M468" s="150"/>
      <c r="N468" s="150"/>
      <c r="O468" s="1"/>
      <c r="P468" s="1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55"/>
      <c r="N469" s="155"/>
      <c r="O469" s="1"/>
      <c r="P469" s="1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55"/>
      <c r="N470" s="155"/>
      <c r="O470" s="1"/>
      <c r="P470" s="1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55"/>
      <c r="N471" s="155"/>
      <c r="O471" s="1"/>
      <c r="P471" s="1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55"/>
      <c r="N472" s="155"/>
      <c r="O472" s="1"/>
      <c r="P472" s="1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55"/>
      <c r="N473" s="155"/>
      <c r="O473" s="1"/>
      <c r="P473" s="1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55"/>
      <c r="N474" s="155"/>
      <c r="O474" s="1"/>
      <c r="P474" s="1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55"/>
      <c r="N475" s="155"/>
      <c r="O475" s="1"/>
      <c r="P475" s="1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55"/>
      <c r="N476" s="155"/>
      <c r="O476" s="1"/>
      <c r="P476" s="1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55"/>
      <c r="N477" s="155"/>
      <c r="O477" s="1"/>
      <c r="P477" s="1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55"/>
      <c r="N478" s="155"/>
      <c r="O478" s="1"/>
      <c r="P478" s="1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132</v>
      </c>
      <c r="I479" s="148"/>
      <c r="J479" s="148"/>
      <c r="K479" s="148"/>
      <c r="L479" s="148"/>
      <c r="M479" s="148"/>
      <c r="N479" s="148"/>
      <c r="O479" s="1"/>
      <c r="P479" s="1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5282400</v>
      </c>
      <c r="I480" s="148"/>
      <c r="J480" s="148"/>
      <c r="K480" s="148"/>
      <c r="L480" s="148"/>
      <c r="M480" s="148"/>
      <c r="N480" s="148"/>
      <c r="O480" s="1"/>
      <c r="P480" s="1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22</v>
      </c>
      <c r="I481" s="148"/>
      <c r="J481" s="148"/>
      <c r="K481" s="148"/>
      <c r="L481" s="148"/>
      <c r="M481" s="148"/>
      <c r="N481" s="148"/>
      <c r="O481" s="1"/>
      <c r="P481" s="1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334800</v>
      </c>
      <c r="I482" s="148"/>
      <c r="J482" s="148"/>
      <c r="K482" s="148"/>
      <c r="L482" s="148"/>
      <c r="M482" s="148"/>
      <c r="N482" s="148"/>
      <c r="O482" s="1"/>
      <c r="P482" s="1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48"/>
      <c r="N483" s="148"/>
      <c r="O483" s="1"/>
      <c r="P483" s="1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48"/>
      <c r="N484" s="148"/>
      <c r="O484" s="1"/>
      <c r="P484" s="1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66</v>
      </c>
      <c r="I485" s="148"/>
      <c r="J485" s="148"/>
      <c r="K485" s="148"/>
      <c r="L485" s="148"/>
      <c r="M485" s="148"/>
      <c r="N485" s="148"/>
      <c r="O485" s="1"/>
      <c r="P485" s="1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3235470</v>
      </c>
      <c r="I486" s="148"/>
      <c r="J486" s="148"/>
      <c r="K486" s="148"/>
      <c r="L486" s="148"/>
      <c r="M486" s="148"/>
      <c r="N486" s="148"/>
      <c r="O486" s="1"/>
      <c r="P486" s="1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48"/>
      <c r="N487" s="148"/>
      <c r="O487" s="1"/>
      <c r="P487" s="1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48"/>
      <c r="N488" s="148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38"/>
      <c r="N490" s="138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68"/>
      <c r="N491" s="168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519</v>
      </c>
      <c r="I492" s="148"/>
      <c r="J492" s="148"/>
      <c r="K492" s="148"/>
      <c r="L492" s="148"/>
      <c r="M492" s="148"/>
      <c r="N492" s="148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68"/>
      <c r="N493" s="168"/>
      <c r="O493" s="1"/>
      <c r="P493" s="1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13641240</v>
      </c>
      <c r="I494" s="150"/>
      <c r="J494" s="150"/>
      <c r="K494" s="150"/>
      <c r="L494" s="150"/>
      <c r="M494" s="150"/>
      <c r="N494" s="150"/>
      <c r="O494" s="1"/>
      <c r="P494" s="1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55"/>
      <c r="N495" s="155"/>
      <c r="O495" s="1"/>
      <c r="P495" s="1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55"/>
      <c r="N496" s="155"/>
      <c r="O496" s="1"/>
      <c r="P496" s="1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55"/>
      <c r="N497" s="155"/>
      <c r="O497" s="1"/>
      <c r="P497" s="1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55"/>
      <c r="N498" s="155"/>
      <c r="O498" s="1"/>
      <c r="P498" s="1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53"/>
      <c r="N499" s="153"/>
      <c r="O499" s="1"/>
      <c r="P499" s="1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53"/>
      <c r="N500" s="153"/>
      <c r="O500" s="1"/>
      <c r="P500" s="1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53"/>
      <c r="N501" s="153"/>
      <c r="O501" s="1"/>
      <c r="P501" s="1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53"/>
      <c r="N502" s="153"/>
      <c r="O502" s="1"/>
      <c r="P502" s="1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53"/>
      <c r="N503" s="153"/>
      <c r="O503" s="1"/>
      <c r="P503" s="1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53"/>
      <c r="N504" s="153"/>
      <c r="O504" s="1"/>
      <c r="P504" s="1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415</v>
      </c>
      <c r="I505" s="148"/>
      <c r="J505" s="148"/>
      <c r="K505" s="148"/>
      <c r="L505" s="148"/>
      <c r="M505" s="148"/>
      <c r="N505" s="148"/>
      <c r="O505" s="1"/>
      <c r="P505" s="1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12443400</v>
      </c>
      <c r="I506" s="148"/>
      <c r="J506" s="148"/>
      <c r="K506" s="148"/>
      <c r="L506" s="148"/>
      <c r="M506" s="148"/>
      <c r="N506" s="148"/>
      <c r="O506" s="1"/>
      <c r="P506" s="1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104</v>
      </c>
      <c r="I507" s="148"/>
      <c r="J507" s="148"/>
      <c r="K507" s="148"/>
      <c r="L507" s="148"/>
      <c r="M507" s="148"/>
      <c r="N507" s="148"/>
      <c r="O507" s="1"/>
      <c r="P507" s="1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1197840</v>
      </c>
      <c r="I508" s="148"/>
      <c r="J508" s="148"/>
      <c r="K508" s="148"/>
      <c r="L508" s="148"/>
      <c r="M508" s="148"/>
      <c r="N508" s="148"/>
      <c r="O508" s="1"/>
      <c r="P508" s="1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48"/>
      <c r="N509" s="148"/>
      <c r="O509" s="1"/>
      <c r="P509" s="1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48"/>
      <c r="N510" s="148"/>
      <c r="O510" s="1"/>
      <c r="P510" s="1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48"/>
      <c r="N511" s="148"/>
      <c r="O511" s="1"/>
      <c r="P511" s="1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48"/>
      <c r="N512" s="148"/>
      <c r="O512" s="1"/>
      <c r="P512" s="1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48"/>
      <c r="N513" s="148"/>
      <c r="O513" s="1"/>
      <c r="P513" s="1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48"/>
      <c r="N514" s="148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38"/>
      <c r="N516" s="138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68"/>
      <c r="N517" s="168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244</v>
      </c>
      <c r="I518" s="148"/>
      <c r="J518" s="148"/>
      <c r="K518" s="148"/>
      <c r="L518" s="148"/>
      <c r="M518" s="148"/>
      <c r="N518" s="148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68"/>
      <c r="N519" s="168"/>
      <c r="O519" s="1"/>
      <c r="P519" s="1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4275675</v>
      </c>
      <c r="I520" s="150"/>
      <c r="J520" s="150"/>
      <c r="K520" s="150"/>
      <c r="L520" s="150"/>
      <c r="M520" s="150"/>
      <c r="N520" s="150"/>
      <c r="O520" s="1"/>
      <c r="P520" s="1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55"/>
      <c r="N521" s="155"/>
      <c r="O521" s="1"/>
      <c r="P521" s="1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55"/>
      <c r="N522" s="155"/>
      <c r="O522" s="1"/>
      <c r="P522" s="1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55"/>
      <c r="N523" s="155"/>
      <c r="O523" s="1"/>
      <c r="P523" s="1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55"/>
      <c r="N524" s="155"/>
      <c r="O524" s="1"/>
      <c r="P524" s="1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53"/>
      <c r="N525" s="153"/>
      <c r="O525" s="1"/>
      <c r="P525" s="1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53"/>
      <c r="N526" s="153"/>
      <c r="O526" s="1"/>
      <c r="P526" s="1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53"/>
      <c r="N527" s="153"/>
      <c r="O527" s="1"/>
      <c r="P527" s="1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53"/>
      <c r="N528" s="153"/>
      <c r="O528" s="1"/>
      <c r="P528" s="1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53"/>
      <c r="N529" s="153"/>
      <c r="O529" s="1"/>
      <c r="P529" s="1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53"/>
      <c r="N530" s="153"/>
      <c r="O530" s="1"/>
      <c r="P530" s="1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195</v>
      </c>
      <c r="I531" s="148"/>
      <c r="J531" s="148"/>
      <c r="K531" s="148"/>
      <c r="L531" s="148"/>
      <c r="M531" s="148"/>
      <c r="N531" s="148"/>
      <c r="O531" s="1"/>
      <c r="P531" s="1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3906000</v>
      </c>
      <c r="I532" s="148"/>
      <c r="J532" s="148"/>
      <c r="K532" s="148"/>
      <c r="L532" s="148"/>
      <c r="M532" s="148"/>
      <c r="N532" s="148"/>
      <c r="O532" s="1"/>
      <c r="P532" s="1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49</v>
      </c>
      <c r="I533" s="148"/>
      <c r="J533" s="148"/>
      <c r="K533" s="148"/>
      <c r="L533" s="148"/>
      <c r="M533" s="148"/>
      <c r="N533" s="148"/>
      <c r="O533" s="1"/>
      <c r="P533" s="1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369675</v>
      </c>
      <c r="I534" s="148"/>
      <c r="J534" s="148"/>
      <c r="K534" s="148"/>
      <c r="L534" s="148"/>
      <c r="M534" s="148"/>
      <c r="N534" s="148"/>
      <c r="O534" s="1"/>
      <c r="P534" s="1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48"/>
      <c r="N535" s="148"/>
      <c r="O535" s="1"/>
      <c r="P535" s="1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48"/>
      <c r="N536" s="148"/>
      <c r="O536" s="1"/>
      <c r="P536" s="1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48"/>
      <c r="N537" s="148"/>
      <c r="O537" s="1"/>
      <c r="P537" s="1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48"/>
      <c r="N538" s="148"/>
      <c r="O538" s="1"/>
      <c r="P538" s="1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48"/>
      <c r="N539" s="148"/>
      <c r="O539" s="1"/>
      <c r="P539" s="1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48"/>
      <c r="N540" s="148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18"/>
      <c r="N543" s="118"/>
      <c r="O543" s="1"/>
      <c r="P543" s="1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N545" si="13">SUM(H554,H588,H629,H663,H703,H737)</f>
        <v>5100120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78">
        <f t="shared" si="13"/>
        <v>0</v>
      </c>
      <c r="N545" s="178">
        <f t="shared" si="13"/>
        <v>0</v>
      </c>
      <c r="O545" s="1"/>
      <c r="P545" s="1"/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N546" si="14">SUM(H553,H587,H628,H662,H702,H735)</f>
        <v>0</v>
      </c>
      <c r="I546" s="180">
        <f t="shared" si="14"/>
        <v>198000</v>
      </c>
      <c r="J546" s="180">
        <f t="shared" si="14"/>
        <v>268000</v>
      </c>
      <c r="K546" s="180">
        <f t="shared" si="14"/>
        <v>102000</v>
      </c>
      <c r="L546" s="180">
        <f t="shared" si="14"/>
        <v>66000</v>
      </c>
      <c r="M546" s="180">
        <f t="shared" si="14"/>
        <v>482000</v>
      </c>
      <c r="N546" s="180">
        <f t="shared" si="14"/>
        <v>48000</v>
      </c>
      <c r="O546" s="1"/>
      <c r="P546" s="1"/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43"/>
      <c r="N548" s="143"/>
      <c r="O548" s="1"/>
      <c r="P548" s="1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N549" si="15">SUM(H571,H605,H624,H646,H679,H698,H720,H754,H774)</f>
        <v>36000</v>
      </c>
      <c r="I549" s="178">
        <f t="shared" si="15"/>
        <v>39600</v>
      </c>
      <c r="J549" s="178">
        <f t="shared" si="15"/>
        <v>43560</v>
      </c>
      <c r="K549" s="178">
        <f t="shared" si="15"/>
        <v>206316</v>
      </c>
      <c r="L549" s="178">
        <f t="shared" si="15"/>
        <v>151907.6</v>
      </c>
      <c r="M549" s="178">
        <f t="shared" si="15"/>
        <v>266298.36</v>
      </c>
      <c r="N549" s="178">
        <f t="shared" si="15"/>
        <v>195936.196</v>
      </c>
      <c r="O549" s="1"/>
      <c r="P549" s="1"/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81"/>
      <c r="M550" s="18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83"/>
      <c r="N551" s="183"/>
      <c r="O551" s="136"/>
      <c r="P551" s="136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84"/>
      <c r="N552" s="184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N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70">
        <f t="shared" si="16"/>
        <v>0</v>
      </c>
      <c r="N553" s="170">
        <f t="shared" si="16"/>
        <v>0</v>
      </c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N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84" t="str">
        <f t="shared" si="17"/>
        <v/>
      </c>
      <c r="N554" s="184" t="str">
        <f t="shared" si="17"/>
        <v/>
      </c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N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84">
        <f t="shared" si="18"/>
        <v>0</v>
      </c>
      <c r="N555" s="184">
        <f t="shared" si="18"/>
        <v>0</v>
      </c>
      <c r="O555" s="1"/>
      <c r="P555" s="1"/>
      <c r="Q555" s="1"/>
      <c r="R555" s="1"/>
      <c r="S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86"/>
      <c r="N556" s="186"/>
      <c r="O556" s="1"/>
      <c r="P556" s="1"/>
      <c r="Q556" s="1"/>
      <c r="R556" s="1"/>
      <c r="S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N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86">
        <f t="shared" si="19"/>
        <v>1</v>
      </c>
      <c r="N557" s="186">
        <f t="shared" si="19"/>
        <v>0</v>
      </c>
      <c r="O557" s="1"/>
      <c r="P557" s="1"/>
      <c r="Q557" s="1"/>
      <c r="R557" s="1"/>
      <c r="S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N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86">
        <f t="shared" si="20"/>
        <v>0</v>
      </c>
      <c r="N558" s="186">
        <f t="shared" si="20"/>
        <v>1</v>
      </c>
      <c r="O558" s="1"/>
      <c r="P558" s="1"/>
      <c r="Q558" s="1"/>
      <c r="R558" s="1"/>
      <c r="S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N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86">
        <f t="shared" si="21"/>
        <v>1</v>
      </c>
      <c r="N559" s="186">
        <f t="shared" si="21"/>
        <v>0</v>
      </c>
      <c r="O559" s="1"/>
      <c r="P559" s="1"/>
      <c r="Q559" s="1"/>
      <c r="R559" s="1"/>
      <c r="S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N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86">
        <f t="shared" si="22"/>
        <v>0</v>
      </c>
      <c r="N560" s="186">
        <f t="shared" si="22"/>
        <v>1</v>
      </c>
      <c r="O560" s="1"/>
      <c r="P560" s="1"/>
      <c r="Q560" s="1"/>
      <c r="R560" s="1"/>
      <c r="S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N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86">
        <f t="shared" si="23"/>
        <v>1</v>
      </c>
      <c r="N561" s="186">
        <f t="shared" si="23"/>
        <v>0</v>
      </c>
      <c r="O561" s="1"/>
      <c r="P561" s="1"/>
      <c r="Q561" s="1"/>
      <c r="R561" s="1"/>
      <c r="S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N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86">
        <f t="shared" si="24"/>
        <v>2</v>
      </c>
      <c r="N562" s="186">
        <f t="shared" si="24"/>
        <v>1</v>
      </c>
      <c r="O562" s="1"/>
      <c r="P562" s="1"/>
      <c r="Q562" s="1"/>
      <c r="R562" s="1"/>
      <c r="S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N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86">
        <f t="shared" si="25"/>
        <v>0</v>
      </c>
      <c r="N563" s="186">
        <f t="shared" si="25"/>
        <v>2</v>
      </c>
      <c r="O563" s="1"/>
      <c r="P563" s="1"/>
      <c r="Q563" s="1"/>
      <c r="R563" s="1"/>
      <c r="S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N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86">
        <f t="shared" si="26"/>
        <v>0</v>
      </c>
      <c r="N564" s="186">
        <f t="shared" si="26"/>
        <v>0</v>
      </c>
      <c r="O564" s="1"/>
      <c r="P564" s="1"/>
      <c r="Q564" s="1"/>
      <c r="R564" s="1"/>
      <c r="S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N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86">
        <f t="shared" si="27"/>
        <v>0</v>
      </c>
      <c r="N565" s="186">
        <f t="shared" si="27"/>
        <v>0</v>
      </c>
      <c r="O565" s="1"/>
      <c r="P565" s="1"/>
      <c r="Q565" s="1"/>
      <c r="R565" s="1"/>
      <c r="S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N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86">
        <f t="shared" si="28"/>
        <v>0</v>
      </c>
      <c r="N566" s="186">
        <f t="shared" si="28"/>
        <v>0</v>
      </c>
      <c r="O566" s="1"/>
      <c r="P566" s="1"/>
      <c r="Q566" s="1"/>
      <c r="R566" s="1"/>
      <c r="S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N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86">
        <f t="shared" si="29"/>
        <v>0</v>
      </c>
      <c r="N567" s="186">
        <f t="shared" si="29"/>
        <v>0</v>
      </c>
      <c r="O567" s="1"/>
      <c r="P567" s="1"/>
      <c r="Q567" s="1"/>
      <c r="R567" s="1"/>
      <c r="S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N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86">
        <f t="shared" si="30"/>
        <v>0</v>
      </c>
      <c r="N568" s="186">
        <f t="shared" si="30"/>
        <v>0</v>
      </c>
      <c r="O568" s="1"/>
      <c r="P568" s="1"/>
      <c r="Q568" s="1"/>
      <c r="R568" s="1"/>
      <c r="S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86"/>
      <c r="N569" s="186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55">
        <v>0.8</v>
      </c>
      <c r="N570" s="155">
        <v>0.8</v>
      </c>
      <c r="O570" s="1"/>
      <c r="P570" s="1"/>
      <c r="Q570" s="1"/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N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84">
        <f t="shared" si="31"/>
        <v>0</v>
      </c>
      <c r="N571" s="184">
        <f t="shared" si="31"/>
        <v>0</v>
      </c>
      <c r="O571" s="1"/>
      <c r="P571" s="1"/>
      <c r="Q571" s="1"/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N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84">
        <f t="shared" si="32"/>
        <v>0</v>
      </c>
      <c r="N572" s="184">
        <f t="shared" si="32"/>
        <v>0</v>
      </c>
      <c r="O572" s="1"/>
      <c r="P572" s="1"/>
      <c r="Q572" s="1"/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N573" si="33">IF(COLUMN() &lt; (COLUMN($H$573) + (ROW()-ROW($H$573))), 0, IF(COLUMN() = (COLUMN($H$573) + (ROW()-ROW($H$573))), INDEX($H$555:$N$555,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86">
        <f t="shared" si="33"/>
        <v>0</v>
      </c>
      <c r="N573" s="186">
        <f t="shared" si="33"/>
        <v>0</v>
      </c>
      <c r="O573" s="1"/>
      <c r="P573" s="1"/>
      <c r="Q573" s="1"/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N574" si="34">IF(COLUMN() &lt; (COLUMN($H$573) + (ROW()-ROW($H$573))), 0, IF(COLUMN() = (COLUMN($H$573) + (ROW()-ROW($H$573))), INDEX($H$555:$N$555,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86">
        <f t="shared" si="34"/>
        <v>0</v>
      </c>
      <c r="N574" s="186">
        <f t="shared" si="34"/>
        <v>0</v>
      </c>
      <c r="O574" s="1"/>
      <c r="P574" s="1"/>
      <c r="Q574" s="1"/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N575" si="35">IF(COLUMN() &lt; (COLUMN($H$573) + (ROW()-ROW($H$573))), 0, IF(COLUMN() = (COLUMN($H$573) + (ROW()-ROW($H$573))), INDEX($H$555:$N$555,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86">
        <f t="shared" si="35"/>
        <v>0</v>
      </c>
      <c r="N575" s="186">
        <f t="shared" si="35"/>
        <v>0</v>
      </c>
      <c r="O575" s="1"/>
      <c r="P575" s="1"/>
      <c r="Q575" s="1"/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N576" si="36">IF(COLUMN() &lt; (COLUMN($H$573) + (ROW()-ROW($H$573))), 0, IF(COLUMN() = (COLUMN($H$573) + (ROW()-ROW($H$573))), INDEX($H$555:$N$555,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86">
        <f t="shared" si="36"/>
        <v>0</v>
      </c>
      <c r="N576" s="186">
        <f t="shared" si="36"/>
        <v>0</v>
      </c>
      <c r="O576" s="1"/>
      <c r="P576" s="1"/>
      <c r="Q576" s="1"/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N577" si="37">IF(COLUMN() &lt; (COLUMN($H$573) + (ROW()-ROW($H$573))), 0, IF(COLUMN() = (COLUMN($H$573) + (ROW()-ROW($H$573))), INDEX($H$555:$N$555,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86">
        <f t="shared" si="37"/>
        <v>0</v>
      </c>
      <c r="N577" s="186">
        <f t="shared" si="37"/>
        <v>0</v>
      </c>
      <c r="O577" s="1"/>
      <c r="P577" s="1"/>
      <c r="Q577" s="1"/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N578" si="38">IF(COLUMN() &lt; (COLUMN($H$573) + (ROW()-ROW($H$573))), 0, IF(COLUMN() = (COLUMN($H$573) + (ROW()-ROW($H$573))), INDEX($H$555:$N$555,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86">
        <f t="shared" si="38"/>
        <v>0</v>
      </c>
      <c r="N578" s="186">
        <f t="shared" si="38"/>
        <v>0</v>
      </c>
      <c r="O578" s="1"/>
      <c r="P578" s="1"/>
      <c r="Q578" s="1"/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N579" si="39">IF(COLUMN() &lt; (COLUMN($H$573) + (ROW()-ROW($H$573))), 0, IF(COLUMN() = (COLUMN($H$573) + (ROW()-ROW($H$573))), INDEX($H$555:$N$555,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86">
        <f t="shared" si="39"/>
        <v>0</v>
      </c>
      <c r="N579" s="186">
        <f t="shared" si="39"/>
        <v>0</v>
      </c>
      <c r="O579" s="1"/>
      <c r="P579" s="1"/>
      <c r="Q579" s="1"/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N580" si="40">IF(COLUMN() &lt; (COLUMN($H$573) + (ROW()-ROW($H$573))), 0, IF(COLUMN() = (COLUMN($H$573) + (ROW()-ROW($H$573))), INDEX($H$555:$N$555,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86">
        <f t="shared" si="40"/>
        <v>0</v>
      </c>
      <c r="N580" s="186">
        <f t="shared" si="40"/>
        <v>0</v>
      </c>
      <c r="O580" s="1"/>
      <c r="P580" s="1"/>
      <c r="Q580" s="1"/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N581" si="41">IF(COLUMN() &lt; (COLUMN($H$573) + (ROW()-ROW($H$573))), 0, IF(COLUMN() = (COLUMN($H$573) + (ROW()-ROW($H$573))), INDEX($H$555:$N$555,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86">
        <f t="shared" si="41"/>
        <v>0</v>
      </c>
      <c r="N581" s="186">
        <f t="shared" si="41"/>
        <v>0</v>
      </c>
      <c r="O581" s="1"/>
      <c r="P581" s="1"/>
      <c r="Q581" s="1"/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N582" si="42">IF(COLUMN() &lt; (COLUMN($H$573) + (ROW()-ROW($H$573))), 0, IF(COLUMN() = (COLUMN($H$573) + (ROW()-ROW($H$573))), INDEX($H$555:$N$555,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86">
        <f t="shared" si="42"/>
        <v>0</v>
      </c>
      <c r="N582" s="186">
        <f t="shared" si="42"/>
        <v>0</v>
      </c>
      <c r="O582" s="1"/>
      <c r="P582" s="1"/>
      <c r="Q582" s="1"/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N583" si="43">IF(COLUMN() &lt; (COLUMN($H$573) + (ROW()-ROW($H$573))), 0, IF(COLUMN() = (COLUMN($H$573) + (ROW()-ROW($H$573))), INDEX($H$555:$N$555,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86">
        <f t="shared" si="43"/>
        <v>0</v>
      </c>
      <c r="N583" s="186">
        <f t="shared" si="43"/>
        <v>0</v>
      </c>
      <c r="O583" s="1"/>
      <c r="P583" s="1"/>
      <c r="Q583" s="1"/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N584" si="44">IF(COLUMN() &lt; (COLUMN($H$573) + (ROW()-ROW($H$573))), 0, IF(COLUMN() = (COLUMN($H$573) + (ROW()-ROW($H$573))), INDEX($H$555:$N$555,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86">
        <f t="shared" si="44"/>
        <v>0</v>
      </c>
      <c r="N584" s="186">
        <f t="shared" si="44"/>
        <v>0</v>
      </c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55"/>
      <c r="N585" s="155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84"/>
      <c r="N586" s="184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N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70">
        <f t="shared" si="45"/>
        <v>0</v>
      </c>
      <c r="N587" s="170">
        <f t="shared" si="45"/>
        <v>0</v>
      </c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N588" si="46">H434</f>
        <v>943950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84" t="str">
        <f t="shared" si="46"/>
        <v/>
      </c>
      <c r="N588" s="184" t="str">
        <f t="shared" si="46"/>
        <v/>
      </c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N589" si="47">SUM(H587:H588)</f>
        <v>943950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84">
        <f t="shared" si="47"/>
        <v>0</v>
      </c>
      <c r="N589" s="184">
        <f t="shared" si="47"/>
        <v>0</v>
      </c>
      <c r="O589" s="1"/>
      <c r="P589" s="1"/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86"/>
      <c r="N590" s="186"/>
      <c r="O590" s="1"/>
      <c r="P590" s="1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N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86">
        <f t="shared" si="48"/>
        <v>5</v>
      </c>
      <c r="N591" s="186">
        <f t="shared" si="48"/>
        <v>4</v>
      </c>
      <c r="O591" s="1"/>
      <c r="P591" s="1"/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N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86">
        <f t="shared" si="49"/>
        <v>6</v>
      </c>
      <c r="N592" s="186">
        <f t="shared" si="49"/>
        <v>5</v>
      </c>
      <c r="O592" s="1"/>
      <c r="P592" s="1"/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N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86">
        <f t="shared" si="50"/>
        <v>7</v>
      </c>
      <c r="N593" s="186">
        <f t="shared" si="50"/>
        <v>6</v>
      </c>
      <c r="O593" s="1"/>
      <c r="P593" s="1"/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N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86">
        <f t="shared" si="51"/>
        <v>8</v>
      </c>
      <c r="N594" s="186">
        <f t="shared" si="51"/>
        <v>7</v>
      </c>
      <c r="O594" s="1"/>
      <c r="P594" s="1"/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N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86">
        <f t="shared" si="52"/>
        <v>9</v>
      </c>
      <c r="N595" s="186">
        <f t="shared" si="52"/>
        <v>8</v>
      </c>
      <c r="O595" s="1"/>
      <c r="P595" s="1"/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N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86">
        <f t="shared" si="53"/>
        <v>10</v>
      </c>
      <c r="N596" s="186">
        <f t="shared" si="53"/>
        <v>9</v>
      </c>
      <c r="O596" s="1"/>
      <c r="P596" s="1"/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N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86">
        <f t="shared" si="54"/>
        <v>0</v>
      </c>
      <c r="N597" s="186">
        <f t="shared" si="54"/>
        <v>10</v>
      </c>
      <c r="O597" s="1"/>
      <c r="P597" s="1"/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N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86">
        <f t="shared" si="55"/>
        <v>0</v>
      </c>
      <c r="N598" s="186">
        <f t="shared" si="55"/>
        <v>0</v>
      </c>
      <c r="O598" s="1"/>
      <c r="P598" s="1"/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N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86">
        <f t="shared" si="56"/>
        <v>0</v>
      </c>
      <c r="N599" s="186">
        <f t="shared" si="56"/>
        <v>0</v>
      </c>
      <c r="O599" s="1"/>
      <c r="P599" s="1"/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N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86">
        <f t="shared" si="57"/>
        <v>0</v>
      </c>
      <c r="N600" s="186">
        <f t="shared" si="57"/>
        <v>0</v>
      </c>
      <c r="O600" s="1"/>
      <c r="P600" s="1"/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N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86">
        <f t="shared" si="58"/>
        <v>0</v>
      </c>
      <c r="N601" s="186">
        <f t="shared" si="58"/>
        <v>0</v>
      </c>
      <c r="O601" s="1"/>
      <c r="P601" s="1"/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N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86">
        <f t="shared" si="59"/>
        <v>0</v>
      </c>
      <c r="N602" s="186">
        <f t="shared" si="59"/>
        <v>0</v>
      </c>
      <c r="O602" s="1"/>
      <c r="P602" s="1"/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86"/>
      <c r="N603" s="186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55"/>
      <c r="N604" s="155"/>
      <c r="O604" s="1"/>
      <c r="P604" s="1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N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84">
        <f t="shared" si="60"/>
        <v>0</v>
      </c>
      <c r="N605" s="184">
        <f t="shared" si="60"/>
        <v>0</v>
      </c>
      <c r="O605" s="1"/>
      <c r="P605" s="1"/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N606" si="61">SUM(H607:H618)</f>
        <v>943950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84">
        <f t="shared" si="61"/>
        <v>0</v>
      </c>
      <c r="N606" s="184">
        <f t="shared" si="61"/>
        <v>0</v>
      </c>
      <c r="O606" s="1"/>
      <c r="P606" s="1"/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N607" si="62">IF(COLUMN() &lt; (COLUMN($H$607) + (ROW()-ROW($H$607))), 0, IF(COLUMN() = (COLUMN($H$607) + (ROW()-ROW($H$607))), INDEX($H$589:$N$589, 1, COLUMN()-COLUMN($H$589)+1), IF(H591=0, OFFSET(H607, 0, -$H$590) * $H$604, 0)))</f>
        <v>943950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86">
        <f t="shared" si="62"/>
        <v>0</v>
      </c>
      <c r="N607" s="186">
        <f t="shared" si="62"/>
        <v>0</v>
      </c>
      <c r="O607" s="1"/>
      <c r="P607" s="1"/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N608" si="63">IF(COLUMN() &lt; (COLUMN($H$607) + (ROW()-ROW($H$607))), 0, IF(COLUMN() = (COLUMN($H$607) + (ROW()-ROW($H$607))), INDEX($H$589:$N$589,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86">
        <f t="shared" si="63"/>
        <v>0</v>
      </c>
      <c r="N608" s="186">
        <f t="shared" si="63"/>
        <v>0</v>
      </c>
      <c r="O608" s="1"/>
      <c r="P608" s="1"/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N609" si="64">IF(COLUMN() &lt; (COLUMN($H$607) + (ROW()-ROW($H$607))), 0, IF(COLUMN() = (COLUMN($H$607) + (ROW()-ROW($H$607))), INDEX($H$589:$N$589,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86">
        <f t="shared" si="64"/>
        <v>0</v>
      </c>
      <c r="N609" s="186">
        <f t="shared" si="64"/>
        <v>0</v>
      </c>
      <c r="O609" s="1"/>
      <c r="P609" s="1"/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N610" si="65">IF(COLUMN() &lt; (COLUMN($H$607) + (ROW()-ROW($H$607))), 0, IF(COLUMN() = (COLUMN($H$607) + (ROW()-ROW($H$607))), INDEX($H$589:$N$589,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86">
        <f t="shared" si="65"/>
        <v>0</v>
      </c>
      <c r="N610" s="186">
        <f t="shared" si="65"/>
        <v>0</v>
      </c>
      <c r="O610" s="1"/>
      <c r="P610" s="1"/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N611" si="66">IF(COLUMN() &lt; (COLUMN($H$607) + (ROW()-ROW($H$607))), 0, IF(COLUMN() = (COLUMN($H$607) + (ROW()-ROW($H$607))), INDEX($H$589:$N$589,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86">
        <f t="shared" si="66"/>
        <v>0</v>
      </c>
      <c r="N611" s="186">
        <f t="shared" si="66"/>
        <v>0</v>
      </c>
      <c r="O611" s="1"/>
      <c r="P611" s="1"/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N612" si="67">IF(COLUMN() &lt; (COLUMN($H$607) + (ROW()-ROW($H$607))), 0, IF(COLUMN() = (COLUMN($H$607) + (ROW()-ROW($H$607))), INDEX($H$589:$N$589,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86">
        <f t="shared" si="67"/>
        <v>0</v>
      </c>
      <c r="N612" s="186">
        <f t="shared" si="67"/>
        <v>0</v>
      </c>
      <c r="O612" s="1"/>
      <c r="P612" s="1"/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N613" si="68">IF(COLUMN() &lt; (COLUMN($H$607) + (ROW()-ROW($H$607))), 0, IF(COLUMN() = (COLUMN($H$607) + (ROW()-ROW($H$607))), INDEX($H$589:$N$589,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86">
        <f t="shared" si="68"/>
        <v>0</v>
      </c>
      <c r="N613" s="186">
        <f t="shared" si="68"/>
        <v>0</v>
      </c>
      <c r="O613" s="1"/>
      <c r="P613" s="1"/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N614" si="69">IF(COLUMN() &lt; (COLUMN($H$607) + (ROW()-ROW($H$607))), 0, IF(COLUMN() = (COLUMN($H$607) + (ROW()-ROW($H$607))), INDEX($H$589:$N$589,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86">
        <f t="shared" si="69"/>
        <v>0</v>
      </c>
      <c r="N614" s="186">
        <f t="shared" si="69"/>
        <v>0</v>
      </c>
      <c r="O614" s="1"/>
      <c r="P614" s="1"/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N615" si="70">IF(COLUMN() &lt; (COLUMN($H$607) + (ROW()-ROW($H$607))), 0, IF(COLUMN() = (COLUMN($H$607) + (ROW()-ROW($H$607))), INDEX($H$589:$N$589,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86">
        <f t="shared" si="70"/>
        <v>0</v>
      </c>
      <c r="N615" s="186">
        <f t="shared" si="70"/>
        <v>0</v>
      </c>
      <c r="O615" s="1"/>
      <c r="P615" s="1"/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N616" si="71">IF(COLUMN() &lt; (COLUMN($H$607) + (ROW()-ROW($H$607))), 0, IF(COLUMN() = (COLUMN($H$607) + (ROW()-ROW($H$607))), INDEX($H$589:$N$589,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86">
        <f t="shared" si="71"/>
        <v>0</v>
      </c>
      <c r="N616" s="186">
        <f t="shared" si="71"/>
        <v>0</v>
      </c>
      <c r="O616" s="1"/>
      <c r="P616" s="1"/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N617" si="72">IF(COLUMN() &lt; (COLUMN($H$607) + (ROW()-ROW($H$607))), 0, IF(COLUMN() = (COLUMN($H$607) + (ROW()-ROW($H$607))), INDEX($H$589:$N$589,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86">
        <f t="shared" si="72"/>
        <v>0</v>
      </c>
      <c r="N617" s="186">
        <f t="shared" si="72"/>
        <v>0</v>
      </c>
      <c r="O617" s="1"/>
      <c r="P617" s="1"/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N618" si="73">IF(COLUMN() &lt; (COLUMN($H$607) + (ROW()-ROW($H$607))), 0, IF(COLUMN() = (COLUMN($H$607) + (ROW()-ROW($H$607))), INDEX($H$589:$N$589,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86">
        <f t="shared" si="73"/>
        <v>0</v>
      </c>
      <c r="N618" s="186">
        <f t="shared" si="73"/>
        <v>0</v>
      </c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55"/>
      <c r="N619" s="155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84"/>
      <c r="N620" s="184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N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86">
        <f t="shared" si="74"/>
        <v>3</v>
      </c>
      <c r="N621" s="186">
        <f t="shared" si="74"/>
        <v>3</v>
      </c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N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84">
        <f t="shared" si="75"/>
        <v>7247.295</v>
      </c>
      <c r="N622" s="184">
        <f t="shared" si="75"/>
        <v>7972.0245</v>
      </c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55">
        <v>1.1</v>
      </c>
      <c r="N623" s="155">
        <v>1.1</v>
      </c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N624" si="76">H621*H622</f>
        <v>13500</v>
      </c>
      <c r="I624" s="184">
        <f t="shared" si="76"/>
        <v>14850</v>
      </c>
      <c r="J624" s="184">
        <f t="shared" si="76"/>
        <v>16335</v>
      </c>
      <c r="K624" s="184">
        <f t="shared" si="76"/>
        <v>17968.5</v>
      </c>
      <c r="L624" s="184">
        <f t="shared" si="76"/>
        <v>19765.35</v>
      </c>
      <c r="M624" s="184">
        <f t="shared" si="76"/>
        <v>21741.885</v>
      </c>
      <c r="N624" s="184">
        <f t="shared" si="76"/>
        <v>23916.0735</v>
      </c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63"/>
      <c r="N625" s="163"/>
      <c r="O625" s="1"/>
      <c r="P625" s="1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83"/>
      <c r="N626" s="183"/>
      <c r="O626" s="136"/>
      <c r="P626" s="136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84"/>
      <c r="N627" s="184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N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16000</v>
      </c>
      <c r="K628" s="178">
        <f t="shared" si="77"/>
        <v>0</v>
      </c>
      <c r="L628" s="178">
        <f t="shared" si="77"/>
        <v>0</v>
      </c>
      <c r="M628" s="178">
        <f t="shared" si="77"/>
        <v>56000</v>
      </c>
      <c r="N628" s="178">
        <f t="shared" si="77"/>
        <v>0</v>
      </c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N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84" t="str">
        <f t="shared" si="78"/>
        <v/>
      </c>
      <c r="N629" s="184" t="str">
        <f t="shared" si="78"/>
        <v/>
      </c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N630" si="79">SUM(H628:H629)</f>
        <v>0</v>
      </c>
      <c r="I630" s="184">
        <f t="shared" si="79"/>
        <v>0</v>
      </c>
      <c r="J630" s="184">
        <f t="shared" si="79"/>
        <v>16000</v>
      </c>
      <c r="K630" s="184">
        <f t="shared" si="79"/>
        <v>0</v>
      </c>
      <c r="L630" s="184">
        <f t="shared" si="79"/>
        <v>0</v>
      </c>
      <c r="M630" s="184">
        <f t="shared" si="79"/>
        <v>56000</v>
      </c>
      <c r="N630" s="184">
        <f t="shared" si="79"/>
        <v>0</v>
      </c>
      <c r="O630" s="1"/>
      <c r="P630" s="1"/>
      <c r="Q630" s="1"/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86"/>
      <c r="N631" s="186"/>
      <c r="O631" s="1"/>
      <c r="P631" s="1"/>
      <c r="Q631" s="1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N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86">
        <f t="shared" si="80"/>
        <v>1</v>
      </c>
      <c r="N632" s="186">
        <f t="shared" si="80"/>
        <v>0</v>
      </c>
      <c r="O632" s="1"/>
      <c r="P632" s="1"/>
      <c r="Q632" s="1"/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N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86">
        <f t="shared" si="81"/>
        <v>0</v>
      </c>
      <c r="N633" s="186">
        <f t="shared" si="81"/>
        <v>1</v>
      </c>
      <c r="O633" s="1"/>
      <c r="P633" s="1"/>
      <c r="Q633" s="1"/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N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86">
        <f t="shared" si="82"/>
        <v>1</v>
      </c>
      <c r="N634" s="186">
        <f t="shared" si="82"/>
        <v>0</v>
      </c>
      <c r="O634" s="1"/>
      <c r="P634" s="1"/>
      <c r="Q634" s="1"/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N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86">
        <f t="shared" si="83"/>
        <v>0</v>
      </c>
      <c r="N635" s="186">
        <f t="shared" si="83"/>
        <v>1</v>
      </c>
      <c r="O635" s="1"/>
      <c r="P635" s="1"/>
      <c r="Q635" s="1"/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N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86">
        <f t="shared" si="84"/>
        <v>1</v>
      </c>
      <c r="N636" s="186">
        <f t="shared" si="84"/>
        <v>0</v>
      </c>
      <c r="O636" s="1"/>
      <c r="P636" s="1"/>
      <c r="Q636" s="1"/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N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86">
        <f t="shared" si="85"/>
        <v>2</v>
      </c>
      <c r="N637" s="186">
        <f t="shared" si="85"/>
        <v>1</v>
      </c>
      <c r="O637" s="1"/>
      <c r="P637" s="1"/>
      <c r="Q637" s="1"/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N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86">
        <f t="shared" si="86"/>
        <v>0</v>
      </c>
      <c r="N638" s="186">
        <f t="shared" si="86"/>
        <v>2</v>
      </c>
      <c r="O638" s="1"/>
      <c r="P638" s="1"/>
      <c r="Q638" s="1"/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N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86">
        <f t="shared" si="87"/>
        <v>0</v>
      </c>
      <c r="N639" s="186">
        <f t="shared" si="87"/>
        <v>0</v>
      </c>
      <c r="O639" s="1"/>
      <c r="P639" s="1"/>
      <c r="Q639" s="1"/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N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86">
        <f t="shared" si="88"/>
        <v>0</v>
      </c>
      <c r="N640" s="186">
        <f t="shared" si="88"/>
        <v>0</v>
      </c>
      <c r="O640" s="1"/>
      <c r="P640" s="1"/>
      <c r="Q640" s="1"/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N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86">
        <f t="shared" si="89"/>
        <v>0</v>
      </c>
      <c r="N641" s="186">
        <f t="shared" si="89"/>
        <v>0</v>
      </c>
      <c r="O641" s="1"/>
      <c r="P641" s="1"/>
      <c r="Q641" s="1"/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N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86">
        <f t="shared" si="90"/>
        <v>0</v>
      </c>
      <c r="N642" s="186">
        <f t="shared" si="90"/>
        <v>0</v>
      </c>
      <c r="O642" s="1"/>
      <c r="P642" s="1"/>
      <c r="Q642" s="1"/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N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86">
        <f t="shared" si="91"/>
        <v>0</v>
      </c>
      <c r="N643" s="186">
        <f t="shared" si="91"/>
        <v>0</v>
      </c>
      <c r="O643" s="1"/>
      <c r="P643" s="1"/>
      <c r="Q643" s="1"/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86"/>
      <c r="N644" s="186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55">
        <v>0.8</v>
      </c>
      <c r="N645" s="155">
        <v>0.8</v>
      </c>
      <c r="O645" s="1"/>
      <c r="P645" s="1"/>
      <c r="Q645" s="1"/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N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12800</v>
      </c>
      <c r="M646" s="184">
        <f t="shared" si="92"/>
        <v>0</v>
      </c>
      <c r="N646" s="184">
        <f t="shared" si="92"/>
        <v>10240</v>
      </c>
      <c r="O646" s="1"/>
      <c r="P646" s="1"/>
      <c r="Q646" s="1"/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N647" si="93">SUM(H648:H659)</f>
        <v>0</v>
      </c>
      <c r="I647" s="184">
        <f t="shared" si="93"/>
        <v>0</v>
      </c>
      <c r="J647" s="184">
        <f t="shared" si="93"/>
        <v>16000</v>
      </c>
      <c r="K647" s="184">
        <f t="shared" si="93"/>
        <v>0</v>
      </c>
      <c r="L647" s="184">
        <f t="shared" si="93"/>
        <v>12800</v>
      </c>
      <c r="M647" s="184">
        <f t="shared" si="93"/>
        <v>56000</v>
      </c>
      <c r="N647" s="184">
        <f t="shared" si="93"/>
        <v>10240</v>
      </c>
      <c r="O647" s="1"/>
      <c r="P647" s="1"/>
      <c r="Q647" s="1"/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N648" si="94">IF(COLUMN() &lt; (COLUMN($H$648) + (ROW()-ROW($H$648))), 0, IF(COLUMN() = (COLUMN($H$648) + (ROW()-ROW($H$648))), INDEX($H$630:$N$630,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86">
        <f t="shared" si="94"/>
        <v>0</v>
      </c>
      <c r="N648" s="186">
        <f t="shared" si="94"/>
        <v>0</v>
      </c>
      <c r="O648" s="1"/>
      <c r="P648" s="1"/>
      <c r="Q648" s="1"/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N649" si="95">IF(COLUMN() &lt; (COLUMN($H$648) + (ROW()-ROW($H$648))), 0, IF(COLUMN() = (COLUMN($H$648) + (ROW()-ROW($H$648))), INDEX($H$630:$N$630,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86">
        <f t="shared" si="95"/>
        <v>0</v>
      </c>
      <c r="N649" s="186">
        <f t="shared" si="95"/>
        <v>0</v>
      </c>
      <c r="O649" s="1"/>
      <c r="P649" s="1"/>
      <c r="Q649" s="1"/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N650" si="96">IF(COLUMN() &lt; (COLUMN($H$648) + (ROW()-ROW($H$648))), 0, IF(COLUMN() = (COLUMN($H$648) + (ROW()-ROW($H$648))), INDEX($H$630:$N$630, 1, COLUMN()-COLUMN($H$630)+1), IF(H634=0, OFFSET(H650, 0, -$H$631) * $H$645, 0)))</f>
        <v>0</v>
      </c>
      <c r="I650" s="186">
        <f t="shared" si="96"/>
        <v>0</v>
      </c>
      <c r="J650" s="186">
        <f t="shared" si="96"/>
        <v>16000</v>
      </c>
      <c r="K650" s="186">
        <f t="shared" si="96"/>
        <v>0</v>
      </c>
      <c r="L650" s="186">
        <f t="shared" si="96"/>
        <v>12800</v>
      </c>
      <c r="M650" s="186">
        <f t="shared" si="96"/>
        <v>0</v>
      </c>
      <c r="N650" s="186">
        <f t="shared" si="96"/>
        <v>10240</v>
      </c>
      <c r="O650" s="1"/>
      <c r="P650" s="1"/>
      <c r="Q650" s="1"/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N651" si="97">IF(COLUMN() &lt; (COLUMN($H$648) + (ROW()-ROW($H$648))), 0, IF(COLUMN() = (COLUMN($H$648) + (ROW()-ROW($H$648))), INDEX($H$630:$N$630,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86">
        <f t="shared" si="97"/>
        <v>0</v>
      </c>
      <c r="N651" s="186">
        <f t="shared" si="97"/>
        <v>0</v>
      </c>
      <c r="O651" s="1"/>
      <c r="P651" s="1"/>
      <c r="Q651" s="1"/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N652" si="98">IF(COLUMN() &lt; (COLUMN($H$648) + (ROW()-ROW($H$648))), 0, IF(COLUMN() = (COLUMN($H$648) + (ROW()-ROW($H$648))), INDEX($H$630:$N$630,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86">
        <f t="shared" si="98"/>
        <v>0</v>
      </c>
      <c r="N652" s="186">
        <f t="shared" si="98"/>
        <v>0</v>
      </c>
      <c r="O652" s="1"/>
      <c r="P652" s="1"/>
      <c r="Q652" s="1"/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N653" si="99">IF(COLUMN() &lt; (COLUMN($H$648) + (ROW()-ROW($H$648))), 0, IF(COLUMN() = (COLUMN($H$648) + (ROW()-ROW($H$648))), INDEX($H$630:$N$630,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86">
        <f t="shared" si="99"/>
        <v>56000</v>
      </c>
      <c r="N653" s="186">
        <f t="shared" si="99"/>
        <v>0</v>
      </c>
      <c r="O653" s="1"/>
      <c r="P653" s="1"/>
      <c r="Q653" s="1"/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N654" si="100">IF(COLUMN() &lt; (COLUMN($H$648) + (ROW()-ROW($H$648))), 0, IF(COLUMN() = (COLUMN($H$648) + (ROW()-ROW($H$648))), INDEX($H$630:$N$630,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86">
        <f t="shared" si="100"/>
        <v>0</v>
      </c>
      <c r="N654" s="186">
        <f t="shared" si="100"/>
        <v>0</v>
      </c>
      <c r="O654" s="1"/>
      <c r="P654" s="1"/>
      <c r="Q654" s="1"/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N655" si="101">IF(COLUMN() &lt; (COLUMN($H$648) + (ROW()-ROW($H$648))), 0, IF(COLUMN() = (COLUMN($H$648) + (ROW()-ROW($H$648))), INDEX($H$630:$N$630,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86">
        <f t="shared" si="101"/>
        <v>0</v>
      </c>
      <c r="N655" s="186">
        <f t="shared" si="101"/>
        <v>0</v>
      </c>
      <c r="O655" s="1"/>
      <c r="P655" s="1"/>
      <c r="Q655" s="1"/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N656" si="102">IF(COLUMN() &lt; (COLUMN($H$648) + (ROW()-ROW($H$648))), 0, IF(COLUMN() = (COLUMN($H$648) + (ROW()-ROW($H$648))), INDEX($H$630:$N$630,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86">
        <f t="shared" si="102"/>
        <v>0</v>
      </c>
      <c r="N656" s="186">
        <f t="shared" si="102"/>
        <v>0</v>
      </c>
      <c r="O656" s="1"/>
      <c r="P656" s="1"/>
      <c r="Q656" s="1"/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N657" si="103">IF(COLUMN() &lt; (COLUMN($H$648) + (ROW()-ROW($H$648))), 0, IF(COLUMN() = (COLUMN($H$648) + (ROW()-ROW($H$648))), INDEX($H$630:$N$630,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86">
        <f t="shared" si="103"/>
        <v>0</v>
      </c>
      <c r="N657" s="186">
        <f t="shared" si="103"/>
        <v>0</v>
      </c>
      <c r="O657" s="1"/>
      <c r="P657" s="1"/>
      <c r="Q657" s="1"/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N658" si="104">IF(COLUMN() &lt; (COLUMN($H$648) + (ROW()-ROW($H$648))), 0, IF(COLUMN() = (COLUMN($H$648) + (ROW()-ROW($H$648))), INDEX($H$630:$N$630,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86">
        <f t="shared" si="104"/>
        <v>0</v>
      </c>
      <c r="N658" s="186">
        <f t="shared" si="104"/>
        <v>0</v>
      </c>
      <c r="O658" s="1"/>
      <c r="P658" s="1"/>
      <c r="Q658" s="1"/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N659" si="105">IF(COLUMN() &lt; (COLUMN($H$648) + (ROW()-ROW($H$648))), 0, IF(COLUMN() = (COLUMN($H$648) + (ROW()-ROW($H$648))), INDEX($H$630:$N$630,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86">
        <f t="shared" si="105"/>
        <v>0</v>
      </c>
      <c r="N659" s="186">
        <f t="shared" si="105"/>
        <v>0</v>
      </c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55"/>
      <c r="N660" s="155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84"/>
      <c r="N661" s="184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N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144000</v>
      </c>
      <c r="K662" s="178">
        <f t="shared" si="106"/>
        <v>0</v>
      </c>
      <c r="L662" s="178">
        <f t="shared" si="106"/>
        <v>0</v>
      </c>
      <c r="M662" s="178">
        <f t="shared" si="106"/>
        <v>360000</v>
      </c>
      <c r="N662" s="178">
        <f t="shared" si="106"/>
        <v>0</v>
      </c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N663" si="107">H460</f>
        <v>920700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84" t="str">
        <f t="shared" si="107"/>
        <v/>
      </c>
      <c r="N663" s="184" t="str">
        <f t="shared" si="107"/>
        <v/>
      </c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N664" si="108">SUM(H662:H663)</f>
        <v>920700</v>
      </c>
      <c r="I664" s="184">
        <f t="shared" si="108"/>
        <v>0</v>
      </c>
      <c r="J664" s="184">
        <f t="shared" si="108"/>
        <v>144000</v>
      </c>
      <c r="K664" s="184">
        <f t="shared" si="108"/>
        <v>0</v>
      </c>
      <c r="L664" s="184">
        <f t="shared" si="108"/>
        <v>0</v>
      </c>
      <c r="M664" s="184">
        <f t="shared" si="108"/>
        <v>360000</v>
      </c>
      <c r="N664" s="184">
        <f t="shared" si="108"/>
        <v>0</v>
      </c>
      <c r="O664" s="1"/>
      <c r="P664" s="1"/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86"/>
      <c r="N665" s="186"/>
      <c r="O665" s="1"/>
      <c r="P665" s="1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N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86">
        <f t="shared" si="109"/>
        <v>4</v>
      </c>
      <c r="N666" s="186">
        <f t="shared" si="109"/>
        <v>3</v>
      </c>
      <c r="O666" s="1"/>
      <c r="P666" s="1"/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N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86">
        <f t="shared" si="110"/>
        <v>5</v>
      </c>
      <c r="N667" s="186">
        <f t="shared" si="110"/>
        <v>4</v>
      </c>
      <c r="O667" s="1"/>
      <c r="P667" s="1"/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N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86">
        <f t="shared" si="111"/>
        <v>6</v>
      </c>
      <c r="N668" s="186">
        <f t="shared" si="111"/>
        <v>5</v>
      </c>
      <c r="O668" s="1"/>
      <c r="P668" s="1"/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N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86">
        <f t="shared" si="112"/>
        <v>7</v>
      </c>
      <c r="N669" s="186">
        <f t="shared" si="112"/>
        <v>6</v>
      </c>
      <c r="O669" s="1"/>
      <c r="P669" s="1"/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N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86">
        <f t="shared" si="113"/>
        <v>8</v>
      </c>
      <c r="N670" s="186">
        <f t="shared" si="113"/>
        <v>7</v>
      </c>
      <c r="O670" s="1"/>
      <c r="P670" s="1"/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N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86">
        <f t="shared" si="114"/>
        <v>9</v>
      </c>
      <c r="N671" s="186">
        <f t="shared" si="114"/>
        <v>8</v>
      </c>
      <c r="O671" s="1"/>
      <c r="P671" s="1"/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N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86">
        <f t="shared" si="115"/>
        <v>0</v>
      </c>
      <c r="N672" s="186">
        <f t="shared" si="115"/>
        <v>9</v>
      </c>
      <c r="O672" s="1"/>
      <c r="P672" s="1"/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N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86">
        <f t="shared" si="116"/>
        <v>0</v>
      </c>
      <c r="N673" s="186">
        <f t="shared" si="116"/>
        <v>0</v>
      </c>
      <c r="O673" s="1"/>
      <c r="P673" s="1"/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N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86">
        <f t="shared" si="117"/>
        <v>0</v>
      </c>
      <c r="N674" s="186">
        <f t="shared" si="117"/>
        <v>0</v>
      </c>
      <c r="O674" s="1"/>
      <c r="P674" s="1"/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N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86">
        <f t="shared" si="118"/>
        <v>0</v>
      </c>
      <c r="N675" s="186">
        <f t="shared" si="118"/>
        <v>0</v>
      </c>
      <c r="O675" s="1"/>
      <c r="P675" s="1"/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N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86">
        <f t="shared" si="119"/>
        <v>0</v>
      </c>
      <c r="N676" s="186">
        <f t="shared" si="119"/>
        <v>0</v>
      </c>
      <c r="O676" s="1"/>
      <c r="P676" s="1"/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N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86">
        <f t="shared" si="120"/>
        <v>0</v>
      </c>
      <c r="N677" s="186">
        <f t="shared" si="120"/>
        <v>0</v>
      </c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55"/>
      <c r="N678" s="155"/>
      <c r="O678" s="1"/>
      <c r="P678" s="1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N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84">
        <f t="shared" si="121"/>
        <v>0</v>
      </c>
      <c r="N679" s="184">
        <f t="shared" si="121"/>
        <v>0</v>
      </c>
      <c r="O679" s="1"/>
      <c r="P679" s="1"/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N680" si="122">SUM(H681:H692)</f>
        <v>920700</v>
      </c>
      <c r="I680" s="184">
        <f t="shared" si="122"/>
        <v>0</v>
      </c>
      <c r="J680" s="184">
        <f t="shared" si="122"/>
        <v>144000</v>
      </c>
      <c r="K680" s="184">
        <f t="shared" si="122"/>
        <v>0</v>
      </c>
      <c r="L680" s="184">
        <f t="shared" si="122"/>
        <v>0</v>
      </c>
      <c r="M680" s="184">
        <f t="shared" si="122"/>
        <v>360000</v>
      </c>
      <c r="N680" s="184">
        <f t="shared" si="122"/>
        <v>0</v>
      </c>
      <c r="O680" s="1"/>
      <c r="P680" s="1"/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N681" si="123">IF(COLUMN() &lt; (COLUMN($H681) + (ROW()-ROW($H$681))), 0, IF(COLUMN() = (COLUMN($H$681) + (ROW()-ROW($H$681))), INDEX($H$664:$N$664, 1, COLUMN()-COLUMN($H$664)+1), IF(H666=0, OFFSET(H681, 0, -$H$665) * $H$678, 0)))</f>
        <v>920700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86">
        <f t="shared" si="123"/>
        <v>0</v>
      </c>
      <c r="N681" s="186">
        <f t="shared" si="123"/>
        <v>0</v>
      </c>
      <c r="O681" s="1"/>
      <c r="P681" s="1"/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N682" si="124">IF(COLUMN() &lt; (COLUMN($H682) + (ROW()-ROW($H$681))), 0, IF(COLUMN() = (COLUMN($H$681) + (ROW()-ROW($H$681))), INDEX($H$664:$N$664,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86">
        <f t="shared" si="124"/>
        <v>0</v>
      </c>
      <c r="N682" s="186">
        <f t="shared" si="124"/>
        <v>0</v>
      </c>
      <c r="O682" s="1"/>
      <c r="P682" s="1"/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N683" si="125">IF(COLUMN() &lt; (COLUMN($H683) + (ROW()-ROW($H$681))), 0, IF(COLUMN() = (COLUMN($H$681) + (ROW()-ROW($H$681))), INDEX($H$664:$N$664, 1, COLUMN()-COLUMN($H$664)+1), IF(H668=0, OFFSET(H683, 0, -$H$665) * $H$678, 0)))</f>
        <v>0</v>
      </c>
      <c r="I683" s="186">
        <f t="shared" si="125"/>
        <v>0</v>
      </c>
      <c r="J683" s="186">
        <f t="shared" si="125"/>
        <v>144000</v>
      </c>
      <c r="K683" s="186">
        <f t="shared" si="125"/>
        <v>0</v>
      </c>
      <c r="L683" s="186">
        <f t="shared" si="125"/>
        <v>0</v>
      </c>
      <c r="M683" s="186">
        <f t="shared" si="125"/>
        <v>0</v>
      </c>
      <c r="N683" s="186">
        <f t="shared" si="125"/>
        <v>0</v>
      </c>
      <c r="O683" s="1"/>
      <c r="P683" s="1"/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N684" si="126">IF(COLUMN() &lt; (COLUMN($H684) + (ROW()-ROW($H$681))), 0, IF(COLUMN() = (COLUMN($H$681) + (ROW()-ROW($H$681))), INDEX($H$664:$N$664,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86">
        <f t="shared" si="126"/>
        <v>0</v>
      </c>
      <c r="N684" s="186">
        <f t="shared" si="126"/>
        <v>0</v>
      </c>
      <c r="O684" s="1"/>
      <c r="P684" s="1"/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N685" si="127">IF(COLUMN() &lt; (COLUMN($H685) + (ROW()-ROW($H$681))), 0, IF(COLUMN() = (COLUMN($H$681) + (ROW()-ROW($H$681))), INDEX($H$664:$N$664,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86">
        <f t="shared" si="127"/>
        <v>0</v>
      </c>
      <c r="N685" s="186">
        <f t="shared" si="127"/>
        <v>0</v>
      </c>
      <c r="O685" s="1"/>
      <c r="P685" s="1"/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N686" si="128">IF(COLUMN() &lt; (COLUMN($H686) + (ROW()-ROW($H$681))), 0, IF(COLUMN() = (COLUMN($H$681) + (ROW()-ROW($H$681))), INDEX($H$664:$N$664,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86">
        <f t="shared" si="128"/>
        <v>360000</v>
      </c>
      <c r="N686" s="186">
        <f t="shared" si="128"/>
        <v>0</v>
      </c>
      <c r="O686" s="1"/>
      <c r="P686" s="1"/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N687" si="129">IF(COLUMN() &lt; (COLUMN($H687) + (ROW()-ROW($H$681))), 0, IF(COLUMN() = (COLUMN($H$681) + (ROW()-ROW($H$681))), INDEX($H$664:$N$664,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86">
        <f t="shared" si="129"/>
        <v>0</v>
      </c>
      <c r="N687" s="186">
        <f t="shared" si="129"/>
        <v>0</v>
      </c>
      <c r="O687" s="1"/>
      <c r="P687" s="1"/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N688" si="130">IF(COLUMN() &lt; (COLUMN($H688) + (ROW()-ROW($H$681))), 0, IF(COLUMN() = (COLUMN($H$681) + (ROW()-ROW($H$681))), INDEX($H$664:$N$664,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86">
        <f t="shared" si="130"/>
        <v>0</v>
      </c>
      <c r="N688" s="186">
        <f t="shared" si="130"/>
        <v>0</v>
      </c>
      <c r="O688" s="1"/>
      <c r="P688" s="1"/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N689" si="131">IF(COLUMN() &lt; (COLUMN($H689) + (ROW()-ROW($H$681))), 0, IF(COLUMN() = (COLUMN($H$681) + (ROW()-ROW($H$681))), INDEX($H$664:$N$664,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86">
        <f t="shared" si="131"/>
        <v>0</v>
      </c>
      <c r="N689" s="186">
        <f t="shared" si="131"/>
        <v>0</v>
      </c>
      <c r="O689" s="1"/>
      <c r="P689" s="1"/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N690" si="132">IF(COLUMN() &lt; (COLUMN($H690) + (ROW()-ROW($H$681))), 0, IF(COLUMN() = (COLUMN($H$681) + (ROW()-ROW($H$681))), INDEX($H$664:$N$664,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86">
        <f t="shared" si="132"/>
        <v>0</v>
      </c>
      <c r="N690" s="186">
        <f t="shared" si="132"/>
        <v>0</v>
      </c>
      <c r="O690" s="1"/>
      <c r="P690" s="1"/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N691" si="133">IF(COLUMN() &lt; (COLUMN($H691) + (ROW()-ROW($H$681))), 0, IF(COLUMN() = (COLUMN($H$681) + (ROW()-ROW($H$681))), INDEX($H$664:$N$664,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86">
        <f t="shared" si="133"/>
        <v>0</v>
      </c>
      <c r="N691" s="186">
        <f t="shared" si="133"/>
        <v>0</v>
      </c>
      <c r="O691" s="1"/>
      <c r="P691" s="1"/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N692" si="134">IF(COLUMN() &lt; (COLUMN($H692) + (ROW()-ROW($H$681))), 0, IF(COLUMN() = (COLUMN($H$681) + (ROW()-ROW($H$681))), INDEX($H$664:$N$664,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86">
        <f t="shared" si="134"/>
        <v>0</v>
      </c>
      <c r="N692" s="186">
        <f t="shared" si="134"/>
        <v>0</v>
      </c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84"/>
      <c r="N693" s="184"/>
      <c r="O693" s="1"/>
      <c r="P693" s="1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N694" si="135">H698</f>
        <v>22500</v>
      </c>
      <c r="I694" s="188">
        <f t="shared" si="135"/>
        <v>24750</v>
      </c>
      <c r="J694" s="188">
        <f t="shared" si="135"/>
        <v>27225</v>
      </c>
      <c r="K694" s="188">
        <f t="shared" si="135"/>
        <v>29947.5</v>
      </c>
      <c r="L694" s="188">
        <f t="shared" si="135"/>
        <v>32942.25</v>
      </c>
      <c r="M694" s="188">
        <f t="shared" si="135"/>
        <v>36236.475</v>
      </c>
      <c r="N694" s="188">
        <f t="shared" si="135"/>
        <v>39860.1225</v>
      </c>
      <c r="O694" s="16"/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5</v>
      </c>
      <c r="I695" s="190">
        <f t="shared" ref="I695:N695" si="136">H695</f>
        <v>5</v>
      </c>
      <c r="J695" s="190">
        <f t="shared" si="136"/>
        <v>5</v>
      </c>
      <c r="K695" s="190">
        <f t="shared" si="136"/>
        <v>5</v>
      </c>
      <c r="L695" s="190">
        <f t="shared" si="136"/>
        <v>5</v>
      </c>
      <c r="M695" s="190">
        <f t="shared" si="136"/>
        <v>5</v>
      </c>
      <c r="N695" s="190">
        <f t="shared" si="136"/>
        <v>5</v>
      </c>
      <c r="O695" s="16"/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N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88">
        <f t="shared" si="137"/>
        <v>7247.295</v>
      </c>
      <c r="N696" s="188">
        <f t="shared" si="137"/>
        <v>7972.0245</v>
      </c>
      <c r="O696" s="16"/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54">
        <v>1.1</v>
      </c>
      <c r="N697" s="154">
        <v>1.1</v>
      </c>
      <c r="O697" s="16"/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N698" si="138">H695*H696</f>
        <v>22500</v>
      </c>
      <c r="I698" s="188">
        <f t="shared" si="138"/>
        <v>24750</v>
      </c>
      <c r="J698" s="188">
        <f t="shared" si="138"/>
        <v>27225</v>
      </c>
      <c r="K698" s="188">
        <f t="shared" si="138"/>
        <v>29947.5</v>
      </c>
      <c r="L698" s="188">
        <f t="shared" si="138"/>
        <v>32942.25</v>
      </c>
      <c r="M698" s="188">
        <f t="shared" si="138"/>
        <v>36236.475</v>
      </c>
      <c r="N698" s="188">
        <f t="shared" si="138"/>
        <v>39860.1225</v>
      </c>
      <c r="O698" s="16"/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88"/>
      <c r="N699" s="188"/>
      <c r="O699" s="16"/>
      <c r="P699" s="16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83"/>
      <c r="N700" s="183"/>
      <c r="O700" s="136"/>
      <c r="P700" s="136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84"/>
      <c r="N701" s="184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N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198000</v>
      </c>
      <c r="J702" s="180">
        <f t="shared" si="139"/>
        <v>108000</v>
      </c>
      <c r="K702" s="180">
        <f t="shared" si="139"/>
        <v>102000</v>
      </c>
      <c r="L702" s="180">
        <f t="shared" si="139"/>
        <v>66000</v>
      </c>
      <c r="M702" s="180">
        <f t="shared" si="139"/>
        <v>66000</v>
      </c>
      <c r="N702" s="180">
        <f t="shared" si="139"/>
        <v>48000</v>
      </c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N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84" t="str">
        <f t="shared" si="140"/>
        <v/>
      </c>
      <c r="N703" s="184" t="str">
        <f t="shared" si="140"/>
        <v/>
      </c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N704" si="141">SUM(H702:H703)</f>
        <v>0</v>
      </c>
      <c r="I704" s="184">
        <f t="shared" si="141"/>
        <v>198000</v>
      </c>
      <c r="J704" s="184">
        <f t="shared" si="141"/>
        <v>108000</v>
      </c>
      <c r="K704" s="184">
        <f t="shared" si="141"/>
        <v>102000</v>
      </c>
      <c r="L704" s="184">
        <f t="shared" si="141"/>
        <v>66000</v>
      </c>
      <c r="M704" s="184">
        <f t="shared" si="141"/>
        <v>66000</v>
      </c>
      <c r="N704" s="184">
        <f t="shared" si="141"/>
        <v>48000</v>
      </c>
      <c r="O704" s="1"/>
      <c r="P704" s="1"/>
      <c r="Q704" s="1"/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86"/>
      <c r="N705" s="186"/>
      <c r="O705" s="1"/>
      <c r="P705" s="1"/>
      <c r="Q705" s="1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N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86">
        <f t="shared" si="142"/>
        <v>1</v>
      </c>
      <c r="N706" s="186">
        <f t="shared" si="142"/>
        <v>0</v>
      </c>
      <c r="O706" s="1"/>
      <c r="P706" s="1"/>
      <c r="Q706" s="1"/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N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86">
        <f t="shared" si="143"/>
        <v>0</v>
      </c>
      <c r="N707" s="186">
        <f t="shared" si="143"/>
        <v>1</v>
      </c>
      <c r="O707" s="1"/>
      <c r="P707" s="1"/>
      <c r="Q707" s="1"/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N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86">
        <f t="shared" si="144"/>
        <v>1</v>
      </c>
      <c r="N708" s="186">
        <f t="shared" si="144"/>
        <v>0</v>
      </c>
      <c r="O708" s="1"/>
      <c r="P708" s="1"/>
      <c r="Q708" s="1"/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N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86">
        <f t="shared" si="145"/>
        <v>0</v>
      </c>
      <c r="N709" s="186">
        <f t="shared" si="145"/>
        <v>1</v>
      </c>
      <c r="O709" s="1"/>
      <c r="P709" s="1"/>
      <c r="Q709" s="1"/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N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86">
        <f t="shared" si="146"/>
        <v>1</v>
      </c>
      <c r="N710" s="186">
        <f t="shared" si="146"/>
        <v>0</v>
      </c>
      <c r="O710" s="1"/>
      <c r="P710" s="1"/>
      <c r="Q710" s="1"/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N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86">
        <f t="shared" si="147"/>
        <v>2</v>
      </c>
      <c r="N711" s="186">
        <f t="shared" si="147"/>
        <v>1</v>
      </c>
      <c r="O711" s="1"/>
      <c r="P711" s="1"/>
      <c r="Q711" s="1"/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N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86">
        <f t="shared" si="148"/>
        <v>0</v>
      </c>
      <c r="N712" s="186">
        <f t="shared" si="148"/>
        <v>2</v>
      </c>
      <c r="O712" s="1"/>
      <c r="P712" s="1"/>
      <c r="Q712" s="1"/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N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86">
        <f t="shared" si="149"/>
        <v>0</v>
      </c>
      <c r="N713" s="186">
        <f t="shared" si="149"/>
        <v>0</v>
      </c>
      <c r="O713" s="1"/>
      <c r="P713" s="1"/>
      <c r="Q713" s="1"/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N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86">
        <f t="shared" si="150"/>
        <v>0</v>
      </c>
      <c r="N714" s="186">
        <f t="shared" si="150"/>
        <v>0</v>
      </c>
      <c r="O714" s="1"/>
      <c r="P714" s="1"/>
      <c r="Q714" s="1"/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N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86">
        <f t="shared" si="151"/>
        <v>0</v>
      </c>
      <c r="N715" s="186">
        <f t="shared" si="151"/>
        <v>0</v>
      </c>
      <c r="O715" s="1"/>
      <c r="P715" s="1"/>
      <c r="Q715" s="1"/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N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86">
        <f t="shared" si="152"/>
        <v>0</v>
      </c>
      <c r="N716" s="186">
        <f t="shared" si="152"/>
        <v>0</v>
      </c>
      <c r="O716" s="1"/>
      <c r="P716" s="1"/>
      <c r="Q716" s="1"/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N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86">
        <f t="shared" si="153"/>
        <v>0</v>
      </c>
      <c r="N717" s="186">
        <f t="shared" si="153"/>
        <v>0</v>
      </c>
      <c r="O717" s="1"/>
      <c r="P717" s="1"/>
      <c r="Q717" s="1"/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86"/>
      <c r="N718" s="186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55"/>
      <c r="N719" s="155"/>
      <c r="O719" s="1"/>
      <c r="P719" s="1"/>
      <c r="Q719" s="1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N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158400</v>
      </c>
      <c r="L720" s="184">
        <f t="shared" si="154"/>
        <v>86400</v>
      </c>
      <c r="M720" s="184">
        <f t="shared" si="154"/>
        <v>208320</v>
      </c>
      <c r="N720" s="184">
        <f t="shared" si="154"/>
        <v>121920</v>
      </c>
      <c r="O720" s="1"/>
      <c r="P720" s="1"/>
      <c r="Q720" s="1"/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N721" si="155">SUM(H722:H733)</f>
        <v>0</v>
      </c>
      <c r="I721" s="184">
        <f t="shared" si="155"/>
        <v>198000</v>
      </c>
      <c r="J721" s="184">
        <f t="shared" si="155"/>
        <v>108000</v>
      </c>
      <c r="K721" s="184">
        <f t="shared" si="155"/>
        <v>260400</v>
      </c>
      <c r="L721" s="184">
        <f t="shared" si="155"/>
        <v>152400</v>
      </c>
      <c r="M721" s="184">
        <f t="shared" si="155"/>
        <v>274320</v>
      </c>
      <c r="N721" s="184">
        <f t="shared" si="155"/>
        <v>169920</v>
      </c>
      <c r="O721" s="1"/>
      <c r="P721" s="1"/>
      <c r="Q721" s="1"/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N722" si="156">IF(COLUMN() &lt; (COLUMN($H$722) + (ROW()-ROW($H$722))), 0, IF(COLUMN() = (COLUMN($H$722) + (ROW()-ROW($H$722))), INDEX($H$704:$N$704,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86">
        <f t="shared" si="156"/>
        <v>0</v>
      </c>
      <c r="N722" s="186">
        <f t="shared" si="156"/>
        <v>0</v>
      </c>
      <c r="O722" s="1"/>
      <c r="P722" s="1"/>
      <c r="Q722" s="1"/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N723" si="157">IF(COLUMN() &lt; (COLUMN($H$722) + (ROW()-ROW($H$722))), 0, IF(COLUMN() = (COLUMN($H$722) + (ROW()-ROW($H$722))), INDEX($H$704:$N$704, 1, COLUMN()-COLUMN($H$704)+1), IF(H707=0, OFFSET(H723, 0, -$H$705) * $H$719, 0)))</f>
        <v>0</v>
      </c>
      <c r="I723" s="186">
        <f t="shared" si="157"/>
        <v>198000</v>
      </c>
      <c r="J723" s="186">
        <f t="shared" si="157"/>
        <v>0</v>
      </c>
      <c r="K723" s="186">
        <f t="shared" si="157"/>
        <v>158400</v>
      </c>
      <c r="L723" s="186">
        <f t="shared" si="157"/>
        <v>0</v>
      </c>
      <c r="M723" s="186">
        <f t="shared" si="157"/>
        <v>126720</v>
      </c>
      <c r="N723" s="186">
        <f t="shared" si="157"/>
        <v>0</v>
      </c>
      <c r="O723" s="1"/>
      <c r="P723" s="1"/>
      <c r="Q723" s="1"/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N724" si="158">IF(COLUMN() &lt; (COLUMN($H$722) + (ROW()-ROW($H$722))), 0, IF(COLUMN() = (COLUMN($H$722) + (ROW()-ROW($H$722))), INDEX($H$704:$N$704, 1, COLUMN()-COLUMN($H$704)+1), IF(H708=0, OFFSET(H724, 0, -$H$705) * $H$719, 0)))</f>
        <v>0</v>
      </c>
      <c r="I724" s="186">
        <f t="shared" si="158"/>
        <v>0</v>
      </c>
      <c r="J724" s="186">
        <f t="shared" si="158"/>
        <v>108000</v>
      </c>
      <c r="K724" s="186">
        <f t="shared" si="158"/>
        <v>0</v>
      </c>
      <c r="L724" s="186">
        <f t="shared" si="158"/>
        <v>86400</v>
      </c>
      <c r="M724" s="186">
        <f t="shared" si="158"/>
        <v>0</v>
      </c>
      <c r="N724" s="186">
        <f t="shared" si="158"/>
        <v>69120</v>
      </c>
      <c r="O724" s="1"/>
      <c r="P724" s="1"/>
      <c r="Q724" s="1"/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N725" si="159">IF(COLUMN() &lt; (COLUMN($H$722) + (ROW()-ROW($H$722))), 0, IF(COLUMN() = (COLUMN($H$722) + (ROW()-ROW($H$722))), INDEX($H$704:$N$704,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102000</v>
      </c>
      <c r="L725" s="186">
        <f t="shared" si="159"/>
        <v>0</v>
      </c>
      <c r="M725" s="186">
        <f t="shared" si="159"/>
        <v>81600</v>
      </c>
      <c r="N725" s="186">
        <f t="shared" si="159"/>
        <v>0</v>
      </c>
      <c r="O725" s="1"/>
      <c r="P725" s="1"/>
      <c r="Q725" s="1"/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N726" si="160">IF(COLUMN() &lt; (COLUMN($H$722) + (ROW()-ROW($H$722))), 0, IF(COLUMN() = (COLUMN($H$722) + (ROW()-ROW($H$722))), INDEX($H$704:$N$704,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66000</v>
      </c>
      <c r="M726" s="186">
        <f t="shared" si="160"/>
        <v>0</v>
      </c>
      <c r="N726" s="186">
        <f t="shared" si="160"/>
        <v>52800</v>
      </c>
      <c r="O726" s="1"/>
      <c r="P726" s="1"/>
      <c r="Q726" s="1"/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N727" si="161">IF(COLUMN() &lt; (COLUMN($H$722) + (ROW()-ROW($H$722))), 0, IF(COLUMN() = (COLUMN($H$722) + (ROW()-ROW($H$722))), INDEX($H$704:$N$704,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86">
        <f t="shared" si="161"/>
        <v>66000</v>
      </c>
      <c r="N727" s="186">
        <f t="shared" si="161"/>
        <v>0</v>
      </c>
      <c r="O727" s="1"/>
      <c r="P727" s="1"/>
      <c r="Q727" s="1"/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N728" si="162">IF(COLUMN() &lt; (COLUMN($H$722) + (ROW()-ROW($H$722))), 0, IF(COLUMN() = (COLUMN($H$722) + (ROW()-ROW($H$722))), INDEX($H$704:$N$704,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86">
        <f t="shared" si="162"/>
        <v>0</v>
      </c>
      <c r="N728" s="186">
        <f t="shared" si="162"/>
        <v>48000</v>
      </c>
      <c r="O728" s="1"/>
      <c r="P728" s="1"/>
      <c r="Q728" s="1"/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N729" si="163">IF(COLUMN() &lt; (COLUMN($H$722) + (ROW()-ROW($H$722))), 0, IF(COLUMN() = (COLUMN($H$722) + (ROW()-ROW($H$722))), INDEX($H$704:$N$704,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86">
        <f t="shared" si="163"/>
        <v>0</v>
      </c>
      <c r="N729" s="186">
        <f t="shared" si="163"/>
        <v>0</v>
      </c>
      <c r="O729" s="1"/>
      <c r="P729" s="1"/>
      <c r="Q729" s="1"/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N730" si="164">IF(COLUMN() &lt; (COLUMN($H$722) + (ROW()-ROW($H$722))), 0, IF(COLUMN() = (COLUMN($H$722) + (ROW()-ROW($H$722))), INDEX($H$704:$N$704,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86">
        <f t="shared" si="164"/>
        <v>0</v>
      </c>
      <c r="N730" s="186">
        <f t="shared" si="164"/>
        <v>0</v>
      </c>
      <c r="O730" s="1"/>
      <c r="P730" s="1"/>
      <c r="Q730" s="1"/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N731" si="165">IF(COLUMN() &lt; (COLUMN($H$722) + (ROW()-ROW($H$722))), 0, IF(COLUMN() = (COLUMN($H$722) + (ROW()-ROW($H$722))), INDEX($H$704:$N$704,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86">
        <f t="shared" si="165"/>
        <v>0</v>
      </c>
      <c r="N731" s="186">
        <f t="shared" si="165"/>
        <v>0</v>
      </c>
      <c r="O731" s="1"/>
      <c r="P731" s="1"/>
      <c r="Q731" s="1"/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N732" si="166">IF(COLUMN() &lt; (COLUMN($H$722) + (ROW()-ROW($H$722))), 0, IF(COLUMN() = (COLUMN($H$722) + (ROW()-ROW($H$722))), INDEX($H$704:$N$704,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86">
        <f t="shared" si="166"/>
        <v>0</v>
      </c>
      <c r="N732" s="186">
        <f t="shared" si="166"/>
        <v>0</v>
      </c>
      <c r="O732" s="1"/>
      <c r="P732" s="1"/>
      <c r="Q732" s="1"/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N733" si="167">IF(COLUMN() &lt; (COLUMN($H$722) + (ROW()-ROW($H$722))), 0, IF(COLUMN() = (COLUMN($H$722) + (ROW()-ROW($H$722))), INDEX($H$704:$N$704,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86">
        <f t="shared" si="167"/>
        <v>0</v>
      </c>
      <c r="N733" s="186">
        <f t="shared" si="167"/>
        <v>0</v>
      </c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86"/>
      <c r="N734" s="186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N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84">
        <f t="shared" si="168"/>
        <v>0</v>
      </c>
      <c r="M735" s="184">
        <f t="shared" si="168"/>
        <v>0</v>
      </c>
      <c r="N735" s="184">
        <f t="shared" si="168"/>
        <v>0</v>
      </c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N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1302000</v>
      </c>
      <c r="J736" s="180">
        <f t="shared" si="169"/>
        <v>672000</v>
      </c>
      <c r="K736" s="180">
        <f t="shared" si="169"/>
        <v>588000</v>
      </c>
      <c r="L736" s="180">
        <f t="shared" si="169"/>
        <v>378000</v>
      </c>
      <c r="M736" s="180">
        <f t="shared" si="169"/>
        <v>378000</v>
      </c>
      <c r="N736" s="180">
        <f t="shared" si="169"/>
        <v>294000</v>
      </c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N737" si="170">H486</f>
        <v>3235470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84" t="str">
        <f t="shared" si="170"/>
        <v/>
      </c>
      <c r="M737" s="184" t="str">
        <f t="shared" si="170"/>
        <v/>
      </c>
      <c r="N737" s="184" t="str">
        <f t="shared" si="170"/>
        <v/>
      </c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N738" si="171">SUM(H736:H737)</f>
        <v>3235470</v>
      </c>
      <c r="I738" s="184">
        <f t="shared" si="171"/>
        <v>1302000</v>
      </c>
      <c r="J738" s="184">
        <f t="shared" si="171"/>
        <v>672000</v>
      </c>
      <c r="K738" s="184">
        <f t="shared" si="171"/>
        <v>588000</v>
      </c>
      <c r="L738" s="184">
        <f t="shared" si="171"/>
        <v>378000</v>
      </c>
      <c r="M738" s="184">
        <f t="shared" si="171"/>
        <v>378000</v>
      </c>
      <c r="N738" s="184">
        <f t="shared" si="171"/>
        <v>294000</v>
      </c>
      <c r="O738" s="1"/>
      <c r="P738" s="1"/>
      <c r="Q738" s="1"/>
      <c r="R738" s="1"/>
      <c r="S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86"/>
      <c r="N739" s="186"/>
      <c r="O739" s="1"/>
      <c r="P739" s="1"/>
      <c r="Q739" s="1"/>
      <c r="R739" s="1"/>
      <c r="S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N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86">
        <f t="shared" si="172"/>
        <v>3</v>
      </c>
      <c r="M740" s="186">
        <f t="shared" si="172"/>
        <v>2</v>
      </c>
      <c r="N740" s="186">
        <f t="shared" si="172"/>
        <v>1</v>
      </c>
      <c r="O740" s="1"/>
      <c r="P740" s="1"/>
      <c r="Q740" s="1"/>
      <c r="R740" s="1"/>
      <c r="S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N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86">
        <f t="shared" si="173"/>
        <v>4</v>
      </c>
      <c r="M741" s="186">
        <f t="shared" si="173"/>
        <v>3</v>
      </c>
      <c r="N741" s="186">
        <f t="shared" si="173"/>
        <v>2</v>
      </c>
      <c r="O741" s="1"/>
      <c r="P741" s="1"/>
      <c r="Q741" s="1"/>
      <c r="R741" s="1"/>
      <c r="S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N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86">
        <f t="shared" si="174"/>
        <v>5</v>
      </c>
      <c r="M742" s="186">
        <f t="shared" si="174"/>
        <v>4</v>
      </c>
      <c r="N742" s="186">
        <f t="shared" si="174"/>
        <v>3</v>
      </c>
      <c r="O742" s="1"/>
      <c r="P742" s="1"/>
      <c r="Q742" s="1"/>
      <c r="R742" s="1"/>
      <c r="S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N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86">
        <f t="shared" si="175"/>
        <v>6</v>
      </c>
      <c r="M743" s="186">
        <f t="shared" si="175"/>
        <v>5</v>
      </c>
      <c r="N743" s="186">
        <f t="shared" si="175"/>
        <v>4</v>
      </c>
      <c r="O743" s="1"/>
      <c r="P743" s="1"/>
      <c r="Q743" s="1"/>
      <c r="R743" s="1"/>
      <c r="S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N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86">
        <f t="shared" si="176"/>
        <v>7</v>
      </c>
      <c r="M744" s="186">
        <f t="shared" si="176"/>
        <v>6</v>
      </c>
      <c r="N744" s="186">
        <f t="shared" si="176"/>
        <v>5</v>
      </c>
      <c r="O744" s="1"/>
      <c r="P744" s="1"/>
      <c r="Q744" s="1"/>
      <c r="R744" s="1"/>
      <c r="S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N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86">
        <f t="shared" si="177"/>
        <v>0</v>
      </c>
      <c r="M745" s="186">
        <f t="shared" si="177"/>
        <v>7</v>
      </c>
      <c r="N745" s="186">
        <f t="shared" si="177"/>
        <v>6</v>
      </c>
      <c r="O745" s="1"/>
      <c r="P745" s="1"/>
      <c r="Q745" s="1"/>
      <c r="R745" s="1"/>
      <c r="S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N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86">
        <f t="shared" si="178"/>
        <v>0</v>
      </c>
      <c r="M746" s="186">
        <f t="shared" si="178"/>
        <v>0</v>
      </c>
      <c r="N746" s="186">
        <f t="shared" si="178"/>
        <v>7</v>
      </c>
      <c r="O746" s="1"/>
      <c r="P746" s="1"/>
      <c r="Q746" s="1"/>
      <c r="R746" s="1"/>
      <c r="S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N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86">
        <f t="shared" si="179"/>
        <v>0</v>
      </c>
      <c r="M747" s="186">
        <f t="shared" si="179"/>
        <v>0</v>
      </c>
      <c r="N747" s="186">
        <f t="shared" si="179"/>
        <v>0</v>
      </c>
      <c r="O747" s="1"/>
      <c r="P747" s="1"/>
      <c r="Q747" s="1"/>
      <c r="R747" s="1"/>
      <c r="S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N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86">
        <f t="shared" si="180"/>
        <v>0</v>
      </c>
      <c r="M748" s="186">
        <f t="shared" si="180"/>
        <v>0</v>
      </c>
      <c r="N748" s="186">
        <f t="shared" si="180"/>
        <v>0</v>
      </c>
      <c r="O748" s="1"/>
      <c r="P748" s="1"/>
      <c r="Q748" s="1"/>
      <c r="R748" s="1"/>
      <c r="S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N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86">
        <f t="shared" si="181"/>
        <v>0</v>
      </c>
      <c r="M749" s="186">
        <f t="shared" si="181"/>
        <v>0</v>
      </c>
      <c r="N749" s="186">
        <f t="shared" si="181"/>
        <v>0</v>
      </c>
      <c r="O749" s="1"/>
      <c r="P749" s="1"/>
      <c r="Q749" s="1"/>
      <c r="R749" s="1"/>
      <c r="S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N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86">
        <f t="shared" si="182"/>
        <v>0</v>
      </c>
      <c r="M750" s="186">
        <f t="shared" si="182"/>
        <v>0</v>
      </c>
      <c r="N750" s="186">
        <f t="shared" si="182"/>
        <v>0</v>
      </c>
      <c r="O750" s="1"/>
      <c r="P750" s="1"/>
      <c r="Q750" s="1"/>
      <c r="R750" s="1"/>
      <c r="S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N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86">
        <f t="shared" si="183"/>
        <v>0</v>
      </c>
      <c r="M751" s="186">
        <f t="shared" si="183"/>
        <v>0</v>
      </c>
      <c r="N751" s="186">
        <f t="shared" si="183"/>
        <v>0</v>
      </c>
      <c r="O751" s="1"/>
      <c r="P751" s="1"/>
      <c r="Q751" s="1"/>
      <c r="R751" s="1"/>
      <c r="S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86"/>
      <c r="N752" s="186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55"/>
      <c r="N753" s="155"/>
      <c r="O753" s="1"/>
      <c r="P753" s="1"/>
      <c r="Q753" s="1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N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84">
        <f t="shared" si="184"/>
        <v>0</v>
      </c>
      <c r="M754" s="184">
        <f t="shared" si="184"/>
        <v>0</v>
      </c>
      <c r="N754" s="184">
        <f t="shared" si="184"/>
        <v>0</v>
      </c>
      <c r="O754" s="1"/>
      <c r="P754" s="1"/>
      <c r="Q754" s="1"/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N755" si="185">SUM(H756:H767)</f>
        <v>3235470</v>
      </c>
      <c r="I755" s="184">
        <f t="shared" si="185"/>
        <v>1302000</v>
      </c>
      <c r="J755" s="184">
        <f t="shared" si="185"/>
        <v>672000</v>
      </c>
      <c r="K755" s="184">
        <f t="shared" si="185"/>
        <v>588000</v>
      </c>
      <c r="L755" s="184">
        <f t="shared" si="185"/>
        <v>378000</v>
      </c>
      <c r="M755" s="184">
        <f t="shared" si="185"/>
        <v>378000</v>
      </c>
      <c r="N755" s="184">
        <f t="shared" si="185"/>
        <v>294000</v>
      </c>
      <c r="O755" s="1"/>
      <c r="P755" s="1"/>
      <c r="Q755" s="1"/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N756" si="186">IF(COLUMN() &lt; (COLUMN($H$756) + (ROW()-ROW($H$756))), 0, IF(COLUMN() = (COLUMN($H$756) + (ROW()-ROW($H$756))), INDEX($H$738:$N$738, 1, COLUMN()-COLUMN($H$738)+1), IF(H740=0, OFFSET(H756, 0, -$H$739) * $H$753, 0)))</f>
        <v>3235470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86">
        <f t="shared" si="186"/>
        <v>0</v>
      </c>
      <c r="M756" s="186">
        <f t="shared" si="186"/>
        <v>0</v>
      </c>
      <c r="N756" s="186">
        <f t="shared" si="186"/>
        <v>0</v>
      </c>
      <c r="O756" s="1"/>
      <c r="P756" s="1"/>
      <c r="Q756" s="1"/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N757" si="187">IF(COLUMN() &lt; (COLUMN($H$756) + (ROW()-ROW($H$756))), 0, IF(COLUMN() = (COLUMN($H$756) + (ROW()-ROW($H$756))), INDEX($H$738:$N$738, 1, COLUMN()-COLUMN($H$738)+1), IF(H741=0, OFFSET(H757, 0, -$H$739) * $H$753, 0)))</f>
        <v>0</v>
      </c>
      <c r="I757" s="186">
        <f t="shared" si="187"/>
        <v>1302000</v>
      </c>
      <c r="J757" s="186">
        <f t="shared" si="187"/>
        <v>0</v>
      </c>
      <c r="K757" s="186">
        <f t="shared" si="187"/>
        <v>0</v>
      </c>
      <c r="L757" s="186">
        <f t="shared" si="187"/>
        <v>0</v>
      </c>
      <c r="M757" s="186">
        <f t="shared" si="187"/>
        <v>0</v>
      </c>
      <c r="N757" s="186">
        <f t="shared" si="187"/>
        <v>0</v>
      </c>
      <c r="O757" s="1"/>
      <c r="P757" s="1"/>
      <c r="Q757" s="1"/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N758" si="188">IF(COLUMN() &lt; (COLUMN($H$756) + (ROW()-ROW($H$756))), 0, IF(COLUMN() = (COLUMN($H$756) + (ROW()-ROW($H$756))), INDEX($H$738:$N$738, 1, COLUMN()-COLUMN($H$738)+1), IF(H742=0, OFFSET(H758, 0, -$H$739) * $H$753, 0)))</f>
        <v>0</v>
      </c>
      <c r="I758" s="186">
        <f t="shared" si="188"/>
        <v>0</v>
      </c>
      <c r="J758" s="186">
        <f t="shared" si="188"/>
        <v>672000</v>
      </c>
      <c r="K758" s="186">
        <f t="shared" si="188"/>
        <v>0</v>
      </c>
      <c r="L758" s="186">
        <f t="shared" si="188"/>
        <v>0</v>
      </c>
      <c r="M758" s="186">
        <f t="shared" si="188"/>
        <v>0</v>
      </c>
      <c r="N758" s="186">
        <f t="shared" si="188"/>
        <v>0</v>
      </c>
      <c r="O758" s="1"/>
      <c r="P758" s="1"/>
      <c r="Q758" s="1"/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N759" si="189">IF(COLUMN() &lt; (COLUMN($H$756) + (ROW()-ROW($H$756))), 0, IF(COLUMN() = (COLUMN($H$756) + (ROW()-ROW($H$756))), INDEX($H$738:$N$738,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588000</v>
      </c>
      <c r="L759" s="186">
        <f t="shared" si="189"/>
        <v>0</v>
      </c>
      <c r="M759" s="186">
        <f t="shared" si="189"/>
        <v>0</v>
      </c>
      <c r="N759" s="186">
        <f t="shared" si="189"/>
        <v>0</v>
      </c>
      <c r="O759" s="1"/>
      <c r="P759" s="1"/>
      <c r="Q759" s="1"/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N760" si="190">IF(COLUMN() &lt; (COLUMN($H$756) + (ROW()-ROW($H$756))), 0, IF(COLUMN() = (COLUMN($H$756) + (ROW()-ROW($H$756))), INDEX($H$738:$N$738,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86">
        <f t="shared" si="190"/>
        <v>378000</v>
      </c>
      <c r="M760" s="186">
        <f t="shared" si="190"/>
        <v>0</v>
      </c>
      <c r="N760" s="186">
        <f t="shared" si="190"/>
        <v>0</v>
      </c>
      <c r="O760" s="1"/>
      <c r="P760" s="1"/>
      <c r="Q760" s="1"/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N761" si="191">IF(COLUMN() &lt; (COLUMN($H$756) + (ROW()-ROW($H$756))), 0, IF(COLUMN() = (COLUMN($H$756) + (ROW()-ROW($H$756))), INDEX($H$738:$N$738,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86">
        <f t="shared" si="191"/>
        <v>0</v>
      </c>
      <c r="M761" s="186">
        <f t="shared" si="191"/>
        <v>378000</v>
      </c>
      <c r="N761" s="186">
        <f t="shared" si="191"/>
        <v>0</v>
      </c>
      <c r="O761" s="1"/>
      <c r="P761" s="1"/>
      <c r="Q761" s="1"/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N762" si="192">IF(COLUMN() &lt; (COLUMN($H$756) + (ROW()-ROW($H$756))), 0, IF(COLUMN() = (COLUMN($H$756) + (ROW()-ROW($H$756))), INDEX($H$738:$N$738,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86">
        <f t="shared" si="192"/>
        <v>0</v>
      </c>
      <c r="M762" s="186">
        <f t="shared" si="192"/>
        <v>0</v>
      </c>
      <c r="N762" s="186">
        <f t="shared" si="192"/>
        <v>294000</v>
      </c>
      <c r="O762" s="1"/>
      <c r="P762" s="1"/>
      <c r="Q762" s="1"/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N763" si="193">IF(COLUMN() &lt; (COLUMN($H$756) + (ROW()-ROW($H$756))), 0, IF(COLUMN() = (COLUMN($H$756) + (ROW()-ROW($H$756))), INDEX($H$738:$N$738,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86">
        <f t="shared" si="193"/>
        <v>0</v>
      </c>
      <c r="M763" s="186">
        <f t="shared" si="193"/>
        <v>0</v>
      </c>
      <c r="N763" s="186">
        <f t="shared" si="193"/>
        <v>0</v>
      </c>
      <c r="O763" s="1"/>
      <c r="P763" s="1"/>
      <c r="Q763" s="1"/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N764" si="194">IF(COLUMN() &lt; (COLUMN($H$756) + (ROW()-ROW($H$756))), 0, IF(COLUMN() = (COLUMN($H$756) + (ROW()-ROW($H$756))), INDEX($H$738:$N$738,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86">
        <f t="shared" si="194"/>
        <v>0</v>
      </c>
      <c r="M764" s="186">
        <f t="shared" si="194"/>
        <v>0</v>
      </c>
      <c r="N764" s="186">
        <f t="shared" si="194"/>
        <v>0</v>
      </c>
      <c r="O764" s="1"/>
      <c r="P764" s="1"/>
      <c r="Q764" s="1"/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N765" si="195">IF(COLUMN() &lt; (COLUMN($H$756) + (ROW()-ROW($H$756))), 0, IF(COLUMN() = (COLUMN($H$756) + (ROW()-ROW($H$756))), INDEX($H$738:$N$738,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86">
        <f t="shared" si="195"/>
        <v>0</v>
      </c>
      <c r="M765" s="186">
        <f t="shared" si="195"/>
        <v>0</v>
      </c>
      <c r="N765" s="186">
        <f t="shared" si="195"/>
        <v>0</v>
      </c>
      <c r="O765" s="1"/>
      <c r="P765" s="1"/>
      <c r="Q765" s="1"/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N766" si="196">IF(COLUMN() &lt; (COLUMN($H$756) + (ROW()-ROW($H$756))), 0, IF(COLUMN() = (COLUMN($H$756) + (ROW()-ROW($H$756))), INDEX($H$738:$N$738,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86">
        <f t="shared" si="196"/>
        <v>0</v>
      </c>
      <c r="M766" s="186">
        <f t="shared" si="196"/>
        <v>0</v>
      </c>
      <c r="N766" s="186">
        <f t="shared" si="196"/>
        <v>0</v>
      </c>
      <c r="O766" s="1"/>
      <c r="P766" s="1"/>
      <c r="Q766" s="1"/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N767" si="197">IF(COLUMN() &lt; (COLUMN($H$756) + (ROW()-ROW($H$756))), 0, IF(COLUMN() = (COLUMN($H$756) + (ROW()-ROW($H$756))), INDEX($H$738:$N$738,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86">
        <f t="shared" si="197"/>
        <v>0</v>
      </c>
      <c r="M767" s="186">
        <f t="shared" si="197"/>
        <v>0</v>
      </c>
      <c r="N767" s="186">
        <f t="shared" si="197"/>
        <v>0</v>
      </c>
      <c r="O767" s="1"/>
      <c r="P767" s="1"/>
      <c r="Q767" s="1"/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N768" si="198">IF(COLUMN() &lt; (COLUMN($H$756) + (ROW()-ROW($H$756))), 0, IF(COLUMN() = (COLUMN($H$756) + (ROW()-ROW($H$756))), INDEX($H$738:$N$738,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86">
        <f t="shared" si="198"/>
        <v>0</v>
      </c>
      <c r="M768" s="186">
        <f t="shared" si="198"/>
        <v>0</v>
      </c>
      <c r="N768" s="186">
        <f t="shared" si="198"/>
        <v>0</v>
      </c>
      <c r="O768" s="192"/>
      <c r="P768" s="192"/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86"/>
      <c r="N769" s="186"/>
      <c r="O769" s="192"/>
      <c r="P769" s="192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N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88">
        <f t="shared" si="199"/>
        <v>0</v>
      </c>
      <c r="M770" s="188">
        <f t="shared" si="199"/>
        <v>0</v>
      </c>
      <c r="N770" s="188">
        <f t="shared" si="199"/>
        <v>0</v>
      </c>
      <c r="O770" s="192"/>
      <c r="P770" s="192"/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N771" si="200">H771</f>
        <v>0</v>
      </c>
      <c r="J771" s="190">
        <f t="shared" si="200"/>
        <v>0</v>
      </c>
      <c r="K771" s="190">
        <f t="shared" si="200"/>
        <v>0</v>
      </c>
      <c r="L771" s="190">
        <f t="shared" si="200"/>
        <v>0</v>
      </c>
      <c r="M771" s="190">
        <f t="shared" si="200"/>
        <v>0</v>
      </c>
      <c r="N771" s="190">
        <f t="shared" si="200"/>
        <v>0</v>
      </c>
      <c r="O771" s="192"/>
      <c r="P771" s="192"/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N772" si="201">H772*H773</f>
        <v>0</v>
      </c>
      <c r="J772" s="188">
        <f t="shared" si="201"/>
        <v>0</v>
      </c>
      <c r="K772" s="188">
        <f t="shared" si="201"/>
        <v>0</v>
      </c>
      <c r="L772" s="188">
        <f t="shared" si="201"/>
        <v>0</v>
      </c>
      <c r="M772" s="188">
        <f t="shared" si="201"/>
        <v>0</v>
      </c>
      <c r="N772" s="188">
        <f t="shared" si="201"/>
        <v>0</v>
      </c>
      <c r="O772" s="192"/>
      <c r="P772" s="192"/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54">
        <v>0.0</v>
      </c>
      <c r="N773" s="154">
        <v>0.0</v>
      </c>
      <c r="O773" s="192"/>
      <c r="P773" s="192"/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N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88">
        <f t="shared" si="202"/>
        <v>0</v>
      </c>
      <c r="M774" s="188">
        <f t="shared" si="202"/>
        <v>0</v>
      </c>
      <c r="N774" s="188">
        <f t="shared" si="202"/>
        <v>0</v>
      </c>
      <c r="O774" s="192"/>
      <c r="P774" s="192"/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5"/>
      <c r="N775" s="195"/>
      <c r="O775" s="192"/>
      <c r="P775" s="192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5"/>
      <c r="N776" s="195"/>
      <c r="O776" s="192"/>
      <c r="P776" s="192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18"/>
      <c r="N777" s="118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63"/>
      <c r="N778" s="163"/>
      <c r="O778" s="1"/>
      <c r="P778" s="1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N779" si="203">SUM(H782,H785,H788,H791,H794)</f>
        <v>0</v>
      </c>
      <c r="I779" s="173">
        <f t="shared" si="203"/>
        <v>5700000</v>
      </c>
      <c r="J779" s="173">
        <f t="shared" si="203"/>
        <v>3626000</v>
      </c>
      <c r="K779" s="173">
        <f t="shared" si="203"/>
        <v>2652000</v>
      </c>
      <c r="L779" s="173">
        <f t="shared" si="203"/>
        <v>1756000</v>
      </c>
      <c r="M779" s="173">
        <f t="shared" si="203"/>
        <v>3537000</v>
      </c>
      <c r="N779" s="173">
        <f t="shared" si="203"/>
        <v>1256000</v>
      </c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369</v>
      </c>
      <c r="E781" s="1"/>
      <c r="F781" s="1"/>
      <c r="G781" s="128"/>
      <c r="H781" s="128">
        <f t="shared" ref="H781:N781" si="204">IFERROR(H782/H$779,0)</f>
        <v>0</v>
      </c>
      <c r="I781" s="128">
        <f t="shared" si="204"/>
        <v>0.4273684211</v>
      </c>
      <c r="J781" s="128">
        <f t="shared" si="204"/>
        <v>0.4522890237</v>
      </c>
      <c r="K781" s="128">
        <f t="shared" si="204"/>
        <v>0.431372549</v>
      </c>
      <c r="L781" s="128">
        <f t="shared" si="204"/>
        <v>0.4328018223</v>
      </c>
      <c r="M781" s="128">
        <f t="shared" si="204"/>
        <v>0.5159739893</v>
      </c>
      <c r="N781" s="128">
        <f t="shared" si="204"/>
        <v>0.4140127389</v>
      </c>
      <c r="O781" s="1"/>
      <c r="P781" s="1"/>
      <c r="Q781" s="1"/>
      <c r="R781" s="1"/>
      <c r="S781" s="1"/>
    </row>
    <row r="782">
      <c r="A782" s="1"/>
      <c r="B782" s="1"/>
      <c r="C782" s="176" t="s">
        <v>285</v>
      </c>
      <c r="D782" s="176" t="s">
        <v>370</v>
      </c>
      <c r="E782" s="1"/>
      <c r="F782" s="1"/>
      <c r="G782" s="173"/>
      <c r="H782" s="173">
        <f t="shared" ref="H782:N782" si="205">SUM(H827,H872,H917,H963,H1008)</f>
        <v>0</v>
      </c>
      <c r="I782" s="173">
        <f t="shared" si="205"/>
        <v>2436000</v>
      </c>
      <c r="J782" s="173">
        <f t="shared" si="205"/>
        <v>1640000</v>
      </c>
      <c r="K782" s="173">
        <f t="shared" si="205"/>
        <v>1144000</v>
      </c>
      <c r="L782" s="173">
        <f t="shared" si="205"/>
        <v>760000</v>
      </c>
      <c r="M782" s="173">
        <f t="shared" si="205"/>
        <v>1825000</v>
      </c>
      <c r="N782" s="173">
        <f t="shared" si="205"/>
        <v>520000</v>
      </c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78"/>
      <c r="N783" s="178"/>
      <c r="O783" s="1"/>
      <c r="P783" s="1"/>
      <c r="Q783" s="1"/>
      <c r="R783" s="1"/>
      <c r="S783" s="1"/>
    </row>
    <row r="784">
      <c r="A784" s="1"/>
      <c r="B784" s="1"/>
      <c r="C784" s="176" t="s">
        <v>287</v>
      </c>
      <c r="D784" s="176" t="s">
        <v>371</v>
      </c>
      <c r="E784" s="1"/>
      <c r="F784" s="1"/>
      <c r="G784" s="128"/>
      <c r="H784" s="128">
        <f t="shared" ref="H784:N784" si="206">IFERROR(H785/H$779,0)</f>
        <v>0</v>
      </c>
      <c r="I784" s="128">
        <f t="shared" si="206"/>
        <v>0.3094736842</v>
      </c>
      <c r="J784" s="128">
        <f t="shared" si="206"/>
        <v>0.2884721456</v>
      </c>
      <c r="K784" s="128">
        <f t="shared" si="206"/>
        <v>0.3084464555</v>
      </c>
      <c r="L784" s="128">
        <f t="shared" si="206"/>
        <v>0.3143507973</v>
      </c>
      <c r="M784" s="128">
        <f t="shared" si="206"/>
        <v>0.2408821035</v>
      </c>
      <c r="N784" s="128">
        <f t="shared" si="206"/>
        <v>0.3136942675</v>
      </c>
      <c r="O784" s="1"/>
      <c r="P784" s="1"/>
      <c r="Q784" s="1"/>
      <c r="R784" s="1"/>
      <c r="S784" s="1"/>
    </row>
    <row r="785">
      <c r="A785" s="1"/>
      <c r="B785" s="1"/>
      <c r="C785" s="176" t="s">
        <v>285</v>
      </c>
      <c r="D785" s="176" t="s">
        <v>372</v>
      </c>
      <c r="E785" s="1"/>
      <c r="F785" s="1"/>
      <c r="G785" s="173"/>
      <c r="H785" s="173">
        <f t="shared" ref="H785:N785" si="207">SUM(H830,H875,H920,H966,H1011)</f>
        <v>0</v>
      </c>
      <c r="I785" s="173">
        <f t="shared" si="207"/>
        <v>1764000</v>
      </c>
      <c r="J785" s="173">
        <f t="shared" si="207"/>
        <v>1046000</v>
      </c>
      <c r="K785" s="173">
        <f t="shared" si="207"/>
        <v>818000</v>
      </c>
      <c r="L785" s="173">
        <f t="shared" si="207"/>
        <v>552000</v>
      </c>
      <c r="M785" s="173">
        <f t="shared" si="207"/>
        <v>852000</v>
      </c>
      <c r="N785" s="173">
        <f t="shared" si="207"/>
        <v>394000</v>
      </c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78"/>
      <c r="N786" s="178"/>
      <c r="O786" s="1"/>
      <c r="P786" s="1"/>
      <c r="Q786" s="1"/>
      <c r="R786" s="1"/>
      <c r="S786" s="1"/>
    </row>
    <row r="787">
      <c r="A787" s="1"/>
      <c r="B787" s="1"/>
      <c r="C787" s="176" t="s">
        <v>287</v>
      </c>
      <c r="D787" s="13" t="s">
        <v>373</v>
      </c>
      <c r="E787" s="1"/>
      <c r="F787" s="1"/>
      <c r="G787" s="128"/>
      <c r="H787" s="128">
        <f t="shared" ref="H787:N787" si="208">IFERROR(H788/H$779,0)</f>
        <v>0</v>
      </c>
      <c r="I787" s="128">
        <f t="shared" si="208"/>
        <v>0.03473684211</v>
      </c>
      <c r="J787" s="128">
        <f t="shared" si="208"/>
        <v>0.03419746277</v>
      </c>
      <c r="K787" s="128">
        <f t="shared" si="208"/>
        <v>0.03846153846</v>
      </c>
      <c r="L787" s="128">
        <f t="shared" si="208"/>
        <v>0.03758542141</v>
      </c>
      <c r="M787" s="128">
        <f t="shared" si="208"/>
        <v>0.03449250777</v>
      </c>
      <c r="N787" s="128">
        <f t="shared" si="208"/>
        <v>0.03821656051</v>
      </c>
      <c r="O787" s="1"/>
      <c r="P787" s="1"/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374</v>
      </c>
      <c r="E788" s="1"/>
      <c r="F788" s="1"/>
      <c r="G788" s="173"/>
      <c r="H788" s="173">
        <f t="shared" ref="H788:N788" si="209">SUM(H833,H878,H923)</f>
        <v>0</v>
      </c>
      <c r="I788" s="173">
        <f t="shared" si="209"/>
        <v>198000</v>
      </c>
      <c r="J788" s="173">
        <f t="shared" si="209"/>
        <v>124000</v>
      </c>
      <c r="K788" s="173">
        <f t="shared" si="209"/>
        <v>102000</v>
      </c>
      <c r="L788" s="173">
        <f t="shared" si="209"/>
        <v>66000</v>
      </c>
      <c r="M788" s="173">
        <f t="shared" si="209"/>
        <v>122000</v>
      </c>
      <c r="N788" s="173">
        <f t="shared" si="209"/>
        <v>48000</v>
      </c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78"/>
      <c r="M789" s="178"/>
      <c r="N789" s="178"/>
      <c r="O789" s="1"/>
      <c r="P789" s="1"/>
      <c r="Q789" s="1"/>
      <c r="R789" s="1"/>
      <c r="S789" s="1"/>
    </row>
    <row r="790">
      <c r="A790" s="1"/>
      <c r="B790" s="1"/>
      <c r="C790" s="176" t="s">
        <v>287</v>
      </c>
      <c r="D790" s="13" t="s">
        <v>375</v>
      </c>
      <c r="E790" s="1"/>
      <c r="F790" s="1"/>
      <c r="G790" s="128"/>
      <c r="H790" s="128">
        <f t="shared" ref="H790:N790" si="210">IFERROR(H791/H$779,0)</f>
        <v>0</v>
      </c>
      <c r="I790" s="128">
        <f t="shared" si="210"/>
        <v>0.2284210526</v>
      </c>
      <c r="J790" s="128">
        <f t="shared" si="210"/>
        <v>0.2250413679</v>
      </c>
      <c r="K790" s="128">
        <f t="shared" si="210"/>
        <v>0.221719457</v>
      </c>
      <c r="L790" s="128">
        <f t="shared" si="210"/>
        <v>0.215261959</v>
      </c>
      <c r="M790" s="128">
        <f t="shared" si="210"/>
        <v>0.2086513995</v>
      </c>
      <c r="N790" s="128">
        <f t="shared" si="210"/>
        <v>0.2340764331</v>
      </c>
      <c r="O790" s="1"/>
      <c r="P790" s="1"/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376</v>
      </c>
      <c r="E791" s="1"/>
      <c r="F791" s="1"/>
      <c r="G791" s="173"/>
      <c r="H791" s="173">
        <f t="shared" ref="H791:N791" si="211">SUM(H836,H881,H926)</f>
        <v>0</v>
      </c>
      <c r="I791" s="173">
        <f t="shared" si="211"/>
        <v>1302000</v>
      </c>
      <c r="J791" s="173">
        <f t="shared" si="211"/>
        <v>816000</v>
      </c>
      <c r="K791" s="173">
        <f t="shared" si="211"/>
        <v>588000</v>
      </c>
      <c r="L791" s="173">
        <f t="shared" si="211"/>
        <v>378000</v>
      </c>
      <c r="M791" s="173">
        <f t="shared" si="211"/>
        <v>738000</v>
      </c>
      <c r="N791" s="173">
        <f t="shared" si="211"/>
        <v>294000</v>
      </c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43"/>
      <c r="L792" s="143"/>
      <c r="M792" s="143"/>
      <c r="N792" s="143"/>
      <c r="O792" s="1"/>
      <c r="P792" s="1"/>
      <c r="Q792" s="1"/>
      <c r="R792" s="1"/>
      <c r="S792" s="1"/>
    </row>
    <row r="793">
      <c r="A793" s="1"/>
      <c r="B793" s="1"/>
      <c r="C793" s="176" t="s">
        <v>287</v>
      </c>
      <c r="D793" s="176" t="s">
        <v>377</v>
      </c>
      <c r="E793" s="1"/>
      <c r="F793" s="1"/>
      <c r="G793" s="128"/>
      <c r="H793" s="128">
        <f t="shared" ref="H793:N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28">
        <f t="shared" si="212"/>
        <v>0</v>
      </c>
      <c r="M793" s="128">
        <f t="shared" si="212"/>
        <v>0</v>
      </c>
      <c r="N793" s="128">
        <f t="shared" si="212"/>
        <v>0</v>
      </c>
      <c r="O793" s="1"/>
      <c r="P793" s="1"/>
      <c r="Q793" s="1"/>
      <c r="R793" s="1"/>
      <c r="S793" s="1"/>
    </row>
    <row r="794">
      <c r="A794" s="1"/>
      <c r="B794" s="1"/>
      <c r="C794" s="176" t="s">
        <v>285</v>
      </c>
      <c r="D794" s="176" t="s">
        <v>378</v>
      </c>
      <c r="E794" s="1"/>
      <c r="F794" s="1"/>
      <c r="G794" s="173"/>
      <c r="H794" s="173">
        <f t="shared" ref="H794:N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73">
        <f t="shared" si="213"/>
        <v>0</v>
      </c>
      <c r="M794" s="173">
        <f t="shared" si="213"/>
        <v>0</v>
      </c>
      <c r="N794" s="173">
        <f t="shared" si="213"/>
        <v>0</v>
      </c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43"/>
      <c r="M795" s="143"/>
      <c r="N795" s="143"/>
      <c r="O795" s="1"/>
      <c r="P795" s="1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32</v>
      </c>
      <c r="I797" s="197"/>
      <c r="J797" s="197"/>
      <c r="K797" s="197"/>
      <c r="L797" s="197"/>
      <c r="M797" s="197"/>
      <c r="N797" s="197"/>
      <c r="O797" s="198"/>
      <c r="P797" s="198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0.0129211875</v>
      </c>
      <c r="H798" s="149">
        <f>SUM($H$416)</f>
        <v>2067390</v>
      </c>
      <c r="I798" s="197"/>
      <c r="J798" s="197"/>
      <c r="K798" s="197"/>
      <c r="L798" s="197"/>
      <c r="M798" s="197"/>
      <c r="N798" s="197"/>
      <c r="O798" s="172"/>
      <c r="P798" s="172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56"/>
      <c r="N799" s="156"/>
      <c r="O799" s="160"/>
      <c r="P799" s="160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160000000</v>
      </c>
      <c r="I800" s="149"/>
      <c r="J800" s="149"/>
      <c r="K800" s="149"/>
      <c r="L800" s="149"/>
      <c r="M800" s="149"/>
      <c r="N800" s="149"/>
      <c r="O800" s="160"/>
      <c r="P800" s="160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49"/>
      <c r="N801" s="149"/>
      <c r="O801" s="160"/>
      <c r="P801" s="160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0.025842375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>
        <v>0.3</v>
      </c>
      <c r="N802" s="145">
        <v>0.0</v>
      </c>
      <c r="O802" s="145"/>
      <c r="P802" s="145"/>
      <c r="Q802" s="145"/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4134780</v>
      </c>
      <c r="H803" s="149"/>
      <c r="I803" s="149"/>
      <c r="J803" s="149"/>
      <c r="K803" s="149"/>
      <c r="L803" s="149"/>
      <c r="M803" s="149"/>
      <c r="N803" s="149"/>
      <c r="O803" s="160"/>
      <c r="P803" s="160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2067390</v>
      </c>
      <c r="I804" s="149">
        <f t="shared" ref="I804:N804" si="214">H804+I813</f>
        <v>2067390</v>
      </c>
      <c r="J804" s="149">
        <f t="shared" si="214"/>
        <v>2237390</v>
      </c>
      <c r="K804" s="149">
        <f t="shared" si="214"/>
        <v>2237390</v>
      </c>
      <c r="L804" s="149">
        <f t="shared" si="214"/>
        <v>2237390</v>
      </c>
      <c r="M804" s="149">
        <f t="shared" si="214"/>
        <v>2797390</v>
      </c>
      <c r="N804" s="149">
        <f t="shared" si="214"/>
        <v>2797390</v>
      </c>
      <c r="O804" s="199" t="str">
        <f>#REF!</f>
        <v>#REF!</v>
      </c>
      <c r="P804" s="199"/>
      <c r="Q804" s="199"/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2067390</v>
      </c>
      <c r="H805" s="149">
        <f>$G$895*H802</f>
        <v>0</v>
      </c>
      <c r="I805" s="149">
        <f t="shared" ref="I805:N805" si="215">$G$805*I802</f>
        <v>0</v>
      </c>
      <c r="J805" s="149">
        <f t="shared" si="215"/>
        <v>206739</v>
      </c>
      <c r="K805" s="149">
        <f t="shared" si="215"/>
        <v>0</v>
      </c>
      <c r="L805" s="149">
        <f t="shared" si="215"/>
        <v>0</v>
      </c>
      <c r="M805" s="149">
        <f t="shared" si="215"/>
        <v>620217</v>
      </c>
      <c r="N805" s="149">
        <f t="shared" si="215"/>
        <v>0</v>
      </c>
      <c r="O805" s="199">
        <f>SUM(H805:N805)</f>
        <v>826956</v>
      </c>
      <c r="P805" s="199"/>
      <c r="Q805" s="199"/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42"/>
      <c r="N806" s="142"/>
      <c r="O806" s="160"/>
      <c r="P806" s="160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N807" si="216">$H$800-H804</f>
        <v>157932610</v>
      </c>
      <c r="I807" s="149">
        <f t="shared" si="216"/>
        <v>157932610</v>
      </c>
      <c r="J807" s="149">
        <f t="shared" si="216"/>
        <v>157762610</v>
      </c>
      <c r="K807" s="149">
        <f t="shared" si="216"/>
        <v>157762610</v>
      </c>
      <c r="L807" s="149">
        <f t="shared" si="216"/>
        <v>157762610</v>
      </c>
      <c r="M807" s="149">
        <f t="shared" si="216"/>
        <v>157202610</v>
      </c>
      <c r="N807" s="149">
        <f t="shared" si="216"/>
        <v>157202610</v>
      </c>
      <c r="O807" s="160"/>
      <c r="P807" s="160"/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O808" si="217">IFERROR(H804/$H$890,0)</f>
        <v>0.009397227273</v>
      </c>
      <c r="I808" s="142">
        <f t="shared" si="217"/>
        <v>0.009397227273</v>
      </c>
      <c r="J808" s="142">
        <f t="shared" si="217"/>
        <v>0.01016995455</v>
      </c>
      <c r="K808" s="142">
        <f t="shared" si="217"/>
        <v>0.01016995455</v>
      </c>
      <c r="L808" s="142">
        <f t="shared" si="217"/>
        <v>0.01016995455</v>
      </c>
      <c r="M808" s="142">
        <f t="shared" si="217"/>
        <v>0.01271540909</v>
      </c>
      <c r="N808" s="142">
        <f t="shared" si="217"/>
        <v>0.01271540909</v>
      </c>
      <c r="O808" s="200">
        <f t="shared" si="217"/>
        <v>0</v>
      </c>
      <c r="P808" s="200"/>
      <c r="Q808" s="200"/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O809" si="218">IFERROR(1-(H804/$H$800),0)</f>
        <v>0.9870788125</v>
      </c>
      <c r="I809" s="142">
        <f t="shared" si="218"/>
        <v>0.9870788125</v>
      </c>
      <c r="J809" s="142">
        <f t="shared" si="218"/>
        <v>0.9860163125</v>
      </c>
      <c r="K809" s="142">
        <f t="shared" si="218"/>
        <v>0.9860163125</v>
      </c>
      <c r="L809" s="142">
        <f t="shared" si="218"/>
        <v>0.9860163125</v>
      </c>
      <c r="M809" s="142">
        <f t="shared" si="218"/>
        <v>0.9825163125</v>
      </c>
      <c r="N809" s="142">
        <f t="shared" si="218"/>
        <v>0.9825163125</v>
      </c>
      <c r="O809" s="200">
        <f t="shared" si="218"/>
        <v>0</v>
      </c>
      <c r="P809" s="200"/>
      <c r="Q809" s="200"/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58"/>
      <c r="N810" s="158"/>
      <c r="O810" s="198"/>
      <c r="P810" s="19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9">ROUNDUP(H805/H812,0)</f>
        <v>0</v>
      </c>
      <c r="I811" s="190">
        <f t="shared" si="219"/>
        <v>0</v>
      </c>
      <c r="J811" s="190">
        <f t="shared" si="219"/>
        <v>5</v>
      </c>
      <c r="K811" s="190">
        <f t="shared" si="219"/>
        <v>0</v>
      </c>
      <c r="L811" s="190">
        <f t="shared" si="219"/>
        <v>0</v>
      </c>
      <c r="M811" s="190">
        <f>ROUND(M805/M812,0)</f>
        <v>14</v>
      </c>
      <c r="N811" s="190">
        <f>ROUNDUP(N805/N812,0)</f>
        <v>0</v>
      </c>
      <c r="O811" s="201">
        <f>SUM(H811:N811)</f>
        <v>19</v>
      </c>
      <c r="P811" s="201"/>
      <c r="Q811" s="201"/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56">
        <v>44500.0</v>
      </c>
      <c r="N812" s="156">
        <v>44500.0</v>
      </c>
      <c r="O812" s="198"/>
      <c r="P812" s="198"/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N813" si="220">SUM(H827,H830,H833,H836,H839)</f>
        <v>0</v>
      </c>
      <c r="I813" s="188">
        <f t="shared" si="220"/>
        <v>0</v>
      </c>
      <c r="J813" s="188">
        <f t="shared" si="220"/>
        <v>170000</v>
      </c>
      <c r="K813" s="188">
        <f t="shared" si="220"/>
        <v>0</v>
      </c>
      <c r="L813" s="188">
        <f t="shared" si="220"/>
        <v>0</v>
      </c>
      <c r="M813" s="188">
        <f t="shared" si="220"/>
        <v>560000</v>
      </c>
      <c r="N813" s="188">
        <f t="shared" si="220"/>
        <v>0</v>
      </c>
      <c r="O813" s="196">
        <f>SUM(H813:N813)</f>
        <v>730000</v>
      </c>
      <c r="P813" s="160"/>
      <c r="Q813" s="160"/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203">
        <v>0.5</v>
      </c>
      <c r="N814" s="203">
        <v>0.5</v>
      </c>
      <c r="O814" s="198"/>
      <c r="P814" s="198"/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203">
        <v>0.4</v>
      </c>
      <c r="N815" s="203">
        <v>0.4</v>
      </c>
      <c r="O815" s="198"/>
      <c r="P815" s="198"/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203">
        <v>0.05</v>
      </c>
      <c r="N816" s="203">
        <v>0.05</v>
      </c>
      <c r="O816" s="198"/>
      <c r="P816" s="198"/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203">
        <v>0.05</v>
      </c>
      <c r="N817" s="203">
        <v>0.05</v>
      </c>
      <c r="O817" s="198"/>
      <c r="P817" s="198"/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203">
        <v>0.0</v>
      </c>
      <c r="N818" s="203">
        <v>0.0</v>
      </c>
      <c r="O818" s="198"/>
      <c r="P818" s="198"/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204">
        <v>70000.0</v>
      </c>
      <c r="N819" s="204">
        <v>70000.0</v>
      </c>
      <c r="O819" s="198"/>
      <c r="P819" s="198"/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204">
        <v>10000.0</v>
      </c>
      <c r="N820" s="204">
        <v>10000.0</v>
      </c>
      <c r="O820" s="198"/>
      <c r="P820" s="198"/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204">
        <v>10000.0</v>
      </c>
      <c r="N821" s="204">
        <v>10000.0</v>
      </c>
      <c r="O821" s="198"/>
      <c r="P821" s="198"/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204">
        <v>100000.0</v>
      </c>
      <c r="N822" s="204">
        <v>100000.0</v>
      </c>
      <c r="O822" s="198"/>
      <c r="P822" s="198"/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204">
        <v>0.0</v>
      </c>
      <c r="N823" s="204">
        <v>0.0</v>
      </c>
      <c r="O823" s="198"/>
      <c r="P823" s="198"/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62">
        <f>IFERROR(__xludf.DUMMYFUNCTION("MATCH(
  MIN(FILTER(M819:M823,M819:M823&gt;0)),
  M819:M823,
  0
)
"),2.0)</f>
        <v>2</v>
      </c>
      <c r="N824" s="162">
        <f>IFERROR(__xludf.DUMMYFUNCTION("MATCH(
  MIN(FILTER(N819:N823,N819:N823&gt;0)),
  N819:N823,
  0
)
"),2.0)</f>
        <v>2</v>
      </c>
      <c r="O824" s="198"/>
      <c r="P824" s="198"/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48"/>
      <c r="N825" s="148"/>
      <c r="O825" s="198"/>
      <c r="P825" s="19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N826" si="221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1"/>
        <v>0</v>
      </c>
      <c r="J826" s="148">
        <f t="shared" si="221"/>
        <v>2</v>
      </c>
      <c r="K826" s="148">
        <f t="shared" si="221"/>
        <v>0</v>
      </c>
      <c r="L826" s="148">
        <f t="shared" si="221"/>
        <v>0</v>
      </c>
      <c r="M826" s="148">
        <f t="shared" si="221"/>
        <v>7</v>
      </c>
      <c r="N826" s="148">
        <f t="shared" si="221"/>
        <v>0</v>
      </c>
      <c r="O826" s="198"/>
      <c r="P826" s="198"/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N827" si="222">(H826*H819)</f>
        <v>0</v>
      </c>
      <c r="I827" s="150">
        <f t="shared" si="222"/>
        <v>0</v>
      </c>
      <c r="J827" s="150">
        <f t="shared" si="222"/>
        <v>140000</v>
      </c>
      <c r="K827" s="150">
        <f t="shared" si="222"/>
        <v>0</v>
      </c>
      <c r="L827" s="150">
        <f t="shared" si="222"/>
        <v>0</v>
      </c>
      <c r="M827" s="150">
        <f t="shared" si="222"/>
        <v>490000</v>
      </c>
      <c r="N827" s="150">
        <f t="shared" si="222"/>
        <v>0</v>
      </c>
      <c r="O827" s="198"/>
      <c r="P827" s="198"/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48"/>
      <c r="N828" s="148"/>
      <c r="O828" s="198"/>
      <c r="P828" s="19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N829" si="223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3"/>
        <v>0</v>
      </c>
      <c r="J829" s="148">
        <f t="shared" si="223"/>
        <v>3</v>
      </c>
      <c r="K829" s="148">
        <f t="shared" si="223"/>
        <v>0</v>
      </c>
      <c r="L829" s="148">
        <f t="shared" si="223"/>
        <v>0</v>
      </c>
      <c r="M829" s="148">
        <f t="shared" si="223"/>
        <v>7</v>
      </c>
      <c r="N829" s="148">
        <f t="shared" si="223"/>
        <v>0</v>
      </c>
      <c r="O829" s="198"/>
      <c r="P829" s="198"/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N830" si="224">(H820*H829)</f>
        <v>0</v>
      </c>
      <c r="I830" s="150">
        <f t="shared" si="224"/>
        <v>0</v>
      </c>
      <c r="J830" s="150">
        <f t="shared" si="224"/>
        <v>30000</v>
      </c>
      <c r="K830" s="150">
        <f t="shared" si="224"/>
        <v>0</v>
      </c>
      <c r="L830" s="150">
        <f t="shared" si="224"/>
        <v>0</v>
      </c>
      <c r="M830" s="150">
        <f t="shared" si="224"/>
        <v>70000</v>
      </c>
      <c r="N830" s="150">
        <f t="shared" si="224"/>
        <v>0</v>
      </c>
      <c r="O830" s="198"/>
      <c r="P830" s="198"/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48"/>
      <c r="N831" s="148"/>
      <c r="O831" s="198"/>
      <c r="P831" s="19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N832" si="225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5"/>
        <v>0</v>
      </c>
      <c r="J832" s="148">
        <f t="shared" si="225"/>
        <v>0</v>
      </c>
      <c r="K832" s="148">
        <f t="shared" si="225"/>
        <v>0</v>
      </c>
      <c r="L832" s="148">
        <f t="shared" si="225"/>
        <v>0</v>
      </c>
      <c r="M832" s="148">
        <f t="shared" si="225"/>
        <v>0</v>
      </c>
      <c r="N832" s="148">
        <f t="shared" si="225"/>
        <v>0</v>
      </c>
      <c r="O832" s="198"/>
      <c r="P832" s="198"/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N833" si="226">(H821*H832)</f>
        <v>0</v>
      </c>
      <c r="I833" s="150">
        <f t="shared" si="226"/>
        <v>0</v>
      </c>
      <c r="J833" s="150">
        <f t="shared" si="226"/>
        <v>0</v>
      </c>
      <c r="K833" s="150">
        <f t="shared" si="226"/>
        <v>0</v>
      </c>
      <c r="L833" s="150">
        <f t="shared" si="226"/>
        <v>0</v>
      </c>
      <c r="M833" s="150">
        <f t="shared" si="226"/>
        <v>0</v>
      </c>
      <c r="N833" s="150">
        <f t="shared" si="226"/>
        <v>0</v>
      </c>
      <c r="O833" s="198"/>
      <c r="P833" s="198"/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48"/>
      <c r="N834" s="148"/>
      <c r="O834" s="198"/>
      <c r="P834" s="19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N835" si="227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7"/>
        <v>0</v>
      </c>
      <c r="J835" s="148">
        <f t="shared" si="227"/>
        <v>0</v>
      </c>
      <c r="K835" s="148">
        <f t="shared" si="227"/>
        <v>0</v>
      </c>
      <c r="L835" s="148">
        <f t="shared" si="227"/>
        <v>0</v>
      </c>
      <c r="M835" s="148">
        <f t="shared" si="227"/>
        <v>0</v>
      </c>
      <c r="N835" s="148">
        <f t="shared" si="227"/>
        <v>0</v>
      </c>
      <c r="O835" s="198"/>
      <c r="P835" s="198"/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N836" si="228">(H822*H835)</f>
        <v>0</v>
      </c>
      <c r="I836" s="150">
        <f t="shared" si="228"/>
        <v>0</v>
      </c>
      <c r="J836" s="150">
        <f t="shared" si="228"/>
        <v>0</v>
      </c>
      <c r="K836" s="150">
        <f t="shared" si="228"/>
        <v>0</v>
      </c>
      <c r="L836" s="150">
        <f t="shared" si="228"/>
        <v>0</v>
      </c>
      <c r="M836" s="150">
        <f t="shared" si="228"/>
        <v>0</v>
      </c>
      <c r="N836" s="150">
        <f t="shared" si="228"/>
        <v>0</v>
      </c>
      <c r="O836" s="198"/>
      <c r="P836" s="198"/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48"/>
      <c r="N837" s="148"/>
      <c r="O837" s="198"/>
      <c r="P837" s="19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N838" si="229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29"/>
        <v>0</v>
      </c>
      <c r="J838" s="148">
        <f t="shared" si="229"/>
        <v>0</v>
      </c>
      <c r="K838" s="148">
        <f t="shared" si="229"/>
        <v>0</v>
      </c>
      <c r="L838" s="148">
        <f t="shared" si="229"/>
        <v>0</v>
      </c>
      <c r="M838" s="148">
        <f t="shared" si="229"/>
        <v>0</v>
      </c>
      <c r="N838" s="148">
        <f t="shared" si="229"/>
        <v>0</v>
      </c>
      <c r="O838" s="198"/>
      <c r="P838" s="198"/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N839" si="230">(H823*H838)</f>
        <v>0</v>
      </c>
      <c r="I839" s="150">
        <f t="shared" si="230"/>
        <v>0</v>
      </c>
      <c r="J839" s="150">
        <f t="shared" si="230"/>
        <v>0</v>
      </c>
      <c r="K839" s="150">
        <f t="shared" si="230"/>
        <v>0</v>
      </c>
      <c r="L839" s="150">
        <f t="shared" si="230"/>
        <v>0</v>
      </c>
      <c r="M839" s="150">
        <f t="shared" si="230"/>
        <v>0</v>
      </c>
      <c r="N839" s="150">
        <f t="shared" si="230"/>
        <v>0</v>
      </c>
      <c r="O839" s="198"/>
      <c r="P839" s="198"/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60"/>
      <c r="N840" s="160"/>
      <c r="O840" s="198"/>
      <c r="P840" s="198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42</v>
      </c>
      <c r="I842" s="206"/>
      <c r="J842" s="206"/>
      <c r="K842" s="206"/>
      <c r="L842" s="206"/>
      <c r="M842" s="206"/>
      <c r="N842" s="206"/>
      <c r="O842" s="198"/>
      <c r="P842" s="198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0.01682857143</v>
      </c>
      <c r="H843" s="149">
        <f>H442</f>
        <v>2120400</v>
      </c>
      <c r="I843" s="149"/>
      <c r="J843" s="149"/>
      <c r="K843" s="149"/>
      <c r="L843" s="149"/>
      <c r="M843" s="149"/>
      <c r="N843" s="149"/>
      <c r="O843" s="160"/>
      <c r="P843" s="160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56"/>
      <c r="N844" s="156"/>
      <c r="O844" s="160"/>
      <c r="P844" s="160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126000000</v>
      </c>
      <c r="I845" s="149"/>
      <c r="J845" s="149"/>
      <c r="K845" s="149"/>
      <c r="L845" s="149"/>
      <c r="M845" s="149"/>
      <c r="N845" s="149"/>
      <c r="O845" s="160"/>
      <c r="P845" s="160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49"/>
      <c r="N846" s="149"/>
      <c r="O846" s="160"/>
      <c r="P846" s="160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0.05048571429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>
        <v>0.3</v>
      </c>
      <c r="N847" s="145">
        <v>0.0</v>
      </c>
      <c r="O847" s="145"/>
      <c r="P847" s="145"/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6361200</v>
      </c>
      <c r="H848" s="19"/>
      <c r="I848" s="19"/>
      <c r="J848" s="19"/>
      <c r="K848" s="19"/>
      <c r="L848" s="19"/>
      <c r="M848" s="19"/>
      <c r="N848" s="19"/>
      <c r="O848" s="16"/>
      <c r="P848" s="16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2120400</v>
      </c>
      <c r="I849" s="149">
        <f t="shared" ref="I849:N849" si="231">H849+I858</f>
        <v>2120400</v>
      </c>
      <c r="J849" s="149">
        <f t="shared" si="231"/>
        <v>2560400</v>
      </c>
      <c r="K849" s="149">
        <f t="shared" si="231"/>
        <v>2560400</v>
      </c>
      <c r="L849" s="149">
        <f t="shared" si="231"/>
        <v>2560400</v>
      </c>
      <c r="M849" s="149">
        <f t="shared" si="231"/>
        <v>3781400</v>
      </c>
      <c r="N849" s="149">
        <f t="shared" si="231"/>
        <v>3781400</v>
      </c>
      <c r="O849" s="199" t="str">
        <f>#REF!</f>
        <v>#REF!</v>
      </c>
      <c r="P849" s="199"/>
      <c r="Q849" s="199"/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4240800</v>
      </c>
      <c r="H850" s="149">
        <f t="shared" ref="H850:N850" si="232">$G$850*H847</f>
        <v>0</v>
      </c>
      <c r="I850" s="149">
        <f t="shared" si="232"/>
        <v>0</v>
      </c>
      <c r="J850" s="149">
        <f t="shared" si="232"/>
        <v>424080</v>
      </c>
      <c r="K850" s="149">
        <f t="shared" si="232"/>
        <v>0</v>
      </c>
      <c r="L850" s="149">
        <f t="shared" si="232"/>
        <v>0</v>
      </c>
      <c r="M850" s="149">
        <f t="shared" si="232"/>
        <v>1272240</v>
      </c>
      <c r="N850" s="149">
        <f t="shared" si="232"/>
        <v>0</v>
      </c>
      <c r="O850" s="199">
        <f>SUM(H850:N850)</f>
        <v>1696320</v>
      </c>
      <c r="P850" s="199"/>
      <c r="Q850" s="199"/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42"/>
      <c r="N851" s="142"/>
      <c r="O851" s="160"/>
      <c r="P851" s="160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N852" si="233">$H$845-H849</f>
        <v>123879600</v>
      </c>
      <c r="I852" s="149">
        <f t="shared" si="233"/>
        <v>123879600</v>
      </c>
      <c r="J852" s="149">
        <f t="shared" si="233"/>
        <v>123439600</v>
      </c>
      <c r="K852" s="149">
        <f t="shared" si="233"/>
        <v>123439600</v>
      </c>
      <c r="L852" s="149">
        <f t="shared" si="233"/>
        <v>123439600</v>
      </c>
      <c r="M852" s="149">
        <f t="shared" si="233"/>
        <v>122218600</v>
      </c>
      <c r="N852" s="149">
        <f t="shared" si="233"/>
        <v>122218600</v>
      </c>
      <c r="O852" s="160"/>
      <c r="P852" s="160"/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O853" si="234">IFERROR(H849/$H$845,0)</f>
        <v>0.01682857143</v>
      </c>
      <c r="I853" s="142">
        <f t="shared" si="234"/>
        <v>0.01682857143</v>
      </c>
      <c r="J853" s="142">
        <f t="shared" si="234"/>
        <v>0.02032063492</v>
      </c>
      <c r="K853" s="142">
        <f t="shared" si="234"/>
        <v>0.02032063492</v>
      </c>
      <c r="L853" s="142">
        <f t="shared" si="234"/>
        <v>0.02032063492</v>
      </c>
      <c r="M853" s="142">
        <f t="shared" si="234"/>
        <v>0.03001111111</v>
      </c>
      <c r="N853" s="142">
        <f t="shared" si="234"/>
        <v>0.03001111111</v>
      </c>
      <c r="O853" s="200">
        <f t="shared" si="234"/>
        <v>0</v>
      </c>
      <c r="P853" s="200"/>
      <c r="Q853" s="200"/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O854" si="235">IFERROR(1-(H849/$H$845),0)</f>
        <v>0.9831714286</v>
      </c>
      <c r="I854" s="142">
        <f t="shared" si="235"/>
        <v>0.9831714286</v>
      </c>
      <c r="J854" s="142">
        <f t="shared" si="235"/>
        <v>0.9796793651</v>
      </c>
      <c r="K854" s="142">
        <f t="shared" si="235"/>
        <v>0.9796793651</v>
      </c>
      <c r="L854" s="142">
        <f t="shared" si="235"/>
        <v>0.9796793651</v>
      </c>
      <c r="M854" s="142">
        <f t="shared" si="235"/>
        <v>0.9699888889</v>
      </c>
      <c r="N854" s="142">
        <f t="shared" si="235"/>
        <v>0.9699888889</v>
      </c>
      <c r="O854" s="200">
        <f t="shared" si="235"/>
        <v>0</v>
      </c>
      <c r="P854" s="200"/>
      <c r="Q854" s="200"/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7"/>
      <c r="N855" s="207"/>
      <c r="O855" s="208"/>
      <c r="P855" s="208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6">ROUNDUP(H850/H857,0)</f>
        <v>0</v>
      </c>
      <c r="I856" s="190">
        <f t="shared" si="236"/>
        <v>0</v>
      </c>
      <c r="J856" s="190">
        <f t="shared" si="236"/>
        <v>20</v>
      </c>
      <c r="K856" s="190">
        <f t="shared" si="236"/>
        <v>0</v>
      </c>
      <c r="L856" s="190">
        <f t="shared" si="236"/>
        <v>0</v>
      </c>
      <c r="M856" s="190">
        <f>ROUND(M850/M857,0)</f>
        <v>58</v>
      </c>
      <c r="N856" s="190">
        <f>ROUNDUP(N850/N857,0)</f>
        <v>0</v>
      </c>
      <c r="O856" s="201">
        <f>SUM(H856:N856)</f>
        <v>78</v>
      </c>
      <c r="P856" s="201"/>
      <c r="Q856" s="201"/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56">
        <v>22000.0</v>
      </c>
      <c r="N857" s="156">
        <v>22000.0</v>
      </c>
      <c r="O857" s="198"/>
      <c r="P857" s="198"/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N858" si="237">SUM(H872,H875,H878,H881,H884)</f>
        <v>0</v>
      </c>
      <c r="I858" s="188">
        <f t="shared" si="237"/>
        <v>0</v>
      </c>
      <c r="J858" s="188">
        <f t="shared" si="237"/>
        <v>440000</v>
      </c>
      <c r="K858" s="188">
        <f t="shared" si="237"/>
        <v>0</v>
      </c>
      <c r="L858" s="188">
        <f t="shared" si="237"/>
        <v>0</v>
      </c>
      <c r="M858" s="188">
        <f t="shared" si="237"/>
        <v>1221000</v>
      </c>
      <c r="N858" s="188">
        <f t="shared" si="237"/>
        <v>0</v>
      </c>
      <c r="O858" s="196">
        <f>SUM(H858:N858)</f>
        <v>1661000</v>
      </c>
      <c r="P858" s="160"/>
      <c r="Q858" s="160"/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203">
        <v>0.4</v>
      </c>
      <c r="N859" s="203">
        <v>0.4</v>
      </c>
      <c r="O859" s="198"/>
      <c r="P859" s="198"/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203">
        <v>0.4</v>
      </c>
      <c r="N860" s="203">
        <v>0.4</v>
      </c>
      <c r="O860" s="198"/>
      <c r="P860" s="198"/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203">
        <v>0.1</v>
      </c>
      <c r="N861" s="203">
        <v>0.1</v>
      </c>
      <c r="O861" s="198"/>
      <c r="P861" s="198"/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203">
        <v>0.1</v>
      </c>
      <c r="N862" s="203">
        <v>0.1</v>
      </c>
      <c r="O862" s="198"/>
      <c r="P862" s="198"/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203">
        <v>0.0</v>
      </c>
      <c r="N863" s="203">
        <v>0.0</v>
      </c>
      <c r="O863" s="198"/>
      <c r="P863" s="198"/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204">
        <v>25000.0</v>
      </c>
      <c r="N864" s="204">
        <v>25000.0</v>
      </c>
      <c r="O864" s="198"/>
      <c r="P864" s="198"/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204">
        <v>10000.0</v>
      </c>
      <c r="N865" s="204">
        <v>10000.0</v>
      </c>
      <c r="O865" s="198"/>
      <c r="P865" s="198"/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204">
        <v>8000.0</v>
      </c>
      <c r="N866" s="204">
        <v>8000.0</v>
      </c>
      <c r="O866" s="198"/>
      <c r="P866" s="198"/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204">
        <v>72000.0</v>
      </c>
      <c r="N867" s="204">
        <v>72000.0</v>
      </c>
      <c r="O867" s="198"/>
      <c r="P867" s="198"/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204">
        <v>0.0</v>
      </c>
      <c r="N868" s="204">
        <v>0.0</v>
      </c>
      <c r="O868" s="198"/>
      <c r="P868" s="198"/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62">
        <f>IFERROR(__xludf.DUMMYFUNCTION("MATCH(
  MIN(FILTER(M864:M868,M864:M868&gt;0)),
  M864:M868,
  0
)
"),3.0)</f>
        <v>3</v>
      </c>
      <c r="N869" s="162">
        <f>IFERROR(__xludf.DUMMYFUNCTION("MATCH(
  MIN(FILTER(N864:N868,N864:N868&gt;0)),
  N864:N868,
  0
)
"),3.0)</f>
        <v>3</v>
      </c>
      <c r="O869" s="198"/>
      <c r="P869" s="198"/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48"/>
      <c r="N870" s="148"/>
      <c r="O870" s="198"/>
      <c r="P870" s="19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N871" si="238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38"/>
        <v>0</v>
      </c>
      <c r="J871" s="148">
        <f t="shared" si="238"/>
        <v>8</v>
      </c>
      <c r="K871" s="148">
        <f t="shared" si="238"/>
        <v>0</v>
      </c>
      <c r="L871" s="148">
        <f t="shared" si="238"/>
        <v>0</v>
      </c>
      <c r="M871" s="148">
        <f t="shared" si="238"/>
        <v>23</v>
      </c>
      <c r="N871" s="148">
        <f t="shared" si="238"/>
        <v>0</v>
      </c>
      <c r="O871" s="198"/>
      <c r="P871" s="198"/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N872" si="239">(H871*H864)</f>
        <v>0</v>
      </c>
      <c r="I872" s="150">
        <f t="shared" si="239"/>
        <v>0</v>
      </c>
      <c r="J872" s="150">
        <f t="shared" si="239"/>
        <v>200000</v>
      </c>
      <c r="K872" s="150">
        <f t="shared" si="239"/>
        <v>0</v>
      </c>
      <c r="L872" s="150">
        <f t="shared" si="239"/>
        <v>0</v>
      </c>
      <c r="M872" s="150">
        <f t="shared" si="239"/>
        <v>575000</v>
      </c>
      <c r="N872" s="150">
        <f t="shared" si="239"/>
        <v>0</v>
      </c>
      <c r="O872" s="198"/>
      <c r="P872" s="198"/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48"/>
      <c r="N873" s="148"/>
      <c r="O873" s="198"/>
      <c r="P873" s="19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N874" si="240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0"/>
        <v>0</v>
      </c>
      <c r="J874" s="148">
        <f t="shared" si="240"/>
        <v>8</v>
      </c>
      <c r="K874" s="148">
        <f t="shared" si="240"/>
        <v>0</v>
      </c>
      <c r="L874" s="148">
        <f t="shared" si="240"/>
        <v>0</v>
      </c>
      <c r="M874" s="148">
        <f t="shared" si="240"/>
        <v>23</v>
      </c>
      <c r="N874" s="148">
        <f t="shared" si="240"/>
        <v>0</v>
      </c>
      <c r="O874" s="198"/>
      <c r="P874" s="198"/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N875" si="241">(H865*H874)</f>
        <v>0</v>
      </c>
      <c r="I875" s="150">
        <f t="shared" si="241"/>
        <v>0</v>
      </c>
      <c r="J875" s="150">
        <f t="shared" si="241"/>
        <v>80000</v>
      </c>
      <c r="K875" s="150">
        <f t="shared" si="241"/>
        <v>0</v>
      </c>
      <c r="L875" s="150">
        <f t="shared" si="241"/>
        <v>0</v>
      </c>
      <c r="M875" s="150">
        <f t="shared" si="241"/>
        <v>230000</v>
      </c>
      <c r="N875" s="150">
        <f t="shared" si="241"/>
        <v>0</v>
      </c>
      <c r="O875" s="198"/>
      <c r="P875" s="198"/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48"/>
      <c r="N876" s="148"/>
      <c r="O876" s="198"/>
      <c r="P876" s="19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N877" si="242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2"/>
        <v>0</v>
      </c>
      <c r="J877" s="148">
        <f t="shared" si="242"/>
        <v>2</v>
      </c>
      <c r="K877" s="148">
        <f t="shared" si="242"/>
        <v>0</v>
      </c>
      <c r="L877" s="148">
        <f t="shared" si="242"/>
        <v>0</v>
      </c>
      <c r="M877" s="148">
        <f t="shared" si="242"/>
        <v>7</v>
      </c>
      <c r="N877" s="148">
        <f t="shared" si="242"/>
        <v>0</v>
      </c>
      <c r="O877" s="198"/>
      <c r="P877" s="198"/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N878" si="243">(H866*H877)</f>
        <v>0</v>
      </c>
      <c r="I878" s="150">
        <f t="shared" si="243"/>
        <v>0</v>
      </c>
      <c r="J878" s="150">
        <f t="shared" si="243"/>
        <v>16000</v>
      </c>
      <c r="K878" s="150">
        <f t="shared" si="243"/>
        <v>0</v>
      </c>
      <c r="L878" s="150">
        <f t="shared" si="243"/>
        <v>0</v>
      </c>
      <c r="M878" s="150">
        <f t="shared" si="243"/>
        <v>56000</v>
      </c>
      <c r="N878" s="150">
        <f t="shared" si="243"/>
        <v>0</v>
      </c>
      <c r="O878" s="198"/>
      <c r="P878" s="198"/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48"/>
      <c r="N879" s="148"/>
      <c r="O879" s="198"/>
      <c r="P879" s="19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N880" si="244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4"/>
        <v>0</v>
      </c>
      <c r="J880" s="148">
        <f t="shared" si="244"/>
        <v>2</v>
      </c>
      <c r="K880" s="148">
        <f t="shared" si="244"/>
        <v>0</v>
      </c>
      <c r="L880" s="148">
        <f t="shared" si="244"/>
        <v>0</v>
      </c>
      <c r="M880" s="148">
        <f t="shared" si="244"/>
        <v>5</v>
      </c>
      <c r="N880" s="148">
        <f t="shared" si="244"/>
        <v>0</v>
      </c>
      <c r="O880" s="198"/>
      <c r="P880" s="198"/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N881" si="245">(H867*H880)</f>
        <v>0</v>
      </c>
      <c r="I881" s="150">
        <f t="shared" si="245"/>
        <v>0</v>
      </c>
      <c r="J881" s="150">
        <f t="shared" si="245"/>
        <v>144000</v>
      </c>
      <c r="K881" s="150">
        <f t="shared" si="245"/>
        <v>0</v>
      </c>
      <c r="L881" s="150">
        <f t="shared" si="245"/>
        <v>0</v>
      </c>
      <c r="M881" s="150">
        <f t="shared" si="245"/>
        <v>360000</v>
      </c>
      <c r="N881" s="150">
        <f t="shared" si="245"/>
        <v>0</v>
      </c>
      <c r="O881" s="198"/>
      <c r="P881" s="198"/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48"/>
      <c r="N882" s="148"/>
      <c r="O882" s="198"/>
      <c r="P882" s="19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N883" si="246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6"/>
        <v>0</v>
      </c>
      <c r="J883" s="148">
        <f t="shared" si="246"/>
        <v>0</v>
      </c>
      <c r="K883" s="148">
        <f t="shared" si="246"/>
        <v>0</v>
      </c>
      <c r="L883" s="148">
        <f t="shared" si="246"/>
        <v>0</v>
      </c>
      <c r="M883" s="148">
        <f t="shared" si="246"/>
        <v>0</v>
      </c>
      <c r="N883" s="148">
        <f t="shared" si="246"/>
        <v>0</v>
      </c>
      <c r="O883" s="198"/>
      <c r="P883" s="198"/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N884" si="247">(H868*H883)</f>
        <v>0</v>
      </c>
      <c r="I884" s="150">
        <f t="shared" si="247"/>
        <v>0</v>
      </c>
      <c r="J884" s="150">
        <f t="shared" si="247"/>
        <v>0</v>
      </c>
      <c r="K884" s="150">
        <f t="shared" si="247"/>
        <v>0</v>
      </c>
      <c r="L884" s="150">
        <f t="shared" si="247"/>
        <v>0</v>
      </c>
      <c r="M884" s="150">
        <f t="shared" si="247"/>
        <v>0</v>
      </c>
      <c r="N884" s="150">
        <f t="shared" si="247"/>
        <v>0</v>
      </c>
      <c r="O884" s="198"/>
      <c r="P884" s="198"/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63"/>
      <c r="N885" s="163"/>
      <c r="O885" s="1"/>
      <c r="P885" s="1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220</v>
      </c>
      <c r="I887" s="209"/>
      <c r="J887" s="209"/>
      <c r="K887" s="209"/>
      <c r="L887" s="209"/>
      <c r="M887" s="209"/>
      <c r="N887" s="209"/>
      <c r="O887" s="198"/>
      <c r="P887" s="198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0.04023940909</v>
      </c>
      <c r="H888" s="210">
        <f>H$468</f>
        <v>8852670</v>
      </c>
      <c r="I888" s="209"/>
      <c r="J888" s="209"/>
      <c r="K888" s="209"/>
      <c r="L888" s="209"/>
      <c r="M888" s="209"/>
      <c r="N888" s="209"/>
      <c r="O888" s="198"/>
      <c r="P888" s="198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158"/>
      <c r="M889" s="158"/>
      <c r="N889" s="158"/>
      <c r="O889" s="211"/>
      <c r="P889" s="211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220000000</v>
      </c>
      <c r="I890" s="212"/>
      <c r="J890" s="212"/>
      <c r="K890" s="212"/>
      <c r="L890" s="212"/>
      <c r="M890" s="212"/>
      <c r="N890" s="212"/>
      <c r="O890" s="211"/>
      <c r="P890" s="211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2"/>
      <c r="N891" s="212"/>
      <c r="O891" s="211"/>
      <c r="P891" s="211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0.08047881818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3">
        <v>0.1</v>
      </c>
      <c r="N892" s="213">
        <v>0.07</v>
      </c>
      <c r="O892" s="211"/>
      <c r="P892" s="211"/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17705340</v>
      </c>
      <c r="H893" s="149"/>
      <c r="I893" s="149"/>
      <c r="J893" s="149"/>
      <c r="K893" s="149"/>
      <c r="L893" s="149"/>
      <c r="M893" s="149"/>
      <c r="N893" s="149"/>
      <c r="O893" s="211"/>
      <c r="P893" s="211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8852670</v>
      </c>
      <c r="I894" s="149">
        <f t="shared" ref="I894:N894" si="248">H894+I903</f>
        <v>11672670</v>
      </c>
      <c r="J894" s="149">
        <f t="shared" si="248"/>
        <v>13162670</v>
      </c>
      <c r="K894" s="149">
        <f t="shared" si="248"/>
        <v>14462670</v>
      </c>
      <c r="L894" s="149">
        <f t="shared" si="248"/>
        <v>15316670</v>
      </c>
      <c r="M894" s="149">
        <f t="shared" si="248"/>
        <v>16170670</v>
      </c>
      <c r="N894" s="149">
        <f t="shared" si="248"/>
        <v>16792670</v>
      </c>
      <c r="O894" s="211" t="str">
        <f>#REF!</f>
        <v>#REF!</v>
      </c>
      <c r="P894" s="211"/>
      <c r="Q894" s="211"/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8852670</v>
      </c>
      <c r="H895" s="149">
        <f t="shared" ref="H895:N895" si="249">$G$895*H892</f>
        <v>0</v>
      </c>
      <c r="I895" s="149">
        <f t="shared" si="249"/>
        <v>2832854.4</v>
      </c>
      <c r="J895" s="149">
        <f t="shared" si="249"/>
        <v>1504953.9</v>
      </c>
      <c r="K895" s="149">
        <f t="shared" si="249"/>
        <v>1327900.5</v>
      </c>
      <c r="L895" s="149">
        <f t="shared" si="249"/>
        <v>885267</v>
      </c>
      <c r="M895" s="149">
        <f t="shared" si="249"/>
        <v>885267</v>
      </c>
      <c r="N895" s="149">
        <f t="shared" si="249"/>
        <v>619686.9</v>
      </c>
      <c r="O895" s="214">
        <f>SUM(H895:N895)</f>
        <v>8055929.7</v>
      </c>
      <c r="P895" s="211"/>
      <c r="Q895" s="211"/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3"/>
      <c r="N896" s="213"/>
      <c r="O896" s="211"/>
      <c r="P896" s="211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N897" si="250">$H$890-H894</f>
        <v>211147330</v>
      </c>
      <c r="I897" s="149">
        <f t="shared" si="250"/>
        <v>208327330</v>
      </c>
      <c r="J897" s="149">
        <f t="shared" si="250"/>
        <v>206837330</v>
      </c>
      <c r="K897" s="149">
        <f t="shared" si="250"/>
        <v>205537330</v>
      </c>
      <c r="L897" s="149">
        <f t="shared" si="250"/>
        <v>204683330</v>
      </c>
      <c r="M897" s="149">
        <f t="shared" si="250"/>
        <v>203829330</v>
      </c>
      <c r="N897" s="149">
        <f t="shared" si="250"/>
        <v>203207330</v>
      </c>
      <c r="O897" s="149"/>
      <c r="P897" s="149"/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O898" si="251">IFERROR(H894/$H$890,0)</f>
        <v>0.04023940909</v>
      </c>
      <c r="I898" s="142">
        <f t="shared" si="251"/>
        <v>0.05305759091</v>
      </c>
      <c r="J898" s="142">
        <f t="shared" si="251"/>
        <v>0.05983031818</v>
      </c>
      <c r="K898" s="142">
        <f t="shared" si="251"/>
        <v>0.06573940909</v>
      </c>
      <c r="L898" s="142">
        <f t="shared" si="251"/>
        <v>0.06962122727</v>
      </c>
      <c r="M898" s="142">
        <f t="shared" si="251"/>
        <v>0.07350304545</v>
      </c>
      <c r="N898" s="142">
        <f t="shared" si="251"/>
        <v>0.07633031818</v>
      </c>
      <c r="O898" s="215">
        <f t="shared" si="251"/>
        <v>0</v>
      </c>
      <c r="P898" s="215"/>
      <c r="Q898" s="215"/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O899" si="252">IFERROR(1-(H894/$H$890),0)</f>
        <v>0.9597605909</v>
      </c>
      <c r="I899" s="216">
        <f t="shared" si="252"/>
        <v>0.9469424091</v>
      </c>
      <c r="J899" s="216">
        <f t="shared" si="252"/>
        <v>0.9401696818</v>
      </c>
      <c r="K899" s="216">
        <f t="shared" si="252"/>
        <v>0.9342605909</v>
      </c>
      <c r="L899" s="216">
        <f t="shared" si="252"/>
        <v>0.9303787727</v>
      </c>
      <c r="M899" s="216">
        <f t="shared" si="252"/>
        <v>0.9264969545</v>
      </c>
      <c r="N899" s="216">
        <f t="shared" si="252"/>
        <v>0.9236696818</v>
      </c>
      <c r="O899" s="215">
        <f t="shared" si="252"/>
        <v>0</v>
      </c>
      <c r="P899" s="215"/>
      <c r="Q899" s="215"/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158"/>
      <c r="N900" s="158"/>
      <c r="O900" s="211"/>
      <c r="P900" s="211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3">ROUNDUP(H895/H902,0)</f>
        <v>0</v>
      </c>
      <c r="I901" s="217">
        <f t="shared" si="253"/>
        <v>157</v>
      </c>
      <c r="J901" s="217">
        <f t="shared" si="253"/>
        <v>84</v>
      </c>
      <c r="K901" s="217">
        <f t="shared" si="253"/>
        <v>74</v>
      </c>
      <c r="L901" s="217">
        <f t="shared" si="253"/>
        <v>49</v>
      </c>
      <c r="M901" s="217">
        <f>ROUND(M895/M902,0)</f>
        <v>49</v>
      </c>
      <c r="N901" s="217">
        <f>ROUNDUP(N895/N902,0)</f>
        <v>35</v>
      </c>
      <c r="O901" s="218">
        <f>SUM(H901:N901)</f>
        <v>448</v>
      </c>
      <c r="P901" s="211"/>
      <c r="Q901" s="211"/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56">
        <v>18100.0</v>
      </c>
      <c r="N902" s="156">
        <v>18100.0</v>
      </c>
      <c r="O902" s="198"/>
      <c r="P902" s="198"/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N903" si="254">SUM(H917,H920,H923,H926,H929)</f>
        <v>0</v>
      </c>
      <c r="I903" s="188">
        <f t="shared" si="254"/>
        <v>2820000</v>
      </c>
      <c r="J903" s="188">
        <f t="shared" si="254"/>
        <v>1490000</v>
      </c>
      <c r="K903" s="188">
        <f t="shared" si="254"/>
        <v>1300000</v>
      </c>
      <c r="L903" s="188">
        <f t="shared" si="254"/>
        <v>854000</v>
      </c>
      <c r="M903" s="188">
        <f t="shared" si="254"/>
        <v>854000</v>
      </c>
      <c r="N903" s="188">
        <f t="shared" si="254"/>
        <v>622000</v>
      </c>
      <c r="O903" s="214">
        <f>SUM(H903:N903)</f>
        <v>7940000</v>
      </c>
      <c r="P903" s="214"/>
      <c r="Q903" s="214"/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203">
        <v>0.25</v>
      </c>
      <c r="N904" s="203">
        <v>0.25</v>
      </c>
      <c r="O904" s="198"/>
      <c r="P904" s="198"/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203">
        <v>0.35</v>
      </c>
      <c r="N905" s="203">
        <v>0.35</v>
      </c>
      <c r="O905" s="198"/>
      <c r="P905" s="198"/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203">
        <v>0.2</v>
      </c>
      <c r="N906" s="203">
        <v>0.2</v>
      </c>
      <c r="O906" s="198"/>
      <c r="P906" s="198"/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203">
        <v>0.2</v>
      </c>
      <c r="N907" s="203">
        <v>0.2</v>
      </c>
      <c r="O907" s="198"/>
      <c r="P907" s="198"/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203">
        <v>0.0</v>
      </c>
      <c r="N908" s="203">
        <v>0.0</v>
      </c>
      <c r="O908" s="198"/>
      <c r="P908" s="198"/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204">
        <v>20000.0</v>
      </c>
      <c r="N909" s="204">
        <v>20000.0</v>
      </c>
      <c r="O909" s="198"/>
      <c r="P909" s="198"/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204">
        <v>10000.0</v>
      </c>
      <c r="N910" s="204">
        <v>10000.0</v>
      </c>
      <c r="O910" s="198"/>
      <c r="P910" s="198"/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204">
        <v>6000.0</v>
      </c>
      <c r="N911" s="204">
        <v>6000.0</v>
      </c>
      <c r="O911" s="198"/>
      <c r="P911" s="198"/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204">
        <v>42000.0</v>
      </c>
      <c r="N912" s="204">
        <v>42000.0</v>
      </c>
      <c r="O912" s="198"/>
      <c r="P912" s="198"/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204">
        <v>0.0</v>
      </c>
      <c r="N913" s="204">
        <v>0.0</v>
      </c>
      <c r="O913" s="198"/>
      <c r="P913" s="198"/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62">
        <f>IFERROR(__xludf.DUMMYFUNCTION("MATCH(
  MIN(FILTER(M909:M913,M909:M913&gt;0)),
  M909:M913,
  0
)
"),3.0)</f>
        <v>3</v>
      </c>
      <c r="N914" s="162">
        <f>IFERROR(__xludf.DUMMYFUNCTION("MATCH(
  MIN(FILTER(N909:N913,N909:N913&gt;0)),
  N909:N913,
  0
)
"),3.0)</f>
        <v>3</v>
      </c>
      <c r="O914" s="198"/>
      <c r="P914" s="198"/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48"/>
      <c r="N915" s="148"/>
      <c r="O915" s="198"/>
      <c r="P915" s="19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N916" si="255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5"/>
        <v>39</v>
      </c>
      <c r="J916" s="148">
        <f t="shared" si="255"/>
        <v>21</v>
      </c>
      <c r="K916" s="148">
        <f t="shared" si="255"/>
        <v>18</v>
      </c>
      <c r="L916" s="148">
        <f t="shared" si="255"/>
        <v>12</v>
      </c>
      <c r="M916" s="148">
        <f t="shared" si="255"/>
        <v>12</v>
      </c>
      <c r="N916" s="148">
        <f t="shared" si="255"/>
        <v>8</v>
      </c>
      <c r="O916" s="198"/>
      <c r="P916" s="198"/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N917" si="256">(H916*H909)</f>
        <v>0</v>
      </c>
      <c r="I917" s="150">
        <f t="shared" si="256"/>
        <v>780000</v>
      </c>
      <c r="J917" s="150">
        <f t="shared" si="256"/>
        <v>420000</v>
      </c>
      <c r="K917" s="150">
        <f t="shared" si="256"/>
        <v>360000</v>
      </c>
      <c r="L917" s="150">
        <f t="shared" si="256"/>
        <v>240000</v>
      </c>
      <c r="M917" s="150">
        <f t="shared" si="256"/>
        <v>240000</v>
      </c>
      <c r="N917" s="150">
        <f t="shared" si="256"/>
        <v>160000</v>
      </c>
      <c r="O917" s="198"/>
      <c r="P917" s="198"/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48"/>
      <c r="N918" s="148"/>
      <c r="O918" s="198"/>
      <c r="P918" s="19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N919" si="257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57"/>
        <v>54</v>
      </c>
      <c r="J919" s="148">
        <f t="shared" si="257"/>
        <v>29</v>
      </c>
      <c r="K919" s="148">
        <f t="shared" si="257"/>
        <v>25</v>
      </c>
      <c r="L919" s="148">
        <f t="shared" si="257"/>
        <v>17</v>
      </c>
      <c r="M919" s="148">
        <f t="shared" si="257"/>
        <v>17</v>
      </c>
      <c r="N919" s="148">
        <f t="shared" si="257"/>
        <v>12</v>
      </c>
      <c r="O919" s="198"/>
      <c r="P919" s="198"/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N920" si="258">(H910*H919)</f>
        <v>0</v>
      </c>
      <c r="I920" s="150">
        <f t="shared" si="258"/>
        <v>540000</v>
      </c>
      <c r="J920" s="150">
        <f t="shared" si="258"/>
        <v>290000</v>
      </c>
      <c r="K920" s="150">
        <f t="shared" si="258"/>
        <v>250000</v>
      </c>
      <c r="L920" s="150">
        <f t="shared" si="258"/>
        <v>170000</v>
      </c>
      <c r="M920" s="150">
        <f t="shared" si="258"/>
        <v>170000</v>
      </c>
      <c r="N920" s="150">
        <f t="shared" si="258"/>
        <v>120000</v>
      </c>
      <c r="O920" s="198"/>
      <c r="P920" s="198"/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48"/>
      <c r="N921" s="148"/>
      <c r="O921" s="198"/>
      <c r="P921" s="19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N922" si="259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59"/>
        <v>33</v>
      </c>
      <c r="J922" s="148">
        <f t="shared" si="259"/>
        <v>18</v>
      </c>
      <c r="K922" s="148">
        <f t="shared" si="259"/>
        <v>17</v>
      </c>
      <c r="L922" s="148">
        <f t="shared" si="259"/>
        <v>11</v>
      </c>
      <c r="M922" s="148">
        <f t="shared" si="259"/>
        <v>11</v>
      </c>
      <c r="N922" s="148">
        <f t="shared" si="259"/>
        <v>8</v>
      </c>
      <c r="O922" s="198"/>
      <c r="P922" s="198"/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N923" si="260">(H911*H922)</f>
        <v>0</v>
      </c>
      <c r="I923" s="150">
        <f t="shared" si="260"/>
        <v>198000</v>
      </c>
      <c r="J923" s="150">
        <f t="shared" si="260"/>
        <v>108000</v>
      </c>
      <c r="K923" s="150">
        <f t="shared" si="260"/>
        <v>102000</v>
      </c>
      <c r="L923" s="150">
        <f t="shared" si="260"/>
        <v>66000</v>
      </c>
      <c r="M923" s="150">
        <f t="shared" si="260"/>
        <v>66000</v>
      </c>
      <c r="N923" s="150">
        <f t="shared" si="260"/>
        <v>48000</v>
      </c>
      <c r="O923" s="198"/>
      <c r="P923" s="198"/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48"/>
      <c r="N924" s="148"/>
      <c r="O924" s="198"/>
      <c r="P924" s="19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N925" si="261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1"/>
        <v>31</v>
      </c>
      <c r="J925" s="148">
        <f t="shared" si="261"/>
        <v>16</v>
      </c>
      <c r="K925" s="148">
        <f t="shared" si="261"/>
        <v>14</v>
      </c>
      <c r="L925" s="148">
        <f t="shared" si="261"/>
        <v>9</v>
      </c>
      <c r="M925" s="148">
        <f t="shared" si="261"/>
        <v>9</v>
      </c>
      <c r="N925" s="148">
        <f t="shared" si="261"/>
        <v>7</v>
      </c>
      <c r="O925" s="198"/>
      <c r="P925" s="198"/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N926" si="262">(H912*H925)</f>
        <v>0</v>
      </c>
      <c r="I926" s="150">
        <f t="shared" si="262"/>
        <v>1302000</v>
      </c>
      <c r="J926" s="150">
        <f t="shared" si="262"/>
        <v>672000</v>
      </c>
      <c r="K926" s="150">
        <f t="shared" si="262"/>
        <v>588000</v>
      </c>
      <c r="L926" s="150">
        <f t="shared" si="262"/>
        <v>378000</v>
      </c>
      <c r="M926" s="150">
        <f t="shared" si="262"/>
        <v>378000</v>
      </c>
      <c r="N926" s="150">
        <f t="shared" si="262"/>
        <v>294000</v>
      </c>
      <c r="O926" s="198"/>
      <c r="P926" s="198"/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48"/>
      <c r="N927" s="148"/>
      <c r="O927" s="198"/>
      <c r="P927" s="19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N928" si="263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3"/>
        <v>0</v>
      </c>
      <c r="J928" s="148">
        <f t="shared" si="263"/>
        <v>0</v>
      </c>
      <c r="K928" s="148">
        <f t="shared" si="263"/>
        <v>0</v>
      </c>
      <c r="L928" s="148">
        <f t="shared" si="263"/>
        <v>0</v>
      </c>
      <c r="M928" s="148">
        <f t="shared" si="263"/>
        <v>0</v>
      </c>
      <c r="N928" s="148">
        <f t="shared" si="263"/>
        <v>0</v>
      </c>
      <c r="O928" s="198"/>
      <c r="P928" s="198"/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N929" si="264">(H913*H928)</f>
        <v>0</v>
      </c>
      <c r="I929" s="150">
        <f t="shared" si="264"/>
        <v>0</v>
      </c>
      <c r="J929" s="150">
        <f t="shared" si="264"/>
        <v>0</v>
      </c>
      <c r="K929" s="150">
        <f t="shared" si="264"/>
        <v>0</v>
      </c>
      <c r="L929" s="150">
        <f t="shared" si="264"/>
        <v>0</v>
      </c>
      <c r="M929" s="150">
        <f t="shared" si="264"/>
        <v>0</v>
      </c>
      <c r="N929" s="150">
        <f t="shared" si="264"/>
        <v>0</v>
      </c>
      <c r="O929" s="198"/>
      <c r="P929" s="198"/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60"/>
      <c r="N930" s="160"/>
      <c r="O930" s="198"/>
      <c r="P930" s="198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63"/>
      <c r="N931" s="163"/>
      <c r="O931" s="1"/>
      <c r="P931" s="1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519</v>
      </c>
      <c r="I933" s="206"/>
      <c r="J933" s="206"/>
      <c r="K933" s="206"/>
      <c r="L933" s="206"/>
      <c r="M933" s="206"/>
      <c r="N933" s="206"/>
      <c r="O933" s="198"/>
      <c r="P933" s="198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0.2920411047</v>
      </c>
      <c r="H934" s="149">
        <f>SUM($H$494)</f>
        <v>13641240</v>
      </c>
      <c r="I934" s="149"/>
      <c r="J934" s="149"/>
      <c r="K934" s="149"/>
      <c r="L934" s="149"/>
      <c r="M934" s="149"/>
      <c r="N934" s="149"/>
      <c r="O934" s="160"/>
      <c r="P934" s="160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56"/>
      <c r="N935" s="156"/>
      <c r="O935" s="160"/>
      <c r="P935" s="160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46710000</v>
      </c>
      <c r="I936" s="149"/>
      <c r="J936" s="149"/>
      <c r="K936" s="149"/>
      <c r="L936" s="149"/>
      <c r="M936" s="149"/>
      <c r="N936" s="149"/>
      <c r="O936" s="160"/>
      <c r="P936" s="160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49"/>
      <c r="N937" s="149"/>
      <c r="O937" s="160"/>
      <c r="P937" s="160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0.438061657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13">
        <v>0.1</v>
      </c>
      <c r="N938" s="213">
        <v>0.07</v>
      </c>
      <c r="O938" s="200">
        <f>SUM(H938:N938)</f>
        <v>0.91</v>
      </c>
      <c r="P938" s="200"/>
      <c r="Q938" s="200"/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20461860</v>
      </c>
      <c r="H939" s="19"/>
      <c r="I939" s="19"/>
      <c r="J939" s="19"/>
      <c r="K939" s="19"/>
      <c r="L939" s="19"/>
      <c r="M939" s="19"/>
      <c r="N939" s="19"/>
      <c r="O939" s="16"/>
      <c r="P939" s="16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13641240</v>
      </c>
      <c r="I940" s="149">
        <f t="shared" ref="I940:N940" si="265">H940+I949</f>
        <v>15831240</v>
      </c>
      <c r="J940" s="149">
        <f t="shared" si="265"/>
        <v>16991240</v>
      </c>
      <c r="K940" s="149">
        <f t="shared" si="265"/>
        <v>18019240</v>
      </c>
      <c r="L940" s="149">
        <f t="shared" si="265"/>
        <v>18705240</v>
      </c>
      <c r="M940" s="149">
        <f t="shared" si="265"/>
        <v>19391240</v>
      </c>
      <c r="N940" s="149">
        <f t="shared" si="265"/>
        <v>19875240</v>
      </c>
      <c r="O940" s="199" t="str">
        <f>#REF!</f>
        <v>#REF!</v>
      </c>
      <c r="P940" s="199"/>
      <c r="Q940" s="199"/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6820620</v>
      </c>
      <c r="H941" s="149">
        <f t="shared" ref="H941:N941" si="266">$G$941*H938</f>
        <v>0</v>
      </c>
      <c r="I941" s="149">
        <f t="shared" si="266"/>
        <v>2182598.4</v>
      </c>
      <c r="J941" s="149">
        <f t="shared" si="266"/>
        <v>1159505.4</v>
      </c>
      <c r="K941" s="149">
        <f t="shared" si="266"/>
        <v>1023093</v>
      </c>
      <c r="L941" s="149">
        <f t="shared" si="266"/>
        <v>682062</v>
      </c>
      <c r="M941" s="149">
        <f t="shared" si="266"/>
        <v>682062</v>
      </c>
      <c r="N941" s="149">
        <f t="shared" si="266"/>
        <v>477443.4</v>
      </c>
      <c r="O941" s="199">
        <f>SUM(H941:N941)</f>
        <v>6206764.2</v>
      </c>
      <c r="P941" s="199"/>
      <c r="Q941" s="199"/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49"/>
      <c r="N942" s="149"/>
      <c r="O942" s="160"/>
      <c r="P942" s="160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N943" si="267">$H$936-H940</f>
        <v>33068760</v>
      </c>
      <c r="I943" s="149">
        <f t="shared" si="267"/>
        <v>30878760</v>
      </c>
      <c r="J943" s="149">
        <f t="shared" si="267"/>
        <v>29718760</v>
      </c>
      <c r="K943" s="149">
        <f t="shared" si="267"/>
        <v>28690760</v>
      </c>
      <c r="L943" s="149">
        <f t="shared" si="267"/>
        <v>28004760</v>
      </c>
      <c r="M943" s="149">
        <f t="shared" si="267"/>
        <v>27318760</v>
      </c>
      <c r="N943" s="149">
        <f t="shared" si="267"/>
        <v>26834760</v>
      </c>
      <c r="O943" s="160"/>
      <c r="P943" s="160"/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O944" si="268">IFERROR(H940/$H$936,0)</f>
        <v>0.2920411047</v>
      </c>
      <c r="I944" s="142">
        <f t="shared" si="268"/>
        <v>0.33892614</v>
      </c>
      <c r="J944" s="142">
        <f t="shared" si="268"/>
        <v>0.3637602227</v>
      </c>
      <c r="K944" s="142">
        <f t="shared" si="268"/>
        <v>0.385768358</v>
      </c>
      <c r="L944" s="142">
        <f t="shared" si="268"/>
        <v>0.4004547206</v>
      </c>
      <c r="M944" s="142">
        <f t="shared" si="268"/>
        <v>0.4151410833</v>
      </c>
      <c r="N944" s="142">
        <f t="shared" si="268"/>
        <v>0.4255028902</v>
      </c>
      <c r="O944" s="200">
        <f t="shared" si="268"/>
        <v>0</v>
      </c>
      <c r="P944" s="200"/>
      <c r="Q944" s="200"/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O945" si="269">IFERROR(1-(H940/$H$936),0)</f>
        <v>0.7079588953</v>
      </c>
      <c r="I945" s="142">
        <f t="shared" si="269"/>
        <v>0.66107386</v>
      </c>
      <c r="J945" s="142">
        <f t="shared" si="269"/>
        <v>0.6362397773</v>
      </c>
      <c r="K945" s="142">
        <f t="shared" si="269"/>
        <v>0.614231642</v>
      </c>
      <c r="L945" s="142">
        <f t="shared" si="269"/>
        <v>0.5995452794</v>
      </c>
      <c r="M945" s="142">
        <f t="shared" si="269"/>
        <v>0.5848589167</v>
      </c>
      <c r="N945" s="142">
        <f t="shared" si="269"/>
        <v>0.5744971098</v>
      </c>
      <c r="O945" s="200">
        <f t="shared" si="269"/>
        <v>0</v>
      </c>
      <c r="P945" s="200"/>
      <c r="Q945" s="200"/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58"/>
      <c r="N946" s="158"/>
      <c r="O946" s="198"/>
      <c r="P946" s="19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0">ROUNDUP(H941/H948,0)</f>
        <v>0</v>
      </c>
      <c r="I947" s="190">
        <f t="shared" si="270"/>
        <v>249</v>
      </c>
      <c r="J947" s="190">
        <f t="shared" si="270"/>
        <v>132</v>
      </c>
      <c r="K947" s="190">
        <f t="shared" si="270"/>
        <v>117</v>
      </c>
      <c r="L947" s="190">
        <f t="shared" si="270"/>
        <v>78</v>
      </c>
      <c r="M947" s="190">
        <f>ROUND(M941/M948,0)</f>
        <v>78</v>
      </c>
      <c r="N947" s="190">
        <f>ROUNDUP(N941/N948,0)</f>
        <v>55</v>
      </c>
      <c r="O947" s="201">
        <f>SUM(H947:N947)</f>
        <v>709</v>
      </c>
      <c r="P947" s="201"/>
      <c r="Q947" s="201"/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56">
        <v>8800.0</v>
      </c>
      <c r="N948" s="156">
        <v>8800.0</v>
      </c>
      <c r="O948" s="198"/>
      <c r="P948" s="198"/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N949" si="271">SUM(H963,H966,H969,H972,H975)</f>
        <v>0</v>
      </c>
      <c r="I949" s="188">
        <f t="shared" si="271"/>
        <v>2190000</v>
      </c>
      <c r="J949" s="188">
        <f t="shared" si="271"/>
        <v>1160000</v>
      </c>
      <c r="K949" s="188">
        <f t="shared" si="271"/>
        <v>1028000</v>
      </c>
      <c r="L949" s="188">
        <f t="shared" si="271"/>
        <v>686000</v>
      </c>
      <c r="M949" s="188">
        <f t="shared" si="271"/>
        <v>686000</v>
      </c>
      <c r="N949" s="188">
        <f t="shared" si="271"/>
        <v>484000</v>
      </c>
      <c r="O949" s="196">
        <f>SUM(H949:N949)</f>
        <v>6234000</v>
      </c>
      <c r="P949" s="160"/>
      <c r="Q949" s="160"/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203">
        <v>0.6</v>
      </c>
      <c r="N950" s="203">
        <v>0.6</v>
      </c>
      <c r="O950" s="198"/>
      <c r="P950" s="198"/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203">
        <v>0.4</v>
      </c>
      <c r="N951" s="203">
        <v>0.4</v>
      </c>
      <c r="O951" s="198"/>
      <c r="P951" s="198"/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203">
        <v>0.0</v>
      </c>
      <c r="N952" s="203">
        <v>0.0</v>
      </c>
      <c r="O952" s="198"/>
      <c r="P952" s="198"/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203">
        <v>0.0</v>
      </c>
      <c r="N953" s="203">
        <v>0.0</v>
      </c>
      <c r="O953" s="198"/>
      <c r="P953" s="198"/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203">
        <v>0.0</v>
      </c>
      <c r="N954" s="203">
        <v>0.0</v>
      </c>
      <c r="O954" s="198"/>
      <c r="P954" s="198"/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204">
        <v>8000.0</v>
      </c>
      <c r="N955" s="204">
        <v>8000.0</v>
      </c>
      <c r="O955" s="225"/>
      <c r="P955" s="225"/>
      <c r="Q955" s="225"/>
      <c r="R955" s="225"/>
      <c r="S955" s="225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204">
        <v>10000.0</v>
      </c>
      <c r="N956" s="204">
        <v>10000.0</v>
      </c>
      <c r="O956" s="198"/>
      <c r="P956" s="198"/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204">
        <v>0.0</v>
      </c>
      <c r="N957" s="204">
        <v>0.0</v>
      </c>
      <c r="O957" s="198"/>
      <c r="P957" s="198"/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204">
        <v>0.0</v>
      </c>
      <c r="N958" s="204">
        <v>0.0</v>
      </c>
      <c r="O958" s="198"/>
      <c r="P958" s="198"/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204">
        <v>0.0</v>
      </c>
      <c r="N959" s="204">
        <v>0.0</v>
      </c>
      <c r="O959" s="198"/>
      <c r="P959" s="198"/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62">
        <f>IFERROR(__xludf.DUMMYFUNCTION("MATCH(
  MIN(FILTER(M955:M959,M955:M959&gt;0)),
  M955:M959,
  0
)
"),1.0)</f>
        <v>1</v>
      </c>
      <c r="N960" s="162">
        <f>IFERROR(__xludf.DUMMYFUNCTION("MATCH(
  MIN(FILTER(N955:N959,N955:N959&gt;0)),
  N955:N959,
  0
)
"),1.0)</f>
        <v>1</v>
      </c>
      <c r="O960" s="198"/>
      <c r="P960" s="198"/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48"/>
      <c r="N961" s="148"/>
      <c r="O961" s="198"/>
      <c r="P961" s="19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N962" si="272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2"/>
        <v>150</v>
      </c>
      <c r="J962" s="148">
        <f t="shared" si="272"/>
        <v>80</v>
      </c>
      <c r="K962" s="148">
        <f t="shared" si="272"/>
        <v>71</v>
      </c>
      <c r="L962" s="148">
        <f t="shared" si="272"/>
        <v>47</v>
      </c>
      <c r="M962" s="148">
        <f t="shared" si="272"/>
        <v>47</v>
      </c>
      <c r="N962" s="148">
        <f t="shared" si="272"/>
        <v>33</v>
      </c>
      <c r="O962" s="198"/>
      <c r="P962" s="198"/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N963" si="273">(H962*H955)</f>
        <v>0</v>
      </c>
      <c r="I963" s="150">
        <f t="shared" si="273"/>
        <v>1200000</v>
      </c>
      <c r="J963" s="150">
        <f t="shared" si="273"/>
        <v>640000</v>
      </c>
      <c r="K963" s="150">
        <f t="shared" si="273"/>
        <v>568000</v>
      </c>
      <c r="L963" s="150">
        <f t="shared" si="273"/>
        <v>376000</v>
      </c>
      <c r="M963" s="150">
        <f t="shared" si="273"/>
        <v>376000</v>
      </c>
      <c r="N963" s="150">
        <f t="shared" si="273"/>
        <v>264000</v>
      </c>
      <c r="O963" s="198"/>
      <c r="P963" s="198"/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48"/>
      <c r="N964" s="148"/>
      <c r="O964" s="198"/>
      <c r="P964" s="19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N965" si="274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4"/>
        <v>99</v>
      </c>
      <c r="J965" s="148">
        <f t="shared" si="274"/>
        <v>52</v>
      </c>
      <c r="K965" s="148">
        <f t="shared" si="274"/>
        <v>46</v>
      </c>
      <c r="L965" s="148">
        <f t="shared" si="274"/>
        <v>31</v>
      </c>
      <c r="M965" s="148">
        <f t="shared" si="274"/>
        <v>31</v>
      </c>
      <c r="N965" s="148">
        <f t="shared" si="274"/>
        <v>22</v>
      </c>
      <c r="O965" s="198"/>
      <c r="P965" s="198"/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N966" si="275">(H956*H965)</f>
        <v>0</v>
      </c>
      <c r="I966" s="150">
        <f t="shared" si="275"/>
        <v>990000</v>
      </c>
      <c r="J966" s="150">
        <f t="shared" si="275"/>
        <v>520000</v>
      </c>
      <c r="K966" s="150">
        <f t="shared" si="275"/>
        <v>460000</v>
      </c>
      <c r="L966" s="150">
        <f t="shared" si="275"/>
        <v>310000</v>
      </c>
      <c r="M966" s="150">
        <f t="shared" si="275"/>
        <v>310000</v>
      </c>
      <c r="N966" s="150">
        <f t="shared" si="275"/>
        <v>220000</v>
      </c>
      <c r="O966" s="198"/>
      <c r="P966" s="198"/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48"/>
      <c r="N967" s="148"/>
      <c r="O967" s="198"/>
      <c r="P967" s="19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N968" si="276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76"/>
        <v>0</v>
      </c>
      <c r="J968" s="148">
        <f t="shared" si="276"/>
        <v>0</v>
      </c>
      <c r="K968" s="148">
        <f t="shared" si="276"/>
        <v>0</v>
      </c>
      <c r="L968" s="148">
        <f t="shared" si="276"/>
        <v>0</v>
      </c>
      <c r="M968" s="148">
        <f t="shared" si="276"/>
        <v>0</v>
      </c>
      <c r="N968" s="148">
        <f t="shared" si="276"/>
        <v>0</v>
      </c>
      <c r="O968" s="198"/>
      <c r="P968" s="198"/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N969" si="277">(H957*H968)</f>
        <v>0</v>
      </c>
      <c r="I969" s="150">
        <f t="shared" si="277"/>
        <v>0</v>
      </c>
      <c r="J969" s="150">
        <f t="shared" si="277"/>
        <v>0</v>
      </c>
      <c r="K969" s="150">
        <f t="shared" si="277"/>
        <v>0</v>
      </c>
      <c r="L969" s="150">
        <f t="shared" si="277"/>
        <v>0</v>
      </c>
      <c r="M969" s="150">
        <f t="shared" si="277"/>
        <v>0</v>
      </c>
      <c r="N969" s="150">
        <f t="shared" si="277"/>
        <v>0</v>
      </c>
      <c r="O969" s="198"/>
      <c r="P969" s="198"/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48"/>
      <c r="N970" s="148"/>
      <c r="O970" s="198"/>
      <c r="P970" s="19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N971" si="278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78"/>
        <v>0</v>
      </c>
      <c r="J971" s="148">
        <f t="shared" si="278"/>
        <v>0</v>
      </c>
      <c r="K971" s="148">
        <f t="shared" si="278"/>
        <v>0</v>
      </c>
      <c r="L971" s="148">
        <f t="shared" si="278"/>
        <v>0</v>
      </c>
      <c r="M971" s="148">
        <f t="shared" si="278"/>
        <v>0</v>
      </c>
      <c r="N971" s="148">
        <f t="shared" si="278"/>
        <v>0</v>
      </c>
      <c r="O971" s="198"/>
      <c r="P971" s="198"/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N972" si="279">(H958*H971)</f>
        <v>0</v>
      </c>
      <c r="I972" s="150">
        <f t="shared" si="279"/>
        <v>0</v>
      </c>
      <c r="J972" s="150">
        <f t="shared" si="279"/>
        <v>0</v>
      </c>
      <c r="K972" s="150">
        <f t="shared" si="279"/>
        <v>0</v>
      </c>
      <c r="L972" s="150">
        <f t="shared" si="279"/>
        <v>0</v>
      </c>
      <c r="M972" s="150">
        <f t="shared" si="279"/>
        <v>0</v>
      </c>
      <c r="N972" s="150">
        <f t="shared" si="279"/>
        <v>0</v>
      </c>
      <c r="O972" s="198"/>
      <c r="P972" s="198"/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48"/>
      <c r="N973" s="148"/>
      <c r="O973" s="198"/>
      <c r="P973" s="19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N974" si="280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0"/>
        <v>0</v>
      </c>
      <c r="J974" s="148">
        <f t="shared" si="280"/>
        <v>0</v>
      </c>
      <c r="K974" s="148">
        <f t="shared" si="280"/>
        <v>0</v>
      </c>
      <c r="L974" s="148">
        <f t="shared" si="280"/>
        <v>0</v>
      </c>
      <c r="M974" s="148">
        <f t="shared" si="280"/>
        <v>0</v>
      </c>
      <c r="N974" s="148">
        <f t="shared" si="280"/>
        <v>0</v>
      </c>
      <c r="O974" s="198"/>
      <c r="P974" s="198"/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N975" si="281">(H959*H974)</f>
        <v>0</v>
      </c>
      <c r="I975" s="150">
        <f t="shared" si="281"/>
        <v>0</v>
      </c>
      <c r="J975" s="150">
        <f t="shared" si="281"/>
        <v>0</v>
      </c>
      <c r="K975" s="150">
        <f t="shared" si="281"/>
        <v>0</v>
      </c>
      <c r="L975" s="150">
        <f t="shared" si="281"/>
        <v>0</v>
      </c>
      <c r="M975" s="150">
        <f t="shared" si="281"/>
        <v>0</v>
      </c>
      <c r="N975" s="150">
        <f t="shared" si="281"/>
        <v>0</v>
      </c>
      <c r="O975" s="198"/>
      <c r="P975" s="198"/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60"/>
      <c r="N976" s="160"/>
      <c r="O976" s="198"/>
      <c r="P976" s="198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244</v>
      </c>
      <c r="I978" s="206"/>
      <c r="J978" s="206"/>
      <c r="K978" s="206"/>
      <c r="L978" s="206"/>
      <c r="M978" s="206"/>
      <c r="N978" s="206"/>
      <c r="O978" s="198"/>
      <c r="P978" s="198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0.3504651639</v>
      </c>
      <c r="H979" s="149">
        <f>SUM($H$520)</f>
        <v>4275675</v>
      </c>
      <c r="I979" s="149"/>
      <c r="J979" s="149"/>
      <c r="K979" s="149"/>
      <c r="L979" s="149"/>
      <c r="M979" s="149"/>
      <c r="N979" s="149"/>
      <c r="O979" s="160"/>
      <c r="P979" s="160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56"/>
      <c r="N980" s="156"/>
      <c r="O980" s="160"/>
      <c r="P980" s="160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12200000</v>
      </c>
      <c r="I981" s="149"/>
      <c r="J981" s="149"/>
      <c r="K981" s="149"/>
      <c r="L981" s="149"/>
      <c r="M981" s="149"/>
      <c r="N981" s="149"/>
      <c r="O981" s="160"/>
      <c r="P981" s="160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49"/>
      <c r="N982" s="149"/>
      <c r="O982" s="160"/>
      <c r="P982" s="160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0.5256977459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213">
        <v>0.1</v>
      </c>
      <c r="N983" s="213">
        <v>0.07</v>
      </c>
      <c r="O983" s="160"/>
      <c r="P983" s="160"/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6413512.5</v>
      </c>
      <c r="H984" s="19"/>
      <c r="I984" s="19"/>
      <c r="J984" s="19"/>
      <c r="K984" s="19"/>
      <c r="L984" s="19"/>
      <c r="M984" s="19"/>
      <c r="N984" s="19"/>
      <c r="O984" s="16"/>
      <c r="P984" s="16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4275675</v>
      </c>
      <c r="I985" s="149">
        <f t="shared" ref="I985:N985" si="282">H985+I994</f>
        <v>4965675</v>
      </c>
      <c r="J985" s="149">
        <f t="shared" si="282"/>
        <v>5331675</v>
      </c>
      <c r="K985" s="149">
        <f t="shared" si="282"/>
        <v>5655675</v>
      </c>
      <c r="L985" s="149">
        <f t="shared" si="282"/>
        <v>5871675</v>
      </c>
      <c r="M985" s="149">
        <f t="shared" si="282"/>
        <v>6087675</v>
      </c>
      <c r="N985" s="149">
        <f t="shared" si="282"/>
        <v>6237675</v>
      </c>
      <c r="O985" s="199" t="str">
        <f>#REF!</f>
        <v>#REF!</v>
      </c>
      <c r="P985" s="199"/>
      <c r="Q985" s="199"/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2137837.5</v>
      </c>
      <c r="H986" s="149">
        <f t="shared" ref="H986:N986" si="283">$G$986*H983</f>
        <v>0</v>
      </c>
      <c r="I986" s="149">
        <f t="shared" si="283"/>
        <v>684108</v>
      </c>
      <c r="J986" s="149">
        <f t="shared" si="283"/>
        <v>363432.375</v>
      </c>
      <c r="K986" s="149">
        <f t="shared" si="283"/>
        <v>320675.625</v>
      </c>
      <c r="L986" s="149">
        <f t="shared" si="283"/>
        <v>213783.75</v>
      </c>
      <c r="M986" s="149">
        <f t="shared" si="283"/>
        <v>213783.75</v>
      </c>
      <c r="N986" s="149">
        <f t="shared" si="283"/>
        <v>149648.625</v>
      </c>
      <c r="O986" s="199">
        <f>SUM(H986:N986)</f>
        <v>1945432.125</v>
      </c>
      <c r="P986" s="199"/>
      <c r="Q986" s="199"/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49"/>
      <c r="N987" s="149"/>
      <c r="O987" s="160"/>
      <c r="P987" s="160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N988" si="284">$H$981-H985</f>
        <v>7924325</v>
      </c>
      <c r="I988" s="149">
        <f t="shared" si="284"/>
        <v>7234325</v>
      </c>
      <c r="J988" s="149">
        <f t="shared" si="284"/>
        <v>6868325</v>
      </c>
      <c r="K988" s="149">
        <f t="shared" si="284"/>
        <v>6544325</v>
      </c>
      <c r="L988" s="149">
        <f t="shared" si="284"/>
        <v>6328325</v>
      </c>
      <c r="M988" s="149">
        <f t="shared" si="284"/>
        <v>6112325</v>
      </c>
      <c r="N988" s="149">
        <f t="shared" si="284"/>
        <v>5962325</v>
      </c>
      <c r="O988" s="160"/>
      <c r="P988" s="160"/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N989" si="285">IFERROR(SUM(H994,H979)/$H$981,0)</f>
        <v>0.3504651639</v>
      </c>
      <c r="I989" s="142">
        <f t="shared" si="285"/>
        <v>0.05655737705</v>
      </c>
      <c r="J989" s="142">
        <f t="shared" si="285"/>
        <v>0.03</v>
      </c>
      <c r="K989" s="142">
        <f t="shared" si="285"/>
        <v>0.02655737705</v>
      </c>
      <c r="L989" s="142">
        <f t="shared" si="285"/>
        <v>0.01770491803</v>
      </c>
      <c r="M989" s="142">
        <f t="shared" si="285"/>
        <v>0.01770491803</v>
      </c>
      <c r="N989" s="142">
        <f t="shared" si="285"/>
        <v>0.01229508197</v>
      </c>
      <c r="O989" s="200">
        <f>IFERROR(O985/$H$981,0)</f>
        <v>0</v>
      </c>
      <c r="P989" s="200"/>
      <c r="Q989" s="200"/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N990" si="286">IFERROR(1-(H979/$H$981),0)</f>
        <v>0.6495348361</v>
      </c>
      <c r="I990" s="216">
        <f t="shared" si="286"/>
        <v>1</v>
      </c>
      <c r="J990" s="216">
        <f t="shared" si="286"/>
        <v>1</v>
      </c>
      <c r="K990" s="216">
        <f t="shared" si="286"/>
        <v>1</v>
      </c>
      <c r="L990" s="216">
        <f t="shared" si="286"/>
        <v>1</v>
      </c>
      <c r="M990" s="216">
        <f t="shared" si="286"/>
        <v>1</v>
      </c>
      <c r="N990" s="216">
        <f t="shared" si="286"/>
        <v>1</v>
      </c>
      <c r="O990" s="200">
        <f>IFERROR(1-(O985/$H$981),0)</f>
        <v>0</v>
      </c>
      <c r="P990" s="200"/>
      <c r="Q990" s="200"/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207"/>
      <c r="N991" s="207"/>
      <c r="O991" s="198"/>
      <c r="P991" s="198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87">ROUNDUP(H986/H993,0)</f>
        <v>0</v>
      </c>
      <c r="I992" s="190">
        <f t="shared" si="287"/>
        <v>96</v>
      </c>
      <c r="J992" s="190">
        <f t="shared" si="287"/>
        <v>51</v>
      </c>
      <c r="K992" s="190">
        <f t="shared" si="287"/>
        <v>45</v>
      </c>
      <c r="L992" s="190">
        <f t="shared" si="287"/>
        <v>30</v>
      </c>
      <c r="M992" s="190">
        <f>ROUND(M986/M993,0)</f>
        <v>30</v>
      </c>
      <c r="N992" s="190">
        <f>ROUNDUP(N986/N993,0)</f>
        <v>21</v>
      </c>
      <c r="O992" s="201">
        <f>SUM(H992:N992)</f>
        <v>273</v>
      </c>
      <c r="P992" s="201"/>
      <c r="Q992" s="201"/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56">
        <v>7200.0</v>
      </c>
      <c r="N993" s="156">
        <v>7200.0</v>
      </c>
      <c r="O993" s="198"/>
      <c r="P993" s="198"/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N994" si="288">SUM(H1008,H1011,H1014,H1017,H1020)</f>
        <v>0</v>
      </c>
      <c r="I994" s="188">
        <f t="shared" si="288"/>
        <v>690000</v>
      </c>
      <c r="J994" s="188">
        <f t="shared" si="288"/>
        <v>366000</v>
      </c>
      <c r="K994" s="188">
        <f t="shared" si="288"/>
        <v>324000</v>
      </c>
      <c r="L994" s="188">
        <f t="shared" si="288"/>
        <v>216000</v>
      </c>
      <c r="M994" s="188">
        <f t="shared" si="288"/>
        <v>216000</v>
      </c>
      <c r="N994" s="188">
        <f t="shared" si="288"/>
        <v>150000</v>
      </c>
      <c r="O994" s="196">
        <f>SUM(H994:N994)</f>
        <v>1962000</v>
      </c>
      <c r="P994" s="160"/>
      <c r="Q994" s="160"/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203">
        <v>0.6</v>
      </c>
      <c r="N995" s="203">
        <v>0.6</v>
      </c>
      <c r="O995" s="198"/>
      <c r="P995" s="198"/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203">
        <v>0.4</v>
      </c>
      <c r="N996" s="203">
        <v>0.4</v>
      </c>
      <c r="O996" s="198"/>
      <c r="P996" s="198"/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203">
        <v>0.0</v>
      </c>
      <c r="N997" s="203">
        <v>0.0</v>
      </c>
      <c r="O997" s="198"/>
      <c r="P997" s="198"/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203">
        <v>0.0</v>
      </c>
      <c r="N998" s="203">
        <v>0.0</v>
      </c>
      <c r="O998" s="198"/>
      <c r="P998" s="198"/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203">
        <v>0.0</v>
      </c>
      <c r="N999" s="203">
        <v>0.0</v>
      </c>
      <c r="O999" s="198"/>
      <c r="P999" s="198"/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04">
        <v>8000.0</v>
      </c>
      <c r="N1000" s="204">
        <v>8000.0</v>
      </c>
      <c r="O1000" s="225">
        <v>30000.0</v>
      </c>
      <c r="P1000" s="225"/>
      <c r="Q1000" s="225"/>
      <c r="R1000" s="225"/>
      <c r="S1000" s="225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204">
        <v>6000.0</v>
      </c>
      <c r="N1001" s="204">
        <v>6000.0</v>
      </c>
      <c r="O1001" s="198"/>
      <c r="P1001" s="198"/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204">
        <v>0.0</v>
      </c>
      <c r="N1002" s="204">
        <v>0.0</v>
      </c>
      <c r="O1002" s="198"/>
      <c r="P1002" s="198"/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204">
        <v>0.0</v>
      </c>
      <c r="N1003" s="204">
        <v>0.0</v>
      </c>
      <c r="O1003" s="198"/>
      <c r="P1003" s="198"/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204">
        <v>0.0</v>
      </c>
      <c r="N1004" s="204">
        <v>0.0</v>
      </c>
      <c r="O1004" s="198"/>
      <c r="P1004" s="198"/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62">
        <f>IFERROR(__xludf.DUMMYFUNCTION("MATCH(
  MIN(FILTER(M1000:M1004,M1000:M1004&gt;0)),
  M1000:M1004,
  0
)
"),2.0)</f>
        <v>2</v>
      </c>
      <c r="N1005" s="162">
        <f>IFERROR(__xludf.DUMMYFUNCTION("MATCH(
  MIN(FILTER(N1000:N1004,N1000:N1004&gt;0)),
  N1000:N1004,
  0
)
"),2.0)</f>
        <v>2</v>
      </c>
      <c r="O1005" s="198"/>
      <c r="P1005" s="198"/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48"/>
      <c r="N1006" s="148"/>
      <c r="O1006" s="198"/>
      <c r="P1006" s="19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N1007" si="289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89"/>
        <v>57</v>
      </c>
      <c r="J1007" s="148">
        <f t="shared" si="289"/>
        <v>30</v>
      </c>
      <c r="K1007" s="148">
        <f t="shared" si="289"/>
        <v>27</v>
      </c>
      <c r="L1007" s="148">
        <f t="shared" si="289"/>
        <v>18</v>
      </c>
      <c r="M1007" s="148">
        <f t="shared" si="289"/>
        <v>18</v>
      </c>
      <c r="N1007" s="148">
        <f t="shared" si="289"/>
        <v>12</v>
      </c>
      <c r="O1007" s="198"/>
      <c r="P1007" s="198"/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N1008" si="290">(H1007*H1000)</f>
        <v>0</v>
      </c>
      <c r="I1008" s="150">
        <f t="shared" si="290"/>
        <v>456000</v>
      </c>
      <c r="J1008" s="150">
        <f t="shared" si="290"/>
        <v>240000</v>
      </c>
      <c r="K1008" s="150">
        <f t="shared" si="290"/>
        <v>216000</v>
      </c>
      <c r="L1008" s="150">
        <f t="shared" si="290"/>
        <v>144000</v>
      </c>
      <c r="M1008" s="150">
        <f t="shared" si="290"/>
        <v>144000</v>
      </c>
      <c r="N1008" s="150">
        <f t="shared" si="290"/>
        <v>96000</v>
      </c>
      <c r="O1008" s="198"/>
      <c r="P1008" s="198"/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48"/>
      <c r="N1009" s="148"/>
      <c r="O1009" s="198"/>
      <c r="P1009" s="19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N1010" si="291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1"/>
        <v>39</v>
      </c>
      <c r="J1010" s="148">
        <f t="shared" si="291"/>
        <v>21</v>
      </c>
      <c r="K1010" s="148">
        <f t="shared" si="291"/>
        <v>18</v>
      </c>
      <c r="L1010" s="148">
        <f t="shared" si="291"/>
        <v>12</v>
      </c>
      <c r="M1010" s="148">
        <f t="shared" si="291"/>
        <v>12</v>
      </c>
      <c r="N1010" s="148">
        <f t="shared" si="291"/>
        <v>9</v>
      </c>
      <c r="O1010" s="198"/>
      <c r="P1010" s="198"/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N1011" si="292">(H1001*H1010)</f>
        <v>0</v>
      </c>
      <c r="I1011" s="150">
        <f t="shared" si="292"/>
        <v>234000</v>
      </c>
      <c r="J1011" s="150">
        <f t="shared" si="292"/>
        <v>126000</v>
      </c>
      <c r="K1011" s="150">
        <f t="shared" si="292"/>
        <v>108000</v>
      </c>
      <c r="L1011" s="150">
        <f t="shared" si="292"/>
        <v>72000</v>
      </c>
      <c r="M1011" s="150">
        <f t="shared" si="292"/>
        <v>72000</v>
      </c>
      <c r="N1011" s="150">
        <f t="shared" si="292"/>
        <v>54000</v>
      </c>
      <c r="O1011" s="198"/>
      <c r="P1011" s="198"/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48"/>
      <c r="N1012" s="148"/>
      <c r="O1012" s="198"/>
      <c r="P1012" s="19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N1013" si="293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3"/>
        <v>0</v>
      </c>
      <c r="J1013" s="148">
        <f t="shared" si="293"/>
        <v>0</v>
      </c>
      <c r="K1013" s="148">
        <f t="shared" si="293"/>
        <v>0</v>
      </c>
      <c r="L1013" s="148">
        <f t="shared" si="293"/>
        <v>0</v>
      </c>
      <c r="M1013" s="148">
        <f t="shared" si="293"/>
        <v>0</v>
      </c>
      <c r="N1013" s="148">
        <f t="shared" si="293"/>
        <v>0</v>
      </c>
      <c r="O1013" s="198"/>
      <c r="P1013" s="198"/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N1014" si="294">(H1002*H1013)</f>
        <v>0</v>
      </c>
      <c r="I1014" s="150">
        <f t="shared" si="294"/>
        <v>0</v>
      </c>
      <c r="J1014" s="150">
        <f t="shared" si="294"/>
        <v>0</v>
      </c>
      <c r="K1014" s="150">
        <f t="shared" si="294"/>
        <v>0</v>
      </c>
      <c r="L1014" s="150">
        <f t="shared" si="294"/>
        <v>0</v>
      </c>
      <c r="M1014" s="150">
        <f t="shared" si="294"/>
        <v>0</v>
      </c>
      <c r="N1014" s="150">
        <f t="shared" si="294"/>
        <v>0</v>
      </c>
      <c r="O1014" s="198"/>
      <c r="P1014" s="198"/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48"/>
      <c r="N1015" s="148"/>
      <c r="O1015" s="198"/>
      <c r="P1015" s="19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N1016" si="295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295"/>
        <v>0</v>
      </c>
      <c r="J1016" s="148">
        <f t="shared" si="295"/>
        <v>0</v>
      </c>
      <c r="K1016" s="148">
        <f t="shared" si="295"/>
        <v>0</v>
      </c>
      <c r="L1016" s="148">
        <f t="shared" si="295"/>
        <v>0</v>
      </c>
      <c r="M1016" s="148">
        <f t="shared" si="295"/>
        <v>0</v>
      </c>
      <c r="N1016" s="148">
        <f t="shared" si="295"/>
        <v>0</v>
      </c>
      <c r="O1016" s="198"/>
      <c r="P1016" s="198"/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N1017" si="296">(H1003*H1016)</f>
        <v>0</v>
      </c>
      <c r="I1017" s="150">
        <f t="shared" si="296"/>
        <v>0</v>
      </c>
      <c r="J1017" s="150">
        <f t="shared" si="296"/>
        <v>0</v>
      </c>
      <c r="K1017" s="150">
        <f t="shared" si="296"/>
        <v>0</v>
      </c>
      <c r="L1017" s="150">
        <f t="shared" si="296"/>
        <v>0</v>
      </c>
      <c r="M1017" s="150">
        <f t="shared" si="296"/>
        <v>0</v>
      </c>
      <c r="N1017" s="150">
        <f t="shared" si="296"/>
        <v>0</v>
      </c>
      <c r="O1017" s="198"/>
      <c r="P1017" s="198"/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48"/>
      <c r="N1018" s="148"/>
      <c r="O1018" s="198"/>
      <c r="P1018" s="19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N1019" si="297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297"/>
        <v>0</v>
      </c>
      <c r="J1019" s="148">
        <f t="shared" si="297"/>
        <v>0</v>
      </c>
      <c r="K1019" s="148">
        <f t="shared" si="297"/>
        <v>0</v>
      </c>
      <c r="L1019" s="148">
        <f t="shared" si="297"/>
        <v>0</v>
      </c>
      <c r="M1019" s="148">
        <f t="shared" si="297"/>
        <v>0</v>
      </c>
      <c r="N1019" s="148">
        <f t="shared" si="297"/>
        <v>0</v>
      </c>
      <c r="O1019" s="198"/>
      <c r="P1019" s="198"/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N1020" si="298">(H1004*H1019)</f>
        <v>0</v>
      </c>
      <c r="I1020" s="150">
        <f t="shared" si="298"/>
        <v>0</v>
      </c>
      <c r="J1020" s="150">
        <f t="shared" si="298"/>
        <v>0</v>
      </c>
      <c r="K1020" s="150">
        <f t="shared" si="298"/>
        <v>0</v>
      </c>
      <c r="L1020" s="150">
        <f t="shared" si="298"/>
        <v>0</v>
      </c>
      <c r="M1020" s="150">
        <f t="shared" si="298"/>
        <v>0</v>
      </c>
      <c r="N1020" s="150">
        <f t="shared" si="298"/>
        <v>0</v>
      </c>
      <c r="O1020" s="198"/>
      <c r="P1020" s="198"/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60"/>
      <c r="N1021" s="160"/>
      <c r="O1021" s="198"/>
      <c r="P1021" s="198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4"/>
      <c r="N1022" s="114"/>
      <c r="O1022" s="1"/>
      <c r="P1022" s="1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78"/>
      <c r="N1023" s="178"/>
      <c r="O1023" s="1"/>
      <c r="P1023" s="1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N1024" si="299">SUM(H1027,H1064,H1081,)</f>
        <v>33323500</v>
      </c>
      <c r="I1024" s="173">
        <f t="shared" si="299"/>
        <v>5739600</v>
      </c>
      <c r="J1024" s="173">
        <f t="shared" si="299"/>
        <v>3669560</v>
      </c>
      <c r="K1024" s="173">
        <f t="shared" si="299"/>
        <v>2858316</v>
      </c>
      <c r="L1024" s="173">
        <f t="shared" si="299"/>
        <v>1907907.6</v>
      </c>
      <c r="M1024" s="173">
        <f t="shared" si="299"/>
        <v>3803298.36</v>
      </c>
      <c r="N1024" s="173">
        <f t="shared" si="299"/>
        <v>1451936.196</v>
      </c>
      <c r="O1024" s="223">
        <f>SUM(H1024:N1024)</f>
        <v>52754118.16</v>
      </c>
      <c r="P1024" s="223"/>
      <c r="Q1024" s="223"/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63"/>
      <c r="N1025" s="163"/>
      <c r="O1025" s="1"/>
      <c r="P1025" s="1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63"/>
      <c r="N1026" s="163"/>
      <c r="O1026" s="1"/>
      <c r="P1026" s="1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N1027" si="300">SUM(H1029,H1036,H1043,H1050,H1057,)</f>
        <v>33287500</v>
      </c>
      <c r="I1027" s="178">
        <f t="shared" si="300"/>
        <v>0</v>
      </c>
      <c r="J1027" s="178">
        <f t="shared" si="300"/>
        <v>0</v>
      </c>
      <c r="K1027" s="178">
        <f t="shared" si="300"/>
        <v>0</v>
      </c>
      <c r="L1027" s="178">
        <f t="shared" si="300"/>
        <v>0</v>
      </c>
      <c r="M1027" s="178">
        <f t="shared" si="300"/>
        <v>0</v>
      </c>
      <c r="N1027" s="178">
        <f t="shared" si="300"/>
        <v>0</v>
      </c>
      <c r="O1027" s="223">
        <f>SUM(H1027:N1027)</f>
        <v>33287500</v>
      </c>
      <c r="P1027" s="223"/>
      <c r="Q1027" s="223"/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178"/>
      <c r="N1028" s="178"/>
      <c r="O1028" s="223"/>
      <c r="P1028" s="223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N1029" si="301">SUM(H1030:H1034)</f>
        <v>2223000</v>
      </c>
      <c r="I1029" s="178">
        <f t="shared" si="301"/>
        <v>0</v>
      </c>
      <c r="J1029" s="178">
        <f t="shared" si="301"/>
        <v>0</v>
      </c>
      <c r="K1029" s="178">
        <f t="shared" si="301"/>
        <v>0</v>
      </c>
      <c r="L1029" s="178">
        <f t="shared" si="301"/>
        <v>0</v>
      </c>
      <c r="M1029" s="178">
        <f t="shared" si="301"/>
        <v>0</v>
      </c>
      <c r="N1029" s="178">
        <f t="shared" si="301"/>
        <v>0</v>
      </c>
      <c r="O1029" s="1"/>
      <c r="P1029" s="1"/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1050000</v>
      </c>
      <c r="I1030" s="178" t="str">
        <f t="shared" ref="I1030:N1030" si="302">I428</f>
        <v/>
      </c>
      <c r="J1030" s="178" t="str">
        <f t="shared" si="302"/>
        <v/>
      </c>
      <c r="K1030" s="178" t="str">
        <f t="shared" si="302"/>
        <v/>
      </c>
      <c r="L1030" s="178" t="str">
        <f t="shared" si="302"/>
        <v/>
      </c>
      <c r="M1030" s="178" t="str">
        <f t="shared" si="302"/>
        <v/>
      </c>
      <c r="N1030" s="178" t="str">
        <f t="shared" si="302"/>
        <v/>
      </c>
      <c r="O1030" s="1"/>
      <c r="P1030" s="1"/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158000</v>
      </c>
      <c r="I1031" s="178" t="str">
        <f t="shared" ref="I1031:N1031" si="303">I430</f>
        <v/>
      </c>
      <c r="J1031" s="178" t="str">
        <f t="shared" si="303"/>
        <v/>
      </c>
      <c r="K1031" s="178" t="str">
        <f t="shared" si="303"/>
        <v/>
      </c>
      <c r="L1031" s="178" t="str">
        <f t="shared" si="303"/>
        <v/>
      </c>
      <c r="M1031" s="178" t="str">
        <f t="shared" si="303"/>
        <v/>
      </c>
      <c r="N1031" s="178" t="str">
        <f t="shared" si="303"/>
        <v/>
      </c>
      <c r="O1031" s="1"/>
      <c r="P1031" s="1"/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N1032" si="304">I432</f>
        <v/>
      </c>
      <c r="J1032" s="178" t="str">
        <f t="shared" si="304"/>
        <v/>
      </c>
      <c r="K1032" s="178" t="str">
        <f t="shared" si="304"/>
        <v/>
      </c>
      <c r="L1032" s="178" t="str">
        <f t="shared" si="304"/>
        <v/>
      </c>
      <c r="M1032" s="178" t="str">
        <f t="shared" si="304"/>
        <v/>
      </c>
      <c r="N1032" s="178" t="str">
        <f t="shared" si="304"/>
        <v/>
      </c>
      <c r="O1032" s="1"/>
      <c r="P1032" s="1"/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1015000</v>
      </c>
      <c r="I1033" s="178" t="str">
        <f t="shared" ref="I1033:N1033" si="305">I434</f>
        <v/>
      </c>
      <c r="J1033" s="178" t="str">
        <f t="shared" si="305"/>
        <v/>
      </c>
      <c r="K1033" s="178" t="str">
        <f t="shared" si="305"/>
        <v/>
      </c>
      <c r="L1033" s="178" t="str">
        <f t="shared" si="305"/>
        <v/>
      </c>
      <c r="M1033" s="178" t="str">
        <f t="shared" si="305"/>
        <v/>
      </c>
      <c r="N1033" s="178" t="str">
        <f t="shared" si="305"/>
        <v/>
      </c>
      <c r="O1033" s="1"/>
      <c r="P1033" s="1"/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N1034" si="306">I436</f>
        <v/>
      </c>
      <c r="J1034" s="178" t="str">
        <f t="shared" si="306"/>
        <v/>
      </c>
      <c r="K1034" s="178" t="str">
        <f t="shared" si="306"/>
        <v/>
      </c>
      <c r="L1034" s="178" t="str">
        <f t="shared" si="306"/>
        <v/>
      </c>
      <c r="M1034" s="178" t="str">
        <f t="shared" si="306"/>
        <v/>
      </c>
      <c r="N1034" s="178" t="str">
        <f t="shared" si="306"/>
        <v/>
      </c>
      <c r="O1034" s="1"/>
      <c r="P1034" s="1"/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78"/>
      <c r="N1035" s="178"/>
      <c r="O1035" s="1"/>
      <c r="P1035" s="1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N1036" si="307">SUM(H1037:H1041)</f>
        <v>2280000</v>
      </c>
      <c r="I1036" s="178">
        <f t="shared" si="307"/>
        <v>0</v>
      </c>
      <c r="J1036" s="178">
        <f t="shared" si="307"/>
        <v>0</v>
      </c>
      <c r="K1036" s="178">
        <f t="shared" si="307"/>
        <v>0</v>
      </c>
      <c r="L1036" s="178">
        <f t="shared" si="307"/>
        <v>0</v>
      </c>
      <c r="M1036" s="178">
        <f t="shared" si="307"/>
        <v>0</v>
      </c>
      <c r="N1036" s="178">
        <f t="shared" si="307"/>
        <v>0</v>
      </c>
      <c r="O1036" s="1"/>
      <c r="P1036" s="1"/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1200000</v>
      </c>
      <c r="I1037" s="178" t="str">
        <f t="shared" ref="I1037:N1037" si="308">I454</f>
        <v/>
      </c>
      <c r="J1037" s="178" t="str">
        <f t="shared" si="308"/>
        <v/>
      </c>
      <c r="K1037" s="178" t="str">
        <f t="shared" si="308"/>
        <v/>
      </c>
      <c r="L1037" s="178" t="str">
        <f t="shared" si="308"/>
        <v/>
      </c>
      <c r="M1037" s="178" t="str">
        <f t="shared" si="308"/>
        <v/>
      </c>
      <c r="N1037" s="178" t="str">
        <f t="shared" si="308"/>
        <v/>
      </c>
      <c r="O1037" s="1"/>
      <c r="P1037" s="1"/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90000</v>
      </c>
      <c r="I1038" s="178" t="str">
        <f t="shared" ref="I1038:N1038" si="309">I456</f>
        <v/>
      </c>
      <c r="J1038" s="178" t="str">
        <f t="shared" si="309"/>
        <v/>
      </c>
      <c r="K1038" s="178" t="str">
        <f t="shared" si="309"/>
        <v/>
      </c>
      <c r="L1038" s="178" t="str">
        <f t="shared" si="309"/>
        <v/>
      </c>
      <c r="M1038" s="178" t="str">
        <f t="shared" si="309"/>
        <v/>
      </c>
      <c r="N1038" s="178" t="str">
        <f t="shared" si="309"/>
        <v/>
      </c>
      <c r="O1038" s="1"/>
      <c r="P1038" s="1"/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N1039" si="310">I458</f>
        <v/>
      </c>
      <c r="J1039" s="178" t="str">
        <f t="shared" si="310"/>
        <v/>
      </c>
      <c r="K1039" s="178" t="str">
        <f t="shared" si="310"/>
        <v/>
      </c>
      <c r="L1039" s="178" t="str">
        <f t="shared" si="310"/>
        <v/>
      </c>
      <c r="M1039" s="178" t="str">
        <f t="shared" si="310"/>
        <v/>
      </c>
      <c r="N1039" s="178" t="str">
        <f t="shared" si="310"/>
        <v/>
      </c>
      <c r="O1039" s="1"/>
      <c r="P1039" s="1"/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990000</v>
      </c>
      <c r="I1040" s="178" t="str">
        <f t="shared" ref="I1040:N1040" si="311">I460</f>
        <v/>
      </c>
      <c r="J1040" s="178" t="str">
        <f t="shared" si="311"/>
        <v/>
      </c>
      <c r="K1040" s="178" t="str">
        <f t="shared" si="311"/>
        <v/>
      </c>
      <c r="L1040" s="178" t="str">
        <f t="shared" si="311"/>
        <v/>
      </c>
      <c r="M1040" s="178" t="str">
        <f t="shared" si="311"/>
        <v/>
      </c>
      <c r="N1040" s="178" t="str">
        <f t="shared" si="311"/>
        <v/>
      </c>
      <c r="O1040" s="1"/>
      <c r="P1040" s="1"/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N1041" si="312">I462</f>
        <v/>
      </c>
      <c r="J1041" s="178" t="str">
        <f t="shared" si="312"/>
        <v/>
      </c>
      <c r="K1041" s="178" t="str">
        <f t="shared" si="312"/>
        <v/>
      </c>
      <c r="L1041" s="178" t="str">
        <f t="shared" si="312"/>
        <v/>
      </c>
      <c r="M1041" s="178" t="str">
        <f t="shared" si="312"/>
        <v/>
      </c>
      <c r="N1041" s="178" t="str">
        <f t="shared" si="312"/>
        <v/>
      </c>
      <c r="O1041" s="1"/>
      <c r="P1041" s="1"/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78"/>
      <c r="N1042" s="178"/>
      <c r="O1042" s="1"/>
      <c r="P1042" s="1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N1043" si="313">SUM(H1044:H1048)</f>
        <v>9519000</v>
      </c>
      <c r="I1043" s="178">
        <f t="shared" si="313"/>
        <v>0</v>
      </c>
      <c r="J1043" s="178">
        <f t="shared" si="313"/>
        <v>0</v>
      </c>
      <c r="K1043" s="178">
        <f t="shared" si="313"/>
        <v>0</v>
      </c>
      <c r="L1043" s="178">
        <f t="shared" si="313"/>
        <v>0</v>
      </c>
      <c r="M1043" s="178">
        <f t="shared" si="313"/>
        <v>0</v>
      </c>
      <c r="N1043" s="178">
        <f t="shared" si="313"/>
        <v>0</v>
      </c>
      <c r="O1043" s="1"/>
      <c r="P1043" s="1"/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5680000</v>
      </c>
      <c r="I1044" s="178"/>
      <c r="J1044" s="178"/>
      <c r="K1044" s="178"/>
      <c r="L1044" s="178"/>
      <c r="M1044" s="178"/>
      <c r="N1044" s="178"/>
      <c r="O1044" s="1"/>
      <c r="P1044" s="1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360000</v>
      </c>
      <c r="I1045" s="178"/>
      <c r="J1045" s="178"/>
      <c r="K1045" s="178"/>
      <c r="L1045" s="178"/>
      <c r="M1045" s="178"/>
      <c r="N1045" s="178"/>
      <c r="O1045" s="1"/>
      <c r="P1045" s="1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78"/>
      <c r="N1046" s="178"/>
      <c r="O1046" s="1"/>
      <c r="P1046" s="1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3479000</v>
      </c>
      <c r="I1047" s="178"/>
      <c r="J1047" s="178"/>
      <c r="K1047" s="178"/>
      <c r="L1047" s="178"/>
      <c r="M1047" s="178"/>
      <c r="N1047" s="178"/>
      <c r="O1047" s="1"/>
      <c r="P1047" s="1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78"/>
      <c r="N1048" s="178"/>
      <c r="O1048" s="1"/>
      <c r="P1048" s="1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78"/>
      <c r="N1049" s="178"/>
      <c r="O1049" s="1"/>
      <c r="P1049" s="1"/>
      <c r="Q1049" s="1"/>
      <c r="R1049" s="1"/>
      <c r="S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N1050" si="314">SUM(H1051:H1055)</f>
        <v>14668000</v>
      </c>
      <c r="I1050" s="178">
        <f t="shared" si="314"/>
        <v>0</v>
      </c>
      <c r="J1050" s="178">
        <f t="shared" si="314"/>
        <v>0</v>
      </c>
      <c r="K1050" s="178">
        <f t="shared" si="314"/>
        <v>0</v>
      </c>
      <c r="L1050" s="178">
        <f t="shared" si="314"/>
        <v>0</v>
      </c>
      <c r="M1050" s="178">
        <f t="shared" si="314"/>
        <v>0</v>
      </c>
      <c r="N1050" s="178">
        <f t="shared" si="314"/>
        <v>0</v>
      </c>
      <c r="O1050" s="1"/>
      <c r="P1050" s="1"/>
      <c r="Q1050" s="1"/>
      <c r="R1050" s="1"/>
      <c r="S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13380000</v>
      </c>
      <c r="I1051" s="178"/>
      <c r="J1051" s="178"/>
      <c r="K1051" s="178"/>
      <c r="L1051" s="178"/>
      <c r="M1051" s="178"/>
      <c r="N1051" s="178"/>
      <c r="O1051" s="1"/>
      <c r="P1051" s="1"/>
      <c r="Q1051" s="1"/>
      <c r="R1051" s="1"/>
      <c r="S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1288000</v>
      </c>
      <c r="I1052" s="178"/>
      <c r="J1052" s="178"/>
      <c r="K1052" s="178"/>
      <c r="L1052" s="178"/>
      <c r="M1052" s="178"/>
      <c r="N1052" s="178"/>
      <c r="O1052" s="1"/>
      <c r="P1052" s="1"/>
      <c r="Q1052" s="1"/>
      <c r="R1052" s="1"/>
      <c r="S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78"/>
      <c r="N1053" s="178"/>
      <c r="O1053" s="1"/>
      <c r="P1053" s="1"/>
      <c r="Q1053" s="1"/>
      <c r="R1053" s="1"/>
      <c r="S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78"/>
      <c r="N1054" s="178"/>
      <c r="O1054" s="1"/>
      <c r="P1054" s="1"/>
      <c r="Q1054" s="1"/>
      <c r="R1054" s="1"/>
      <c r="S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78"/>
      <c r="N1055" s="178"/>
      <c r="O1055" s="1"/>
      <c r="P1055" s="1"/>
      <c r="Q1055" s="1"/>
      <c r="R1055" s="1"/>
      <c r="S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78"/>
      <c r="N1056" s="178"/>
      <c r="O1056" s="1"/>
      <c r="P1056" s="1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N1057" si="315">SUM(H1058:H1062)</f>
        <v>4597500</v>
      </c>
      <c r="I1057" s="178">
        <f t="shared" si="315"/>
        <v>0</v>
      </c>
      <c r="J1057" s="178">
        <f t="shared" si="315"/>
        <v>0</v>
      </c>
      <c r="K1057" s="178">
        <f t="shared" si="315"/>
        <v>0</v>
      </c>
      <c r="L1057" s="178">
        <f t="shared" si="315"/>
        <v>0</v>
      </c>
      <c r="M1057" s="178">
        <f t="shared" si="315"/>
        <v>0</v>
      </c>
      <c r="N1057" s="178">
        <f t="shared" si="315"/>
        <v>0</v>
      </c>
      <c r="O1057" s="1"/>
      <c r="P1057" s="1"/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4200000</v>
      </c>
      <c r="I1058" s="178"/>
      <c r="J1058" s="178"/>
      <c r="K1058" s="178"/>
      <c r="L1058" s="178"/>
      <c r="M1058" s="178"/>
      <c r="N1058" s="178"/>
      <c r="O1058" s="1"/>
      <c r="P1058" s="1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397500</v>
      </c>
      <c r="I1059" s="178"/>
      <c r="J1059" s="178"/>
      <c r="K1059" s="178"/>
      <c r="L1059" s="178"/>
      <c r="M1059" s="178"/>
      <c r="N1059" s="178"/>
      <c r="O1059" s="1"/>
      <c r="P1059" s="1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78"/>
      <c r="N1060" s="178"/>
      <c r="O1060" s="1"/>
      <c r="P1060" s="1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78"/>
      <c r="N1061" s="178"/>
      <c r="O1061" s="1"/>
      <c r="P1061" s="1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78"/>
      <c r="N1062" s="178"/>
      <c r="O1062" s="1"/>
      <c r="P1062" s="1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78"/>
      <c r="N1063" s="178"/>
      <c r="O1063" s="1"/>
      <c r="P1063" s="1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N1064" si="316">SUM(H1066,H1071,H1076,)</f>
        <v>36000</v>
      </c>
      <c r="I1064" s="178">
        <f t="shared" si="316"/>
        <v>39600</v>
      </c>
      <c r="J1064" s="178">
        <f t="shared" si="316"/>
        <v>43560</v>
      </c>
      <c r="K1064" s="178">
        <f t="shared" si="316"/>
        <v>206316</v>
      </c>
      <c r="L1064" s="178">
        <f t="shared" si="316"/>
        <v>151907.6</v>
      </c>
      <c r="M1064" s="178">
        <f t="shared" si="316"/>
        <v>266298.36</v>
      </c>
      <c r="N1064" s="178">
        <f t="shared" si="316"/>
        <v>195936.196</v>
      </c>
      <c r="O1064" s="223">
        <f>SUM(H1064:N1064)</f>
        <v>939618.156</v>
      </c>
      <c r="P1064" s="223"/>
      <c r="Q1064" s="223"/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178"/>
      <c r="N1065" s="178"/>
      <c r="O1065" s="223"/>
      <c r="P1065" s="223"/>
      <c r="Q1065" s="223"/>
      <c r="R1065" s="223"/>
      <c r="S1065" s="223"/>
    </row>
    <row r="1066" collapsed="1">
      <c r="A1066" s="1"/>
      <c r="B1066" s="1"/>
      <c r="C1066" s="1"/>
      <c r="D1066" s="1"/>
      <c r="E1066" s="13" t="s">
        <v>46</v>
      </c>
      <c r="G1066" s="178"/>
      <c r="H1066" s="178">
        <f t="shared" ref="H1066:N1066" si="317">SUM(H1067:H1069)</f>
        <v>13500</v>
      </c>
      <c r="I1066" s="178">
        <f t="shared" si="317"/>
        <v>14850</v>
      </c>
      <c r="J1066" s="178">
        <f t="shared" si="317"/>
        <v>16335</v>
      </c>
      <c r="K1066" s="178">
        <f t="shared" si="317"/>
        <v>17968.5</v>
      </c>
      <c r="L1066" s="178">
        <f t="shared" si="317"/>
        <v>19765.35</v>
      </c>
      <c r="M1066" s="178">
        <f t="shared" si="317"/>
        <v>21741.885</v>
      </c>
      <c r="N1066" s="178">
        <f t="shared" si="317"/>
        <v>23916.0735</v>
      </c>
      <c r="O1066" s="1"/>
      <c r="P1066" s="1"/>
      <c r="Q1066" s="1"/>
      <c r="R1066" s="1"/>
      <c r="S1066" s="1"/>
    </row>
    <row r="1067" hidden="1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N1067" si="318">H571</f>
        <v>0</v>
      </c>
      <c r="I1067" s="178">
        <f t="shared" si="318"/>
        <v>0</v>
      </c>
      <c r="J1067" s="178">
        <f t="shared" si="318"/>
        <v>0</v>
      </c>
      <c r="K1067" s="178">
        <f t="shared" si="318"/>
        <v>0</v>
      </c>
      <c r="L1067" s="178">
        <f t="shared" si="318"/>
        <v>0</v>
      </c>
      <c r="M1067" s="178">
        <f t="shared" si="318"/>
        <v>0</v>
      </c>
      <c r="N1067" s="178">
        <f t="shared" si="318"/>
        <v>0</v>
      </c>
      <c r="O1067" s="1"/>
      <c r="P1067" s="1"/>
      <c r="Q1067" s="1"/>
      <c r="R1067" s="1"/>
      <c r="S1067" s="1"/>
    </row>
    <row r="1068" hidden="1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N1068" si="319">H605</f>
        <v>0</v>
      </c>
      <c r="I1068" s="178">
        <f t="shared" si="319"/>
        <v>0</v>
      </c>
      <c r="J1068" s="178">
        <f t="shared" si="319"/>
        <v>0</v>
      </c>
      <c r="K1068" s="178">
        <f t="shared" si="319"/>
        <v>0</v>
      </c>
      <c r="L1068" s="178">
        <f t="shared" si="319"/>
        <v>0</v>
      </c>
      <c r="M1068" s="178">
        <f t="shared" si="319"/>
        <v>0</v>
      </c>
      <c r="N1068" s="178">
        <f t="shared" si="319"/>
        <v>0</v>
      </c>
      <c r="O1068" s="1"/>
      <c r="P1068" s="1"/>
      <c r="Q1068" s="1"/>
      <c r="R1068" s="1"/>
      <c r="S1068" s="1"/>
    </row>
    <row r="1069" hidden="1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N1069" si="320">H624</f>
        <v>13500</v>
      </c>
      <c r="I1069" s="178">
        <f t="shared" si="320"/>
        <v>14850</v>
      </c>
      <c r="J1069" s="178">
        <f t="shared" si="320"/>
        <v>16335</v>
      </c>
      <c r="K1069" s="178">
        <f t="shared" si="320"/>
        <v>17968.5</v>
      </c>
      <c r="L1069" s="178">
        <f t="shared" si="320"/>
        <v>19765.35</v>
      </c>
      <c r="M1069" s="178">
        <f t="shared" si="320"/>
        <v>21741.885</v>
      </c>
      <c r="N1069" s="178">
        <f t="shared" si="320"/>
        <v>23916.0735</v>
      </c>
      <c r="O1069" s="1"/>
      <c r="P1069" s="1"/>
      <c r="Q1069" s="1"/>
      <c r="R1069" s="1"/>
      <c r="S1069" s="1"/>
    </row>
    <row r="1070" hidden="1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78"/>
      <c r="N1070" s="178"/>
      <c r="O1070" s="1"/>
      <c r="P1070" s="1"/>
      <c r="Q1070" s="1"/>
      <c r="R1070" s="1"/>
      <c r="S1070" s="1"/>
    </row>
    <row r="1071" collapsed="1">
      <c r="A1071" s="1"/>
      <c r="B1071" s="1"/>
      <c r="C1071" s="1"/>
      <c r="D1071" s="1"/>
      <c r="E1071" s="13" t="s">
        <v>47</v>
      </c>
      <c r="G1071" s="178"/>
      <c r="H1071" s="178">
        <f t="shared" ref="H1071:N1071" si="321">SUM(H1072:H1074)</f>
        <v>22500</v>
      </c>
      <c r="I1071" s="178">
        <f t="shared" si="321"/>
        <v>24750</v>
      </c>
      <c r="J1071" s="178">
        <f t="shared" si="321"/>
        <v>27225</v>
      </c>
      <c r="K1071" s="178">
        <f t="shared" si="321"/>
        <v>29947.5</v>
      </c>
      <c r="L1071" s="178">
        <f t="shared" si="321"/>
        <v>45742.25</v>
      </c>
      <c r="M1071" s="178">
        <f t="shared" si="321"/>
        <v>36236.475</v>
      </c>
      <c r="N1071" s="178">
        <f t="shared" si="321"/>
        <v>50100.1225</v>
      </c>
      <c r="O1071" s="1"/>
      <c r="P1071" s="1"/>
      <c r="Q1071" s="1"/>
      <c r="R1071" s="1"/>
      <c r="S1071" s="1"/>
    </row>
    <row r="1072" hidden="1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N1072" si="322">H646</f>
        <v>0</v>
      </c>
      <c r="I1072" s="178">
        <f t="shared" si="322"/>
        <v>0</v>
      </c>
      <c r="J1072" s="178">
        <f t="shared" si="322"/>
        <v>0</v>
      </c>
      <c r="K1072" s="178">
        <f t="shared" si="322"/>
        <v>0</v>
      </c>
      <c r="L1072" s="178">
        <f t="shared" si="322"/>
        <v>12800</v>
      </c>
      <c r="M1072" s="178">
        <f t="shared" si="322"/>
        <v>0</v>
      </c>
      <c r="N1072" s="178">
        <f t="shared" si="322"/>
        <v>10240</v>
      </c>
      <c r="O1072" s="1"/>
      <c r="P1072" s="1"/>
      <c r="Q1072" s="1"/>
      <c r="R1072" s="1"/>
      <c r="S1072" s="1"/>
    </row>
    <row r="1073" hidden="1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N1073" si="323">H679</f>
        <v>0</v>
      </c>
      <c r="I1073" s="178">
        <f t="shared" si="323"/>
        <v>0</v>
      </c>
      <c r="J1073" s="178">
        <f t="shared" si="323"/>
        <v>0</v>
      </c>
      <c r="K1073" s="178">
        <f t="shared" si="323"/>
        <v>0</v>
      </c>
      <c r="L1073" s="178">
        <f t="shared" si="323"/>
        <v>0</v>
      </c>
      <c r="M1073" s="178">
        <f t="shared" si="323"/>
        <v>0</v>
      </c>
      <c r="N1073" s="178">
        <f t="shared" si="323"/>
        <v>0</v>
      </c>
      <c r="O1073" s="1"/>
      <c r="P1073" s="1"/>
      <c r="Q1073" s="1"/>
      <c r="R1073" s="1"/>
      <c r="S1073" s="1"/>
    </row>
    <row r="1074" hidden="1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N1074" si="324">H698</f>
        <v>22500</v>
      </c>
      <c r="I1074" s="178">
        <f t="shared" si="324"/>
        <v>24750</v>
      </c>
      <c r="J1074" s="178">
        <f t="shared" si="324"/>
        <v>27225</v>
      </c>
      <c r="K1074" s="178">
        <f t="shared" si="324"/>
        <v>29947.5</v>
      </c>
      <c r="L1074" s="178">
        <f t="shared" si="324"/>
        <v>32942.25</v>
      </c>
      <c r="M1074" s="178">
        <f t="shared" si="324"/>
        <v>36236.475</v>
      </c>
      <c r="N1074" s="178">
        <f t="shared" si="324"/>
        <v>39860.1225</v>
      </c>
      <c r="O1074" s="1"/>
      <c r="P1074" s="1"/>
      <c r="Q1074" s="1"/>
      <c r="R1074" s="1"/>
      <c r="S1074" s="1"/>
    </row>
    <row r="1075" hidden="1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78"/>
      <c r="N1075" s="178"/>
      <c r="O1075" s="1"/>
      <c r="P1075" s="1"/>
      <c r="Q1075" s="1"/>
      <c r="R1075" s="1"/>
      <c r="S1075" s="1"/>
    </row>
    <row r="1076" collapsed="1">
      <c r="A1076" s="1"/>
      <c r="B1076" s="1"/>
      <c r="C1076" s="1"/>
      <c r="D1076" s="1"/>
      <c r="E1076" s="13" t="s">
        <v>48</v>
      </c>
      <c r="G1076" s="178"/>
      <c r="H1076" s="178">
        <f t="shared" ref="H1076:N1076" si="325">SUM(H1077:H1079)</f>
        <v>0</v>
      </c>
      <c r="I1076" s="178">
        <f t="shared" si="325"/>
        <v>0</v>
      </c>
      <c r="J1076" s="178">
        <f t="shared" si="325"/>
        <v>0</v>
      </c>
      <c r="K1076" s="178">
        <f t="shared" si="325"/>
        <v>158400</v>
      </c>
      <c r="L1076" s="178">
        <f t="shared" si="325"/>
        <v>86400</v>
      </c>
      <c r="M1076" s="178">
        <f t="shared" si="325"/>
        <v>208320</v>
      </c>
      <c r="N1076" s="178">
        <f t="shared" si="325"/>
        <v>121920</v>
      </c>
      <c r="O1076" s="1"/>
      <c r="P1076" s="1"/>
      <c r="Q1076" s="1"/>
      <c r="R1076" s="1"/>
      <c r="S1076" s="1"/>
    </row>
    <row r="1077" hidden="1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N1077" si="326">H720</f>
        <v>0</v>
      </c>
      <c r="I1077" s="178">
        <f t="shared" si="326"/>
        <v>0</v>
      </c>
      <c r="J1077" s="178">
        <f t="shared" si="326"/>
        <v>0</v>
      </c>
      <c r="K1077" s="178">
        <f t="shared" si="326"/>
        <v>158400</v>
      </c>
      <c r="L1077" s="178">
        <f t="shared" si="326"/>
        <v>86400</v>
      </c>
      <c r="M1077" s="178">
        <f t="shared" si="326"/>
        <v>208320</v>
      </c>
      <c r="N1077" s="178">
        <f t="shared" si="326"/>
        <v>121920</v>
      </c>
      <c r="O1077" s="1"/>
      <c r="P1077" s="1"/>
      <c r="Q1077" s="1"/>
      <c r="R1077" s="1"/>
      <c r="S1077" s="1"/>
    </row>
    <row r="1078" hidden="1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N1078" si="327">H754</f>
        <v>0</v>
      </c>
      <c r="I1078" s="178">
        <f t="shared" si="327"/>
        <v>0</v>
      </c>
      <c r="J1078" s="178">
        <f t="shared" si="327"/>
        <v>0</v>
      </c>
      <c r="K1078" s="178">
        <f t="shared" si="327"/>
        <v>0</v>
      </c>
      <c r="L1078" s="178">
        <f t="shared" si="327"/>
        <v>0</v>
      </c>
      <c r="M1078" s="178">
        <f t="shared" si="327"/>
        <v>0</v>
      </c>
      <c r="N1078" s="178">
        <f t="shared" si="327"/>
        <v>0</v>
      </c>
      <c r="O1078" s="1"/>
      <c r="P1078" s="1"/>
      <c r="Q1078" s="1"/>
      <c r="R1078" s="1"/>
      <c r="S1078" s="1"/>
    </row>
    <row r="1079" hidden="1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N1079" si="328">H774</f>
        <v>0</v>
      </c>
      <c r="I1079" s="178">
        <f t="shared" si="328"/>
        <v>0</v>
      </c>
      <c r="J1079" s="178">
        <f t="shared" si="328"/>
        <v>0</v>
      </c>
      <c r="K1079" s="178">
        <f t="shared" si="328"/>
        <v>0</v>
      </c>
      <c r="L1079" s="178">
        <f t="shared" si="328"/>
        <v>0</v>
      </c>
      <c r="M1079" s="178">
        <f t="shared" si="328"/>
        <v>0</v>
      </c>
      <c r="N1079" s="178">
        <f t="shared" si="328"/>
        <v>0</v>
      </c>
      <c r="O1079" s="1"/>
      <c r="P1079" s="1"/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78"/>
      <c r="N1080" s="178"/>
      <c r="O1080" s="1"/>
      <c r="P1080" s="1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N1081" si="329">SUM(H1083,H1090,H1097,H1104,H1111,)</f>
        <v>0</v>
      </c>
      <c r="I1081" s="178">
        <f t="shared" si="329"/>
        <v>5700000</v>
      </c>
      <c r="J1081" s="178">
        <f t="shared" si="329"/>
        <v>3626000</v>
      </c>
      <c r="K1081" s="178">
        <f t="shared" si="329"/>
        <v>2652000</v>
      </c>
      <c r="L1081" s="178">
        <f t="shared" si="329"/>
        <v>1756000</v>
      </c>
      <c r="M1081" s="178">
        <f t="shared" si="329"/>
        <v>3537000</v>
      </c>
      <c r="N1081" s="178">
        <f t="shared" si="329"/>
        <v>1256000</v>
      </c>
      <c r="O1081" s="223">
        <f>SUM(H1081:N1081)</f>
        <v>18527000</v>
      </c>
      <c r="P1081" s="223"/>
      <c r="Q1081" s="223"/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178"/>
      <c r="N1082" s="178"/>
      <c r="O1082" s="223"/>
      <c r="P1082" s="223"/>
      <c r="Q1082" s="223"/>
      <c r="R1082" s="223"/>
      <c r="S1082" s="223"/>
    </row>
    <row r="1083">
      <c r="A1083" s="1"/>
      <c r="B1083" s="1"/>
      <c r="C1083" s="1"/>
      <c r="D1083" s="1"/>
      <c r="E1083" s="13" t="s">
        <v>46</v>
      </c>
      <c r="G1083" s="178"/>
      <c r="H1083" s="178">
        <f t="shared" ref="H1083:N1083" si="330">SUM(H1084:H1088)</f>
        <v>0</v>
      </c>
      <c r="I1083" s="178">
        <f t="shared" si="330"/>
        <v>0</v>
      </c>
      <c r="J1083" s="178">
        <f t="shared" si="330"/>
        <v>170000</v>
      </c>
      <c r="K1083" s="178">
        <f t="shared" si="330"/>
        <v>0</v>
      </c>
      <c r="L1083" s="178">
        <f t="shared" si="330"/>
        <v>0</v>
      </c>
      <c r="M1083" s="178">
        <f t="shared" si="330"/>
        <v>560000</v>
      </c>
      <c r="N1083" s="178">
        <f t="shared" si="330"/>
        <v>0</v>
      </c>
      <c r="O1083" s="1"/>
      <c r="P1083" s="1"/>
      <c r="Q1083" s="1"/>
      <c r="R1083" s="1"/>
      <c r="S1083" s="1"/>
    </row>
    <row r="1084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N1084" si="331">H827</f>
        <v>0</v>
      </c>
      <c r="I1084" s="179">
        <f t="shared" si="331"/>
        <v>0</v>
      </c>
      <c r="J1084" s="179">
        <f t="shared" si="331"/>
        <v>140000</v>
      </c>
      <c r="K1084" s="179">
        <f t="shared" si="331"/>
        <v>0</v>
      </c>
      <c r="L1084" s="179">
        <f t="shared" si="331"/>
        <v>0</v>
      </c>
      <c r="M1084" s="179">
        <f t="shared" si="331"/>
        <v>490000</v>
      </c>
      <c r="N1084" s="179">
        <f t="shared" si="331"/>
        <v>0</v>
      </c>
      <c r="O1084" s="1"/>
      <c r="P1084" s="1"/>
      <c r="Q1084" s="1"/>
      <c r="R1084" s="1"/>
      <c r="S1084" s="1"/>
    </row>
    <row r="1085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N1085" si="332">H830</f>
        <v>0</v>
      </c>
      <c r="I1085" s="179">
        <f t="shared" si="332"/>
        <v>0</v>
      </c>
      <c r="J1085" s="179">
        <f t="shared" si="332"/>
        <v>30000</v>
      </c>
      <c r="K1085" s="179">
        <f t="shared" si="332"/>
        <v>0</v>
      </c>
      <c r="L1085" s="179">
        <f t="shared" si="332"/>
        <v>0</v>
      </c>
      <c r="M1085" s="179">
        <f t="shared" si="332"/>
        <v>70000</v>
      </c>
      <c r="N1085" s="179">
        <f t="shared" si="332"/>
        <v>0</v>
      </c>
      <c r="O1085" s="1"/>
      <c r="P1085" s="1"/>
      <c r="Q1085" s="1"/>
      <c r="R1085" s="1"/>
      <c r="S1085" s="1"/>
    </row>
    <row r="1086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N1086" si="333">H833</f>
        <v>0</v>
      </c>
      <c r="I1086" s="179">
        <f t="shared" si="333"/>
        <v>0</v>
      </c>
      <c r="J1086" s="179">
        <f t="shared" si="333"/>
        <v>0</v>
      </c>
      <c r="K1086" s="179">
        <f t="shared" si="333"/>
        <v>0</v>
      </c>
      <c r="L1086" s="179">
        <f t="shared" si="333"/>
        <v>0</v>
      </c>
      <c r="M1086" s="179">
        <f t="shared" si="333"/>
        <v>0</v>
      </c>
      <c r="N1086" s="179">
        <f t="shared" si="333"/>
        <v>0</v>
      </c>
      <c r="O1086" s="1"/>
      <c r="P1086" s="1"/>
      <c r="Q1086" s="1"/>
      <c r="R1086" s="1"/>
      <c r="S1086" s="1"/>
    </row>
    <row r="1087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N1087" si="334">H836</f>
        <v>0</v>
      </c>
      <c r="I1087" s="179">
        <f t="shared" si="334"/>
        <v>0</v>
      </c>
      <c r="J1087" s="179">
        <f t="shared" si="334"/>
        <v>0</v>
      </c>
      <c r="K1087" s="179">
        <f t="shared" si="334"/>
        <v>0</v>
      </c>
      <c r="L1087" s="179">
        <f t="shared" si="334"/>
        <v>0</v>
      </c>
      <c r="M1087" s="179">
        <f t="shared" si="334"/>
        <v>0</v>
      </c>
      <c r="N1087" s="179">
        <f t="shared" si="334"/>
        <v>0</v>
      </c>
      <c r="O1087" s="1"/>
      <c r="P1087" s="1"/>
      <c r="Q1087" s="1"/>
      <c r="R1087" s="1"/>
      <c r="S1087" s="1"/>
    </row>
    <row r="1088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N1088" si="335">H839</f>
        <v>0</v>
      </c>
      <c r="I1088" s="179">
        <f t="shared" si="335"/>
        <v>0</v>
      </c>
      <c r="J1088" s="179">
        <f t="shared" si="335"/>
        <v>0</v>
      </c>
      <c r="K1088" s="179">
        <f t="shared" si="335"/>
        <v>0</v>
      </c>
      <c r="L1088" s="179">
        <f t="shared" si="335"/>
        <v>0</v>
      </c>
      <c r="M1088" s="179">
        <f t="shared" si="335"/>
        <v>0</v>
      </c>
      <c r="N1088" s="179">
        <f t="shared" si="335"/>
        <v>0</v>
      </c>
      <c r="O1088" s="1"/>
      <c r="P1088" s="1"/>
      <c r="Q1088" s="1"/>
      <c r="R1088" s="1"/>
      <c r="S1088" s="1"/>
    </row>
    <row r="1089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78"/>
      <c r="N1089" s="178"/>
      <c r="O1089" s="1"/>
      <c r="P1089" s="1"/>
      <c r="Q1089" s="1"/>
      <c r="R1089" s="1"/>
      <c r="S1089" s="1"/>
    </row>
    <row r="1090">
      <c r="A1090" s="1"/>
      <c r="B1090" s="1"/>
      <c r="C1090" s="1"/>
      <c r="D1090" s="1"/>
      <c r="E1090" s="13" t="s">
        <v>47</v>
      </c>
      <c r="G1090" s="1"/>
      <c r="H1090" s="178">
        <f t="shared" ref="H1090:N1090" si="336">SUM(H1091:H1095)</f>
        <v>0</v>
      </c>
      <c r="I1090" s="178">
        <f t="shared" si="336"/>
        <v>0</v>
      </c>
      <c r="J1090" s="178">
        <f t="shared" si="336"/>
        <v>440000</v>
      </c>
      <c r="K1090" s="178">
        <f t="shared" si="336"/>
        <v>0</v>
      </c>
      <c r="L1090" s="178">
        <f t="shared" si="336"/>
        <v>0</v>
      </c>
      <c r="M1090" s="178">
        <f t="shared" si="336"/>
        <v>1221000</v>
      </c>
      <c r="N1090" s="178">
        <f t="shared" si="336"/>
        <v>0</v>
      </c>
      <c r="O1090" s="1"/>
      <c r="P1090" s="1"/>
      <c r="Q1090" s="1"/>
      <c r="R1090" s="1"/>
      <c r="S1090" s="1"/>
    </row>
    <row r="109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N1091" si="337">H872</f>
        <v>0</v>
      </c>
      <c r="I1091" s="179">
        <f t="shared" si="337"/>
        <v>0</v>
      </c>
      <c r="J1091" s="179">
        <f t="shared" si="337"/>
        <v>200000</v>
      </c>
      <c r="K1091" s="179">
        <f t="shared" si="337"/>
        <v>0</v>
      </c>
      <c r="L1091" s="179">
        <f t="shared" si="337"/>
        <v>0</v>
      </c>
      <c r="M1091" s="179">
        <f t="shared" si="337"/>
        <v>575000</v>
      </c>
      <c r="N1091" s="179">
        <f t="shared" si="337"/>
        <v>0</v>
      </c>
      <c r="O1091" s="1"/>
      <c r="P1091" s="1"/>
      <c r="Q1091" s="1"/>
      <c r="R1091" s="1"/>
      <c r="S1091" s="1"/>
    </row>
    <row r="1092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N1092" si="338">H875</f>
        <v>0</v>
      </c>
      <c r="I1092" s="179">
        <f t="shared" si="338"/>
        <v>0</v>
      </c>
      <c r="J1092" s="179">
        <f t="shared" si="338"/>
        <v>80000</v>
      </c>
      <c r="K1092" s="179">
        <f t="shared" si="338"/>
        <v>0</v>
      </c>
      <c r="L1092" s="179">
        <f t="shared" si="338"/>
        <v>0</v>
      </c>
      <c r="M1092" s="179">
        <f t="shared" si="338"/>
        <v>230000</v>
      </c>
      <c r="N1092" s="179">
        <f t="shared" si="338"/>
        <v>0</v>
      </c>
      <c r="O1092" s="1"/>
      <c r="P1092" s="1"/>
      <c r="Q1092" s="1"/>
      <c r="R1092" s="1"/>
      <c r="S1092" s="1"/>
    </row>
    <row r="1093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N1093" si="339">H878</f>
        <v>0</v>
      </c>
      <c r="I1093" s="179">
        <f t="shared" si="339"/>
        <v>0</v>
      </c>
      <c r="J1093" s="179">
        <f t="shared" si="339"/>
        <v>16000</v>
      </c>
      <c r="K1093" s="179">
        <f t="shared" si="339"/>
        <v>0</v>
      </c>
      <c r="L1093" s="179">
        <f t="shared" si="339"/>
        <v>0</v>
      </c>
      <c r="M1093" s="179">
        <f t="shared" si="339"/>
        <v>56000</v>
      </c>
      <c r="N1093" s="179">
        <f t="shared" si="339"/>
        <v>0</v>
      </c>
      <c r="O1093" s="1"/>
      <c r="P1093" s="1"/>
      <c r="Q1093" s="1"/>
      <c r="R1093" s="1"/>
      <c r="S1093" s="1"/>
    </row>
    <row r="1094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N1094" si="340">H881</f>
        <v>0</v>
      </c>
      <c r="I1094" s="179">
        <f t="shared" si="340"/>
        <v>0</v>
      </c>
      <c r="J1094" s="179">
        <f t="shared" si="340"/>
        <v>144000</v>
      </c>
      <c r="K1094" s="179">
        <f t="shared" si="340"/>
        <v>0</v>
      </c>
      <c r="L1094" s="179">
        <f t="shared" si="340"/>
        <v>0</v>
      </c>
      <c r="M1094" s="179">
        <f t="shared" si="340"/>
        <v>360000</v>
      </c>
      <c r="N1094" s="179">
        <f t="shared" si="340"/>
        <v>0</v>
      </c>
      <c r="O1094" s="1"/>
      <c r="P1094" s="1"/>
      <c r="Q1094" s="1"/>
      <c r="R1094" s="1"/>
      <c r="S1094" s="1"/>
    </row>
    <row r="1095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N1095" si="341">H884</f>
        <v>0</v>
      </c>
      <c r="I1095" s="179">
        <f t="shared" si="341"/>
        <v>0</v>
      </c>
      <c r="J1095" s="179">
        <f t="shared" si="341"/>
        <v>0</v>
      </c>
      <c r="K1095" s="179">
        <f t="shared" si="341"/>
        <v>0</v>
      </c>
      <c r="L1095" s="179">
        <f t="shared" si="341"/>
        <v>0</v>
      </c>
      <c r="M1095" s="179">
        <f t="shared" si="341"/>
        <v>0</v>
      </c>
      <c r="N1095" s="179">
        <f t="shared" si="341"/>
        <v>0</v>
      </c>
      <c r="O1095" s="1"/>
      <c r="P1095" s="1"/>
      <c r="Q1095" s="1"/>
      <c r="R1095" s="1"/>
      <c r="S1095" s="1"/>
    </row>
    <row r="1096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N1097" si="342">SUM(H1098:H1102)</f>
        <v>0</v>
      </c>
      <c r="I1097" s="178">
        <f t="shared" si="342"/>
        <v>2820000</v>
      </c>
      <c r="J1097" s="178">
        <f t="shared" si="342"/>
        <v>1490000</v>
      </c>
      <c r="K1097" s="178">
        <f t="shared" si="342"/>
        <v>1300000</v>
      </c>
      <c r="L1097" s="178">
        <f t="shared" si="342"/>
        <v>854000</v>
      </c>
      <c r="M1097" s="178">
        <f t="shared" si="342"/>
        <v>854000</v>
      </c>
      <c r="N1097" s="178">
        <f t="shared" si="342"/>
        <v>622000</v>
      </c>
      <c r="O1097" s="1"/>
      <c r="P1097" s="1"/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N1098" si="343">H917</f>
        <v>0</v>
      </c>
      <c r="I1098" s="180">
        <f t="shared" si="343"/>
        <v>780000</v>
      </c>
      <c r="J1098" s="180">
        <f t="shared" si="343"/>
        <v>420000</v>
      </c>
      <c r="K1098" s="180">
        <f t="shared" si="343"/>
        <v>360000</v>
      </c>
      <c r="L1098" s="180">
        <f t="shared" si="343"/>
        <v>240000</v>
      </c>
      <c r="M1098" s="180">
        <f t="shared" si="343"/>
        <v>240000</v>
      </c>
      <c r="N1098" s="180">
        <f t="shared" si="343"/>
        <v>160000</v>
      </c>
      <c r="O1098" s="1"/>
      <c r="P1098" s="1"/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N1099" si="344">H920</f>
        <v>0</v>
      </c>
      <c r="I1099" s="170">
        <f t="shared" si="344"/>
        <v>540000</v>
      </c>
      <c r="J1099" s="170">
        <f t="shared" si="344"/>
        <v>290000</v>
      </c>
      <c r="K1099" s="170">
        <f t="shared" si="344"/>
        <v>250000</v>
      </c>
      <c r="L1099" s="170">
        <f t="shared" si="344"/>
        <v>170000</v>
      </c>
      <c r="M1099" s="170">
        <f t="shared" si="344"/>
        <v>170000</v>
      </c>
      <c r="N1099" s="170">
        <f t="shared" si="344"/>
        <v>120000</v>
      </c>
      <c r="O1099" s="1"/>
      <c r="P1099" s="1"/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N1100" si="345">H923</f>
        <v>0</v>
      </c>
      <c r="I1100" s="170">
        <f t="shared" si="345"/>
        <v>198000</v>
      </c>
      <c r="J1100" s="170">
        <f t="shared" si="345"/>
        <v>108000</v>
      </c>
      <c r="K1100" s="170">
        <f t="shared" si="345"/>
        <v>102000</v>
      </c>
      <c r="L1100" s="170">
        <f t="shared" si="345"/>
        <v>66000</v>
      </c>
      <c r="M1100" s="170">
        <f t="shared" si="345"/>
        <v>66000</v>
      </c>
      <c r="N1100" s="170">
        <f t="shared" si="345"/>
        <v>48000</v>
      </c>
      <c r="O1100" s="1"/>
      <c r="P1100" s="1"/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N1101" si="346">H926</f>
        <v>0</v>
      </c>
      <c r="I1101" s="170">
        <f t="shared" si="346"/>
        <v>1302000</v>
      </c>
      <c r="J1101" s="170">
        <f t="shared" si="346"/>
        <v>672000</v>
      </c>
      <c r="K1101" s="170">
        <f t="shared" si="346"/>
        <v>588000</v>
      </c>
      <c r="L1101" s="170">
        <f t="shared" si="346"/>
        <v>378000</v>
      </c>
      <c r="M1101" s="170">
        <f t="shared" si="346"/>
        <v>378000</v>
      </c>
      <c r="N1101" s="170">
        <f t="shared" si="346"/>
        <v>294000</v>
      </c>
      <c r="O1101" s="1"/>
      <c r="P1101" s="1"/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N1102" si="347">H929</f>
        <v>0</v>
      </c>
      <c r="I1102" s="170">
        <f t="shared" si="347"/>
        <v>0</v>
      </c>
      <c r="J1102" s="170">
        <f t="shared" si="347"/>
        <v>0</v>
      </c>
      <c r="K1102" s="170">
        <f t="shared" si="347"/>
        <v>0</v>
      </c>
      <c r="L1102" s="170">
        <f t="shared" si="347"/>
        <v>0</v>
      </c>
      <c r="M1102" s="170">
        <f t="shared" si="347"/>
        <v>0</v>
      </c>
      <c r="N1102" s="170">
        <f t="shared" si="347"/>
        <v>0</v>
      </c>
      <c r="O1102" s="1"/>
      <c r="P1102" s="1"/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N1104" si="348">SUM(H1105:H1109)</f>
        <v>0</v>
      </c>
      <c r="I1104" s="178">
        <f t="shared" si="348"/>
        <v>2190000</v>
      </c>
      <c r="J1104" s="178">
        <f t="shared" si="348"/>
        <v>1160000</v>
      </c>
      <c r="K1104" s="178">
        <f t="shared" si="348"/>
        <v>1028000</v>
      </c>
      <c r="L1104" s="178">
        <f t="shared" si="348"/>
        <v>686000</v>
      </c>
      <c r="M1104" s="178">
        <f t="shared" si="348"/>
        <v>686000</v>
      </c>
      <c r="N1104" s="178">
        <f t="shared" si="348"/>
        <v>484000</v>
      </c>
      <c r="O1104" s="1"/>
      <c r="P1104" s="1"/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N1105" si="349">H963</f>
        <v>0</v>
      </c>
      <c r="I1105" s="170">
        <f t="shared" si="349"/>
        <v>1200000</v>
      </c>
      <c r="J1105" s="170">
        <f t="shared" si="349"/>
        <v>640000</v>
      </c>
      <c r="K1105" s="170">
        <f t="shared" si="349"/>
        <v>568000</v>
      </c>
      <c r="L1105" s="170">
        <f t="shared" si="349"/>
        <v>376000</v>
      </c>
      <c r="M1105" s="170">
        <f t="shared" si="349"/>
        <v>376000</v>
      </c>
      <c r="N1105" s="170">
        <f t="shared" si="349"/>
        <v>264000</v>
      </c>
      <c r="O1105" s="1"/>
      <c r="P1105" s="1"/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N1106" si="350">H966</f>
        <v>0</v>
      </c>
      <c r="I1106" s="170">
        <f t="shared" si="350"/>
        <v>990000</v>
      </c>
      <c r="J1106" s="170">
        <f t="shared" si="350"/>
        <v>520000</v>
      </c>
      <c r="K1106" s="170">
        <f t="shared" si="350"/>
        <v>460000</v>
      </c>
      <c r="L1106" s="170">
        <f t="shared" si="350"/>
        <v>310000</v>
      </c>
      <c r="M1106" s="170">
        <f t="shared" si="350"/>
        <v>310000</v>
      </c>
      <c r="N1106" s="170">
        <f t="shared" si="350"/>
        <v>220000</v>
      </c>
      <c r="O1106" s="1"/>
      <c r="P1106" s="1"/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N1107" si="351">H969</f>
        <v>0</v>
      </c>
      <c r="I1107" s="170">
        <f t="shared" si="351"/>
        <v>0</v>
      </c>
      <c r="J1107" s="170">
        <f t="shared" si="351"/>
        <v>0</v>
      </c>
      <c r="K1107" s="170">
        <f t="shared" si="351"/>
        <v>0</v>
      </c>
      <c r="L1107" s="170">
        <f t="shared" si="351"/>
        <v>0</v>
      </c>
      <c r="M1107" s="170">
        <f t="shared" si="351"/>
        <v>0</v>
      </c>
      <c r="N1107" s="170">
        <f t="shared" si="351"/>
        <v>0</v>
      </c>
      <c r="O1107" s="1"/>
      <c r="P1107" s="1"/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N1108" si="352">H972</f>
        <v>0</v>
      </c>
      <c r="I1108" s="170">
        <f t="shared" si="352"/>
        <v>0</v>
      </c>
      <c r="J1108" s="170">
        <f t="shared" si="352"/>
        <v>0</v>
      </c>
      <c r="K1108" s="170">
        <f t="shared" si="352"/>
        <v>0</v>
      </c>
      <c r="L1108" s="170">
        <f t="shared" si="352"/>
        <v>0</v>
      </c>
      <c r="M1108" s="170">
        <f t="shared" si="352"/>
        <v>0</v>
      </c>
      <c r="N1108" s="170">
        <f t="shared" si="352"/>
        <v>0</v>
      </c>
      <c r="O1108" s="1"/>
      <c r="P1108" s="1"/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N1109" si="353">H975</f>
        <v>0</v>
      </c>
      <c r="I1109" s="170">
        <f t="shared" si="353"/>
        <v>0</v>
      </c>
      <c r="J1109" s="170">
        <f t="shared" si="353"/>
        <v>0</v>
      </c>
      <c r="K1109" s="170">
        <f t="shared" si="353"/>
        <v>0</v>
      </c>
      <c r="L1109" s="170">
        <f t="shared" si="353"/>
        <v>0</v>
      </c>
      <c r="M1109" s="170">
        <f t="shared" si="353"/>
        <v>0</v>
      </c>
      <c r="N1109" s="170">
        <f t="shared" si="353"/>
        <v>0</v>
      </c>
      <c r="O1109" s="1"/>
      <c r="P1109" s="1"/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N1111" si="354">SUM(H1112:H1116)</f>
        <v>0</v>
      </c>
      <c r="I1111" s="178">
        <f t="shared" si="354"/>
        <v>690000</v>
      </c>
      <c r="J1111" s="178">
        <f t="shared" si="354"/>
        <v>366000</v>
      </c>
      <c r="K1111" s="178">
        <f t="shared" si="354"/>
        <v>324000</v>
      </c>
      <c r="L1111" s="178">
        <f t="shared" si="354"/>
        <v>216000</v>
      </c>
      <c r="M1111" s="178">
        <f t="shared" si="354"/>
        <v>216000</v>
      </c>
      <c r="N1111" s="178">
        <f t="shared" si="354"/>
        <v>150000</v>
      </c>
      <c r="O1111" s="1"/>
      <c r="P1111" s="1"/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N1112" si="355">H1008</f>
        <v>0</v>
      </c>
      <c r="I1112" s="170">
        <f t="shared" si="355"/>
        <v>456000</v>
      </c>
      <c r="J1112" s="170">
        <f t="shared" si="355"/>
        <v>240000</v>
      </c>
      <c r="K1112" s="170">
        <f t="shared" si="355"/>
        <v>216000</v>
      </c>
      <c r="L1112" s="170">
        <f t="shared" si="355"/>
        <v>144000</v>
      </c>
      <c r="M1112" s="170">
        <f t="shared" si="355"/>
        <v>144000</v>
      </c>
      <c r="N1112" s="170">
        <f t="shared" si="355"/>
        <v>96000</v>
      </c>
      <c r="O1112" s="223"/>
      <c r="P1112" s="223"/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N1113" si="356">H1011</f>
        <v>0</v>
      </c>
      <c r="I1113" s="170">
        <f t="shared" si="356"/>
        <v>234000</v>
      </c>
      <c r="J1113" s="170">
        <f t="shared" si="356"/>
        <v>126000</v>
      </c>
      <c r="K1113" s="170">
        <f t="shared" si="356"/>
        <v>108000</v>
      </c>
      <c r="L1113" s="170">
        <f t="shared" si="356"/>
        <v>72000</v>
      </c>
      <c r="M1113" s="170">
        <f t="shared" si="356"/>
        <v>72000</v>
      </c>
      <c r="N1113" s="170">
        <f t="shared" si="356"/>
        <v>54000</v>
      </c>
      <c r="O1113" s="1"/>
      <c r="P1113" s="1"/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N1114" si="357">H1014</f>
        <v>0</v>
      </c>
      <c r="I1114" s="170">
        <f t="shared" si="357"/>
        <v>0</v>
      </c>
      <c r="J1114" s="170">
        <f t="shared" si="357"/>
        <v>0</v>
      </c>
      <c r="K1114" s="170">
        <f t="shared" si="357"/>
        <v>0</v>
      </c>
      <c r="L1114" s="170">
        <f t="shared" si="357"/>
        <v>0</v>
      </c>
      <c r="M1114" s="170">
        <f t="shared" si="357"/>
        <v>0</v>
      </c>
      <c r="N1114" s="170">
        <f t="shared" si="357"/>
        <v>0</v>
      </c>
      <c r="O1114" s="1"/>
      <c r="P1114" s="1"/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N1115" si="358">H1017</f>
        <v>0</v>
      </c>
      <c r="I1115" s="170">
        <f t="shared" si="358"/>
        <v>0</v>
      </c>
      <c r="J1115" s="170">
        <f t="shared" si="358"/>
        <v>0</v>
      </c>
      <c r="K1115" s="170">
        <f t="shared" si="358"/>
        <v>0</v>
      </c>
      <c r="L1115" s="170">
        <f t="shared" si="358"/>
        <v>0</v>
      </c>
      <c r="M1115" s="170">
        <f t="shared" si="358"/>
        <v>0</v>
      </c>
      <c r="N1115" s="170">
        <f t="shared" si="358"/>
        <v>0</v>
      </c>
      <c r="O1115" s="1"/>
      <c r="P1115" s="1"/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N1116" si="359">H1020</f>
        <v>0</v>
      </c>
      <c r="I1116" s="170">
        <f t="shared" si="359"/>
        <v>0</v>
      </c>
      <c r="J1116" s="170">
        <f t="shared" si="359"/>
        <v>0</v>
      </c>
      <c r="K1116" s="170">
        <f t="shared" si="359"/>
        <v>0</v>
      </c>
      <c r="L1116" s="170">
        <f t="shared" si="359"/>
        <v>0</v>
      </c>
      <c r="M1116" s="170">
        <f t="shared" si="359"/>
        <v>0</v>
      </c>
      <c r="N1116" s="170">
        <f t="shared" si="359"/>
        <v>0</v>
      </c>
      <c r="O1116" s="1"/>
      <c r="P1116" s="1"/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O1:O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13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5" t="s">
        <v>1</v>
      </c>
      <c r="O1" s="6"/>
      <c r="P1" s="6"/>
      <c r="Q1" s="6"/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379</v>
      </c>
      <c r="I2" s="9">
        <f t="shared" ref="I2:M2" si="1">H2+1</f>
        <v>8</v>
      </c>
      <c r="J2" s="9">
        <f t="shared" si="1"/>
        <v>9</v>
      </c>
      <c r="K2" s="9">
        <f t="shared" si="1"/>
        <v>10</v>
      </c>
      <c r="L2" s="9">
        <f t="shared" si="1"/>
        <v>11</v>
      </c>
      <c r="M2" s="9">
        <f t="shared" si="1"/>
        <v>12</v>
      </c>
      <c r="N2" s="10"/>
      <c r="O2" s="6"/>
      <c r="P2" s="6"/>
      <c r="Q2" s="6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15"/>
      <c r="N5" s="124"/>
      <c r="O5" s="124"/>
      <c r="P5" s="124"/>
      <c r="Q5" s="124"/>
      <c r="R5" s="124"/>
      <c r="S5" s="124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15"/>
      <c r="N6" s="125"/>
      <c r="O6" s="125"/>
      <c r="P6" s="125"/>
      <c r="Q6" s="125"/>
      <c r="R6" s="125"/>
      <c r="S6" s="125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18"/>
      <c r="N7" s="123"/>
      <c r="O7" s="123"/>
      <c r="P7" s="123"/>
      <c r="Q7" s="123"/>
      <c r="R7" s="123"/>
      <c r="S7" s="123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- 2026'!N6</f>
        <v>6778080.706</v>
      </c>
      <c r="I8" s="120"/>
      <c r="J8" s="120"/>
      <c r="K8" s="120"/>
      <c r="L8" s="120"/>
      <c r="M8" s="120"/>
      <c r="N8" s="130"/>
      <c r="O8" s="130"/>
      <c r="P8" s="130"/>
      <c r="Q8" s="130"/>
      <c r="R8" s="130"/>
      <c r="S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- 2026'!N9</f>
        <v>436.3224284</v>
      </c>
      <c r="I9" s="122"/>
      <c r="J9" s="122"/>
      <c r="K9" s="122"/>
      <c r="L9" s="122"/>
      <c r="M9" s="122"/>
      <c r="N9" s="130"/>
      <c r="O9" s="130"/>
      <c r="P9" s="130"/>
      <c r="Q9" s="130"/>
      <c r="R9" s="130"/>
      <c r="S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15534.56862</v>
      </c>
      <c r="I10" s="123"/>
      <c r="J10" s="123"/>
      <c r="K10" s="123"/>
      <c r="L10" s="123"/>
      <c r="M10" s="123"/>
      <c r="N10" s="130"/>
      <c r="O10" s="130"/>
      <c r="P10" s="130"/>
      <c r="Q10" s="130"/>
      <c r="R10" s="130"/>
      <c r="S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3108.568624</v>
      </c>
      <c r="I11" s="124"/>
      <c r="J11" s="124"/>
      <c r="K11" s="124"/>
      <c r="L11" s="124"/>
      <c r="M11" s="124"/>
      <c r="N11" s="130"/>
      <c r="O11" s="130"/>
      <c r="P11" s="130"/>
      <c r="Q11" s="130"/>
      <c r="R11" s="130"/>
      <c r="S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12426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571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635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2514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5915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2791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545.4756725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15"/>
      <c r="N28" s="1"/>
      <c r="O28" s="1"/>
      <c r="P28" s="1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12426</v>
      </c>
      <c r="I29" s="115"/>
      <c r="J29" s="115"/>
      <c r="K29" s="115"/>
      <c r="L29" s="115"/>
      <c r="M29" s="115"/>
      <c r="N29" s="1"/>
      <c r="O29" s="1"/>
      <c r="P29" s="1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0.292692741</v>
      </c>
      <c r="I30" s="134"/>
      <c r="J30" s="134"/>
      <c r="K30" s="134"/>
      <c r="L30" s="134"/>
      <c r="M30" s="134"/>
      <c r="N30" s="1"/>
      <c r="O30" s="1"/>
      <c r="P30" s="1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3637</v>
      </c>
      <c r="I31" s="115"/>
      <c r="J31" s="115"/>
      <c r="K31" s="115"/>
      <c r="L31" s="115"/>
      <c r="M31" s="115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35"/>
      <c r="N32" s="1"/>
      <c r="O32" s="1"/>
      <c r="P32" s="1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15"/>
      <c r="N33" s="1"/>
      <c r="O33" s="1"/>
      <c r="P33" s="1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571</v>
      </c>
      <c r="I34" s="115"/>
      <c r="J34" s="115"/>
      <c r="K34" s="115"/>
      <c r="L34" s="115"/>
      <c r="M34" s="115"/>
      <c r="N34" s="1"/>
      <c r="O34" s="1"/>
      <c r="P34" s="1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26"/>
      <c r="N35" s="1"/>
      <c r="O35" s="1"/>
      <c r="P35" s="1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114</v>
      </c>
      <c r="I36" s="115"/>
      <c r="J36" s="115"/>
      <c r="K36" s="115"/>
      <c r="L36" s="115"/>
      <c r="M36" s="115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15"/>
      <c r="N37" s="1"/>
      <c r="O37" s="1"/>
      <c r="P37" s="1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15"/>
      <c r="N38" s="1"/>
      <c r="O38" s="1"/>
      <c r="P38" s="1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635</v>
      </c>
      <c r="I39" s="115"/>
      <c r="J39" s="115"/>
      <c r="K39" s="115"/>
      <c r="L39" s="115"/>
      <c r="M39" s="115"/>
      <c r="N39" s="1"/>
      <c r="O39" s="1"/>
      <c r="P39" s="1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26"/>
      <c r="N40" s="1"/>
      <c r="O40" s="1"/>
      <c r="P40" s="1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158</v>
      </c>
      <c r="I41" s="115"/>
      <c r="J41" s="115"/>
      <c r="K41" s="115"/>
      <c r="L41" s="115"/>
      <c r="M41" s="115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15"/>
      <c r="N42" s="1"/>
      <c r="O42" s="1"/>
      <c r="P42" s="1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15"/>
      <c r="N43" s="1"/>
      <c r="O43" s="1"/>
      <c r="P43" s="1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2514</v>
      </c>
      <c r="I44" s="115"/>
      <c r="J44" s="115"/>
      <c r="K44" s="115"/>
      <c r="L44" s="115"/>
      <c r="M44" s="115"/>
      <c r="N44" s="1"/>
      <c r="O44" s="1"/>
      <c r="P44" s="1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26"/>
      <c r="N45" s="1"/>
      <c r="O45" s="1"/>
      <c r="P45" s="1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754</v>
      </c>
      <c r="I46" s="115"/>
      <c r="J46" s="115"/>
      <c r="K46" s="115"/>
      <c r="L46" s="115"/>
      <c r="M46" s="115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15"/>
      <c r="N47" s="1"/>
      <c r="O47" s="1"/>
      <c r="P47" s="1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15"/>
      <c r="N48" s="1"/>
      <c r="O48" s="1"/>
      <c r="P48" s="1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5915</v>
      </c>
      <c r="I49" s="115"/>
      <c r="J49" s="115"/>
      <c r="K49" s="115"/>
      <c r="L49" s="115"/>
      <c r="M49" s="115"/>
      <c r="N49" s="1"/>
      <c r="O49" s="1"/>
      <c r="P49" s="1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26"/>
      <c r="N50" s="1"/>
      <c r="O50" s="1"/>
      <c r="P50" s="1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1774</v>
      </c>
      <c r="I51" s="115"/>
      <c r="J51" s="115"/>
      <c r="K51" s="115"/>
      <c r="L51" s="115"/>
      <c r="M51" s="115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15"/>
      <c r="N52" s="1"/>
      <c r="O52" s="1"/>
      <c r="P52" s="1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15"/>
      <c r="N53" s="1"/>
      <c r="O53" s="1"/>
      <c r="P53" s="1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2791</v>
      </c>
      <c r="I54" s="115"/>
      <c r="J54" s="115"/>
      <c r="K54" s="115"/>
      <c r="L54" s="115"/>
      <c r="M54" s="115"/>
      <c r="N54" s="1"/>
      <c r="O54" s="1"/>
      <c r="P54" s="1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26"/>
      <c r="N55" s="1"/>
      <c r="O55" s="1"/>
      <c r="P55" s="1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837</v>
      </c>
      <c r="I56" s="115"/>
      <c r="J56" s="115"/>
      <c r="K56" s="115"/>
      <c r="L56" s="115"/>
      <c r="M56" s="115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15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15"/>
      <c r="N58" s="1"/>
      <c r="O58" s="1"/>
      <c r="P58" s="1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18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15"/>
      <c r="N60" s="1"/>
      <c r="O60" s="1"/>
      <c r="P60" s="1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3637</v>
      </c>
      <c r="I61" s="115"/>
      <c r="J61" s="115"/>
      <c r="K61" s="115"/>
      <c r="L61" s="115"/>
      <c r="M61" s="115"/>
      <c r="N61" s="1"/>
      <c r="O61" s="1"/>
      <c r="P61" s="1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1.074030795</v>
      </c>
      <c r="I62" s="138"/>
      <c r="J62" s="138"/>
      <c r="K62" s="138"/>
      <c r="L62" s="138"/>
      <c r="M62" s="138"/>
      <c r="N62" s="1"/>
      <c r="O62" s="1"/>
      <c r="P62" s="1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3906.25</v>
      </c>
      <c r="I63" s="115"/>
      <c r="J63" s="115"/>
      <c r="K63" s="115"/>
      <c r="L63" s="115"/>
      <c r="M63" s="115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15"/>
      <c r="N64" s="1"/>
      <c r="O64" s="1"/>
      <c r="P64" s="1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15"/>
      <c r="N65" s="1"/>
      <c r="O65" s="1"/>
      <c r="P65" s="1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114</v>
      </c>
      <c r="I66" s="115"/>
      <c r="J66" s="115"/>
      <c r="K66" s="115"/>
      <c r="L66" s="115"/>
      <c r="M66" s="115"/>
      <c r="N66" s="1"/>
      <c r="O66" s="1"/>
      <c r="P66" s="1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26"/>
      <c r="N67" s="1"/>
      <c r="O67" s="1"/>
      <c r="P67" s="1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122.5</v>
      </c>
      <c r="I68" s="115"/>
      <c r="J68" s="115"/>
      <c r="K68" s="115"/>
      <c r="L68" s="115"/>
      <c r="M68" s="115"/>
      <c r="N68" s="1"/>
      <c r="O68" s="1"/>
      <c r="P68" s="1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98</v>
      </c>
      <c r="I69" s="115"/>
      <c r="J69" s="115"/>
      <c r="K69" s="115"/>
      <c r="L69" s="115"/>
      <c r="M69" s="115"/>
      <c r="N69" s="1"/>
      <c r="O69" s="1"/>
      <c r="P69" s="1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24.5</v>
      </c>
      <c r="I70" s="115"/>
      <c r="J70" s="115"/>
      <c r="K70" s="115"/>
      <c r="L70" s="115"/>
      <c r="M70" s="115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15"/>
      <c r="N71" s="1"/>
      <c r="O71" s="1"/>
      <c r="P71" s="1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26"/>
      <c r="M72" s="126"/>
      <c r="N72" s="1"/>
      <c r="O72" s="1"/>
      <c r="P72" s="1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158</v>
      </c>
      <c r="I73" s="115"/>
      <c r="J73" s="115"/>
      <c r="K73" s="115"/>
      <c r="L73" s="115"/>
      <c r="M73" s="115"/>
      <c r="N73" s="1"/>
      <c r="O73" s="1"/>
      <c r="P73" s="1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15"/>
      <c r="M74" s="115"/>
      <c r="N74" s="1"/>
      <c r="O74" s="1"/>
      <c r="P74" s="1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168.75</v>
      </c>
      <c r="I75" s="115"/>
      <c r="J75" s="115"/>
      <c r="K75" s="115"/>
      <c r="L75" s="115"/>
      <c r="M75" s="115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135</v>
      </c>
      <c r="I76" s="115"/>
      <c r="J76" s="115"/>
      <c r="K76" s="115"/>
      <c r="L76" s="115"/>
      <c r="M76" s="115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33.75</v>
      </c>
      <c r="I77" s="126"/>
      <c r="J77" s="126"/>
      <c r="K77" s="126"/>
      <c r="L77" s="126"/>
      <c r="M77" s="126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15"/>
      <c r="N78" s="1"/>
      <c r="O78" s="1"/>
      <c r="P78" s="1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15"/>
      <c r="N79" s="1"/>
      <c r="O79" s="1"/>
      <c r="P79" s="1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754</v>
      </c>
      <c r="I80" s="115"/>
      <c r="J80" s="115"/>
      <c r="K80" s="115"/>
      <c r="L80" s="115"/>
      <c r="M80" s="115"/>
      <c r="N80" s="1"/>
      <c r="O80" s="1"/>
      <c r="P80" s="1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15"/>
      <c r="M81" s="115"/>
      <c r="N81" s="1"/>
      <c r="O81" s="1"/>
      <c r="P81" s="1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810</v>
      </c>
      <c r="I82" s="126"/>
      <c r="J82" s="126"/>
      <c r="K82" s="126"/>
      <c r="L82" s="126"/>
      <c r="M82" s="126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648</v>
      </c>
      <c r="I83" s="115"/>
      <c r="J83" s="115"/>
      <c r="K83" s="115"/>
      <c r="L83" s="115"/>
      <c r="M83" s="115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162</v>
      </c>
      <c r="I84" s="115"/>
      <c r="J84" s="115"/>
      <c r="K84" s="115"/>
      <c r="L84" s="115"/>
      <c r="M84" s="115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15"/>
      <c r="N85" s="1"/>
      <c r="O85" s="1"/>
      <c r="P85" s="1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15"/>
      <c r="N86" s="1"/>
      <c r="O86" s="1"/>
      <c r="P86" s="1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1774</v>
      </c>
      <c r="I87" s="126"/>
      <c r="J87" s="126"/>
      <c r="K87" s="126"/>
      <c r="L87" s="126"/>
      <c r="M87" s="126"/>
      <c r="N87" s="1"/>
      <c r="O87" s="1"/>
      <c r="P87" s="1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15"/>
      <c r="M88" s="115"/>
      <c r="N88" s="1"/>
      <c r="O88" s="1"/>
      <c r="P88" s="1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1906.25</v>
      </c>
      <c r="I89" s="115"/>
      <c r="J89" s="115"/>
      <c r="K89" s="115"/>
      <c r="L89" s="115"/>
      <c r="M89" s="115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1525</v>
      </c>
      <c r="I90" s="115"/>
      <c r="J90" s="115"/>
      <c r="K90" s="115"/>
      <c r="L90" s="115"/>
      <c r="M90" s="115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381.25</v>
      </c>
      <c r="I91" s="115"/>
      <c r="J91" s="115"/>
      <c r="K91" s="115"/>
      <c r="L91" s="115"/>
      <c r="M91" s="115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15"/>
      <c r="N92" s="1"/>
      <c r="O92" s="1"/>
      <c r="P92" s="1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15"/>
      <c r="N93" s="1"/>
      <c r="O93" s="1"/>
      <c r="P93" s="1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837</v>
      </c>
      <c r="I94" s="115"/>
      <c r="J94" s="115"/>
      <c r="K94" s="115"/>
      <c r="L94" s="115"/>
      <c r="M94" s="115"/>
      <c r="N94" s="1"/>
      <c r="O94" s="1"/>
      <c r="P94" s="1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15"/>
      <c r="M95" s="115"/>
      <c r="N95" s="1"/>
      <c r="O95" s="1"/>
      <c r="P95" s="1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898.75</v>
      </c>
      <c r="I96" s="115"/>
      <c r="J96" s="115"/>
      <c r="K96" s="115"/>
      <c r="L96" s="115"/>
      <c r="M96" s="115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719</v>
      </c>
      <c r="I97" s="115"/>
      <c r="J97" s="115"/>
      <c r="K97" s="115"/>
      <c r="L97" s="115"/>
      <c r="M97" s="115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179.75</v>
      </c>
      <c r="I98" s="115"/>
      <c r="J98" s="115"/>
      <c r="K98" s="115"/>
      <c r="L98" s="115"/>
      <c r="M98" s="115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15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15"/>
      <c r="N100" s="1"/>
      <c r="O100" s="1"/>
      <c r="P100" s="1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18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15"/>
      <c r="N102" s="1"/>
      <c r="O102" s="1"/>
      <c r="P102" s="1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3906.25</v>
      </c>
      <c r="I103" s="115"/>
      <c r="J103" s="115"/>
      <c r="K103" s="115"/>
      <c r="L103" s="115"/>
      <c r="M103" s="115"/>
      <c r="N103" s="1"/>
      <c r="O103" s="1"/>
      <c r="P103" s="1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0.300288</v>
      </c>
      <c r="I104" s="143"/>
      <c r="J104" s="143"/>
      <c r="K104" s="143"/>
      <c r="L104" s="143"/>
      <c r="M104" s="143"/>
      <c r="N104" s="1"/>
      <c r="O104" s="1"/>
      <c r="P104" s="1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0.09439884114</v>
      </c>
      <c r="I105" s="143"/>
      <c r="J105" s="143"/>
      <c r="K105" s="143"/>
      <c r="L105" s="143"/>
      <c r="M105" s="143"/>
      <c r="N105" s="1"/>
      <c r="O105" s="1"/>
      <c r="P105" s="1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1173</v>
      </c>
      <c r="I106" s="115"/>
      <c r="J106" s="115"/>
      <c r="K106" s="115"/>
      <c r="L106" s="115"/>
      <c r="M106" s="115"/>
      <c r="N106" s="1"/>
      <c r="O106" s="1"/>
      <c r="P106" s="1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41667.94544</v>
      </c>
      <c r="I107" s="115"/>
      <c r="J107" s="115"/>
      <c r="K107" s="115"/>
      <c r="L107" s="115"/>
      <c r="M107" s="115"/>
      <c r="N107" s="1"/>
      <c r="O107" s="1"/>
      <c r="P107" s="1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48876500</v>
      </c>
      <c r="I108" s="115"/>
      <c r="J108" s="115"/>
      <c r="K108" s="115"/>
      <c r="L108" s="115"/>
      <c r="M108" s="115"/>
      <c r="N108" s="1"/>
      <c r="O108" s="1"/>
      <c r="P108" s="1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15"/>
      <c r="N109" s="1"/>
      <c r="O109" s="1"/>
      <c r="P109" s="1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43"/>
      <c r="N110" s="1"/>
      <c r="O110" s="1"/>
      <c r="P110" s="1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122.5</v>
      </c>
      <c r="I111" s="135"/>
      <c r="J111" s="135"/>
      <c r="K111" s="135"/>
      <c r="L111" s="135"/>
      <c r="M111" s="135"/>
      <c r="N111" s="1"/>
      <c r="O111" s="1"/>
      <c r="P111" s="1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29"/>
      <c r="N112" s="1"/>
      <c r="O112" s="1"/>
      <c r="P112" s="1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0.06479859895</v>
      </c>
      <c r="I113" s="143"/>
      <c r="J113" s="143"/>
      <c r="K113" s="143"/>
      <c r="L113" s="143"/>
      <c r="M113" s="143"/>
      <c r="N113" s="1"/>
      <c r="O113" s="1"/>
      <c r="P113" s="1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37</v>
      </c>
      <c r="I114" s="148"/>
      <c r="J114" s="148"/>
      <c r="K114" s="148"/>
      <c r="L114" s="148"/>
      <c r="M114" s="148"/>
      <c r="N114" s="1"/>
      <c r="O114" s="1"/>
      <c r="P114" s="1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91162.16216</v>
      </c>
      <c r="I115" s="150"/>
      <c r="J115" s="150"/>
      <c r="K115" s="150"/>
      <c r="L115" s="150"/>
      <c r="M115" s="150"/>
      <c r="N115" s="1"/>
      <c r="O115" s="1"/>
      <c r="P115" s="1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3373000</v>
      </c>
      <c r="I116" s="150"/>
      <c r="J116" s="150"/>
      <c r="K116" s="150"/>
      <c r="L116" s="150"/>
      <c r="M116" s="150"/>
      <c r="N116" s="1"/>
      <c r="O116" s="1"/>
      <c r="P116" s="1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53"/>
      <c r="N117" s="1"/>
      <c r="O117" s="1"/>
      <c r="P117" s="1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53"/>
      <c r="N118" s="1"/>
      <c r="O118" s="1"/>
      <c r="P118" s="1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55"/>
      <c r="N119" s="1"/>
      <c r="O119" s="1"/>
      <c r="P119" s="1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55"/>
      <c r="N120" s="1"/>
      <c r="O120" s="1"/>
      <c r="P120" s="1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55"/>
      <c r="N121" s="1"/>
      <c r="O121" s="1"/>
      <c r="P121" s="1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100000.0</v>
      </c>
      <c r="I122" s="157"/>
      <c r="J122" s="157"/>
      <c r="K122" s="157"/>
      <c r="L122" s="157"/>
      <c r="M122" s="157"/>
      <c r="N122" s="1"/>
      <c r="O122" s="1"/>
      <c r="P122" s="1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57"/>
      <c r="N123" s="1"/>
      <c r="O123" s="1"/>
      <c r="P123" s="1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57"/>
      <c r="N124" s="1"/>
      <c r="O124" s="1"/>
      <c r="P124" s="1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57"/>
      <c r="N125" s="1"/>
      <c r="O125" s="1"/>
      <c r="P125" s="1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59"/>
      <c r="N126" s="1"/>
      <c r="O126" s="1"/>
      <c r="P126" s="1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62"/>
      <c r="K127" s="162"/>
      <c r="L127" s="162"/>
      <c r="M127" s="162"/>
      <c r="N127" s="1"/>
      <c r="O127" s="1"/>
      <c r="P127" s="1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22</v>
      </c>
      <c r="I128" s="148"/>
      <c r="J128" s="148"/>
      <c r="K128" s="148"/>
      <c r="L128" s="148"/>
      <c r="M128" s="148"/>
      <c r="N128" s="1"/>
      <c r="O128" s="1"/>
      <c r="P128" s="1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2200000</v>
      </c>
      <c r="I129" s="150"/>
      <c r="J129" s="150"/>
      <c r="K129" s="150"/>
      <c r="L129" s="150"/>
      <c r="M129" s="150"/>
      <c r="N129" s="1"/>
      <c r="O129" s="1"/>
      <c r="P129" s="1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5</v>
      </c>
      <c r="I130" s="148"/>
      <c r="J130" s="148"/>
      <c r="K130" s="148"/>
      <c r="L130" s="148"/>
      <c r="M130" s="148"/>
      <c r="N130" s="1"/>
      <c r="O130" s="1"/>
      <c r="P130" s="1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158000</v>
      </c>
      <c r="I131" s="150"/>
      <c r="J131" s="150"/>
      <c r="K131" s="150"/>
      <c r="L131" s="150"/>
      <c r="M131" s="150"/>
      <c r="N131" s="1"/>
      <c r="O131" s="1"/>
      <c r="P131" s="1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48"/>
      <c r="N132" s="1"/>
      <c r="O132" s="1"/>
      <c r="P132" s="1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50"/>
      <c r="N133" s="1"/>
      <c r="O133" s="1"/>
      <c r="P133" s="1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7</v>
      </c>
      <c r="I134" s="148"/>
      <c r="J134" s="148"/>
      <c r="K134" s="148"/>
      <c r="L134" s="148"/>
      <c r="M134" s="148"/>
      <c r="N134" s="1"/>
      <c r="O134" s="1"/>
      <c r="P134" s="1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1015000</v>
      </c>
      <c r="I135" s="150"/>
      <c r="J135" s="150"/>
      <c r="K135" s="150"/>
      <c r="L135" s="150"/>
      <c r="M135" s="150"/>
      <c r="N135" s="1"/>
      <c r="O135" s="1"/>
      <c r="P135" s="1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48"/>
      <c r="N136" s="1"/>
      <c r="O136" s="1"/>
      <c r="P136" s="1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50"/>
      <c r="N137" s="1"/>
      <c r="O137" s="1"/>
      <c r="P137" s="1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63"/>
      <c r="N138" s="1"/>
      <c r="O138" s="1"/>
      <c r="P138" s="1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43"/>
      <c r="N139" s="1"/>
      <c r="O139" s="1"/>
      <c r="P139" s="1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168.75</v>
      </c>
      <c r="I140" s="148"/>
      <c r="J140" s="148"/>
      <c r="K140" s="148"/>
      <c r="L140" s="148"/>
      <c r="M140" s="148"/>
      <c r="N140" s="1"/>
      <c r="O140" s="1"/>
      <c r="P140" s="1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29"/>
      <c r="N141" s="1"/>
      <c r="O141" s="1"/>
      <c r="P141" s="1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0.08031496063</v>
      </c>
      <c r="I142" s="143"/>
      <c r="J142" s="143"/>
      <c r="K142" s="143"/>
      <c r="L142" s="143"/>
      <c r="M142" s="143"/>
      <c r="N142" s="1"/>
      <c r="O142" s="1"/>
      <c r="P142" s="1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51</v>
      </c>
      <c r="I143" s="148"/>
      <c r="J143" s="148"/>
      <c r="K143" s="148"/>
      <c r="L143" s="148"/>
      <c r="M143" s="148"/>
      <c r="N143" s="1"/>
      <c r="O143" s="1"/>
      <c r="P143" s="1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68588.23529</v>
      </c>
      <c r="I144" s="150"/>
      <c r="J144" s="150"/>
      <c r="K144" s="150"/>
      <c r="L144" s="150"/>
      <c r="M144" s="150"/>
      <c r="N144" s="1"/>
      <c r="O144" s="1"/>
      <c r="P144" s="1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3498000</v>
      </c>
      <c r="I145" s="150"/>
      <c r="J145" s="150"/>
      <c r="K145" s="150"/>
      <c r="L145" s="150"/>
      <c r="M145" s="150"/>
      <c r="N145" s="1"/>
      <c r="O145" s="1"/>
      <c r="P145" s="1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55"/>
      <c r="N146" s="1"/>
      <c r="O146" s="1"/>
      <c r="P146" s="1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53"/>
      <c r="N147" s="1"/>
      <c r="O147" s="1"/>
      <c r="P147" s="1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55"/>
      <c r="N148" s="1"/>
      <c r="O148" s="1"/>
      <c r="P148" s="1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55"/>
      <c r="N149" s="1"/>
      <c r="O149" s="1"/>
      <c r="P149" s="1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55"/>
      <c r="N150" s="1"/>
      <c r="O150" s="1"/>
      <c r="P150" s="1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80000.0</v>
      </c>
      <c r="I151" s="159"/>
      <c r="J151" s="159"/>
      <c r="K151" s="159"/>
      <c r="L151" s="159"/>
      <c r="M151" s="159"/>
      <c r="N151" s="1"/>
      <c r="O151" s="1"/>
      <c r="P151" s="1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57"/>
      <c r="N152" s="1"/>
      <c r="O152" s="1"/>
      <c r="P152" s="1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57"/>
      <c r="M153" s="157"/>
      <c r="N153" s="1"/>
      <c r="O153" s="1"/>
      <c r="P153" s="1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59"/>
      <c r="N154" s="1"/>
      <c r="O154" s="1"/>
      <c r="P154" s="1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59"/>
      <c r="N155" s="1"/>
      <c r="O155" s="1"/>
      <c r="P155" s="1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62"/>
      <c r="N156" s="1"/>
      <c r="O156" s="1"/>
      <c r="P156" s="1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30</v>
      </c>
      <c r="I157" s="148"/>
      <c r="J157" s="148"/>
      <c r="K157" s="148"/>
      <c r="L157" s="148"/>
      <c r="M157" s="148"/>
      <c r="N157" s="1"/>
      <c r="O157" s="1"/>
      <c r="P157" s="1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2400000</v>
      </c>
      <c r="I158" s="150"/>
      <c r="J158" s="150"/>
      <c r="K158" s="150"/>
      <c r="L158" s="150"/>
      <c r="M158" s="150"/>
      <c r="N158" s="1"/>
      <c r="O158" s="1"/>
      <c r="P158" s="1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6</v>
      </c>
      <c r="I159" s="148"/>
      <c r="J159" s="148"/>
      <c r="K159" s="148"/>
      <c r="L159" s="148"/>
      <c r="M159" s="148"/>
      <c r="N159" s="1"/>
      <c r="O159" s="1"/>
      <c r="P159" s="1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108000</v>
      </c>
      <c r="I160" s="150"/>
      <c r="J160" s="150"/>
      <c r="K160" s="150"/>
      <c r="L160" s="150"/>
      <c r="M160" s="150"/>
      <c r="N160" s="1"/>
      <c r="O160" s="1"/>
      <c r="P160" s="1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48"/>
      <c r="N161" s="1"/>
      <c r="O161" s="1"/>
      <c r="P161" s="1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50"/>
      <c r="N162" s="1"/>
      <c r="O162" s="1"/>
      <c r="P162" s="1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10</v>
      </c>
      <c r="I163" s="148"/>
      <c r="J163" s="148"/>
      <c r="K163" s="148"/>
      <c r="L163" s="148"/>
      <c r="M163" s="148"/>
      <c r="N163" s="1"/>
      <c r="O163" s="1"/>
      <c r="P163" s="1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990000</v>
      </c>
      <c r="I164" s="150"/>
      <c r="J164" s="150"/>
      <c r="K164" s="150"/>
      <c r="L164" s="150"/>
      <c r="M164" s="150"/>
      <c r="N164" s="1"/>
      <c r="O164" s="1"/>
      <c r="P164" s="1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5</v>
      </c>
      <c r="I165" s="148"/>
      <c r="J165" s="148"/>
      <c r="K165" s="148"/>
      <c r="L165" s="148"/>
      <c r="M165" s="148"/>
      <c r="N165" s="1"/>
      <c r="O165" s="1"/>
      <c r="P165" s="1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50"/>
      <c r="N166" s="1"/>
      <c r="O166" s="1"/>
      <c r="P166" s="1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50"/>
      <c r="N167" s="1"/>
      <c r="O167" s="1"/>
      <c r="P167" s="1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43"/>
      <c r="N168" s="1"/>
      <c r="O168" s="1"/>
      <c r="P168" s="1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43"/>
      <c r="N169" s="1"/>
      <c r="O169" s="1"/>
      <c r="P169" s="1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810</v>
      </c>
      <c r="I170" s="148"/>
      <c r="J170" s="148"/>
      <c r="K170" s="148"/>
      <c r="L170" s="148"/>
      <c r="M170" s="148"/>
      <c r="N170" s="1"/>
      <c r="O170" s="1"/>
      <c r="P170" s="1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29"/>
      <c r="N171" s="1"/>
      <c r="O171" s="1"/>
      <c r="P171" s="1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0.09665871122</v>
      </c>
      <c r="I172" s="143"/>
      <c r="J172" s="143"/>
      <c r="K172" s="143"/>
      <c r="L172" s="143"/>
      <c r="M172" s="143"/>
      <c r="N172" s="1"/>
      <c r="O172" s="1"/>
      <c r="P172" s="1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243</v>
      </c>
      <c r="I173" s="166"/>
      <c r="J173" s="166"/>
      <c r="K173" s="166"/>
      <c r="L173" s="166"/>
      <c r="M173" s="166"/>
      <c r="N173" s="1"/>
      <c r="O173" s="1"/>
      <c r="P173" s="1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63860.0823</v>
      </c>
      <c r="I174" s="150"/>
      <c r="J174" s="150"/>
      <c r="K174" s="150"/>
      <c r="L174" s="150"/>
      <c r="M174" s="150"/>
      <c r="N174" s="1"/>
      <c r="O174" s="1"/>
      <c r="P174" s="1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15518000</v>
      </c>
      <c r="I175" s="150"/>
      <c r="J175" s="150"/>
      <c r="K175" s="150"/>
      <c r="L175" s="150"/>
      <c r="M175" s="150"/>
      <c r="N175" s="1"/>
      <c r="O175" s="1"/>
      <c r="P175" s="1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53"/>
      <c r="N176" s="1"/>
      <c r="O176" s="1"/>
      <c r="P176" s="1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53"/>
      <c r="N177" s="1"/>
      <c r="O177" s="1"/>
      <c r="P177" s="1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55"/>
      <c r="N178" s="1"/>
      <c r="O178" s="1"/>
      <c r="P178" s="1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55"/>
      <c r="N179" s="1"/>
      <c r="O179" s="1"/>
      <c r="P179" s="1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55"/>
      <c r="N180" s="1"/>
      <c r="O180" s="1"/>
      <c r="P180" s="1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80000.0</v>
      </c>
      <c r="I181" s="157"/>
      <c r="J181" s="157"/>
      <c r="K181" s="157"/>
      <c r="L181" s="157"/>
      <c r="M181" s="157"/>
      <c r="N181" s="1"/>
      <c r="O181" s="1"/>
      <c r="P181" s="1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57"/>
      <c r="N182" s="1"/>
      <c r="O182" s="1"/>
      <c r="P182" s="1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57"/>
      <c r="N183" s="1"/>
      <c r="O183" s="1"/>
      <c r="P183" s="1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59"/>
      <c r="N184" s="1"/>
      <c r="O184" s="1"/>
      <c r="P184" s="1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59"/>
      <c r="N185" s="1"/>
      <c r="O185" s="1"/>
      <c r="P185" s="1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62"/>
      <c r="N186" s="1"/>
      <c r="O186" s="1"/>
      <c r="P186" s="1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145</v>
      </c>
      <c r="I187" s="148"/>
      <c r="J187" s="148"/>
      <c r="K187" s="148"/>
      <c r="L187" s="148"/>
      <c r="M187" s="148"/>
      <c r="N187" s="1"/>
      <c r="O187" s="1"/>
      <c r="P187" s="1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11600000</v>
      </c>
      <c r="I188" s="150"/>
      <c r="J188" s="150"/>
      <c r="K188" s="150"/>
      <c r="L188" s="150"/>
      <c r="M188" s="150"/>
      <c r="N188" s="1"/>
      <c r="O188" s="1"/>
      <c r="P188" s="1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26</v>
      </c>
      <c r="I189" s="148"/>
      <c r="J189" s="148"/>
      <c r="K189" s="148"/>
      <c r="L189" s="148"/>
      <c r="M189" s="148"/>
      <c r="N189" s="1"/>
      <c r="O189" s="1"/>
      <c r="P189" s="1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390000</v>
      </c>
      <c r="I190" s="150"/>
      <c r="J190" s="150"/>
      <c r="K190" s="150"/>
      <c r="L190" s="150"/>
      <c r="M190" s="150"/>
      <c r="N190" s="1"/>
      <c r="O190" s="1"/>
      <c r="P190" s="1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48"/>
      <c r="N191" s="1"/>
      <c r="O191" s="1"/>
      <c r="P191" s="1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50"/>
      <c r="N192" s="1"/>
      <c r="O192" s="1"/>
      <c r="P192" s="1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72</v>
      </c>
      <c r="I193" s="148"/>
      <c r="J193" s="148"/>
      <c r="K193" s="148"/>
      <c r="L193" s="148"/>
      <c r="M193" s="148"/>
      <c r="N193" s="1"/>
      <c r="O193" s="1"/>
      <c r="P193" s="1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3528000</v>
      </c>
      <c r="I194" s="150"/>
      <c r="J194" s="150"/>
      <c r="K194" s="150"/>
      <c r="L194" s="150"/>
      <c r="M194" s="150"/>
      <c r="N194" s="1"/>
      <c r="O194" s="1"/>
      <c r="P194" s="1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48"/>
      <c r="N195" s="1"/>
      <c r="O195" s="1"/>
      <c r="P195" s="1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50"/>
      <c r="N196" s="1"/>
      <c r="O196" s="1"/>
      <c r="P196" s="1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50"/>
      <c r="N197" s="1"/>
      <c r="O197" s="1"/>
      <c r="P197" s="1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43"/>
      <c r="N198" s="1"/>
      <c r="O198" s="1"/>
      <c r="P198" s="1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43"/>
      <c r="N199" s="1"/>
      <c r="O199" s="1"/>
      <c r="P199" s="1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1906.25</v>
      </c>
      <c r="I200" s="148"/>
      <c r="J200" s="148"/>
      <c r="K200" s="148"/>
      <c r="L200" s="148"/>
      <c r="M200" s="148"/>
      <c r="N200" s="1"/>
      <c r="O200" s="1"/>
      <c r="P200" s="1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26"/>
      <c r="N201" s="1"/>
      <c r="O201" s="1"/>
      <c r="P201" s="1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0.0967032967</v>
      </c>
      <c r="I202" s="143"/>
      <c r="J202" s="143"/>
      <c r="K202" s="143"/>
      <c r="L202" s="143"/>
      <c r="M202" s="143"/>
      <c r="N202" s="1"/>
      <c r="O202" s="1"/>
      <c r="P202" s="1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572</v>
      </c>
      <c r="I203" s="148"/>
      <c r="J203" s="148"/>
      <c r="K203" s="148"/>
      <c r="L203" s="148"/>
      <c r="M203" s="148"/>
      <c r="N203" s="1"/>
      <c r="O203" s="1"/>
      <c r="P203" s="1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34270.1049</v>
      </c>
      <c r="I204" s="150"/>
      <c r="J204" s="150"/>
      <c r="K204" s="150"/>
      <c r="L204" s="150"/>
      <c r="M204" s="150"/>
      <c r="N204" s="1"/>
      <c r="O204" s="1"/>
      <c r="P204" s="1"/>
      <c r="Q204" s="1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19602500</v>
      </c>
      <c r="I205" s="150"/>
      <c r="J205" s="150"/>
      <c r="K205" s="150"/>
      <c r="L205" s="150"/>
      <c r="M205" s="150"/>
      <c r="N205" s="1"/>
      <c r="O205" s="1"/>
      <c r="P205" s="1"/>
      <c r="Q205" s="1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55"/>
      <c r="N206" s="1"/>
      <c r="O206" s="1"/>
      <c r="P206" s="1"/>
      <c r="Q206" s="1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55"/>
      <c r="N207" s="1"/>
      <c r="O207" s="1"/>
      <c r="P207" s="1"/>
      <c r="Q207" s="1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55"/>
      <c r="N208" s="1"/>
      <c r="O208" s="1"/>
      <c r="P208" s="1"/>
      <c r="Q208" s="1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53"/>
      <c r="N209" s="1"/>
      <c r="O209" s="1"/>
      <c r="P209" s="1"/>
      <c r="Q209" s="1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55"/>
      <c r="N210" s="1"/>
      <c r="O210" s="1"/>
      <c r="P210" s="1"/>
      <c r="Q210" s="1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40000.0</v>
      </c>
      <c r="I211" s="157"/>
      <c r="J211" s="157"/>
      <c r="K211" s="157"/>
      <c r="L211" s="157"/>
      <c r="M211" s="157"/>
      <c r="N211" s="1"/>
      <c r="O211" s="1"/>
      <c r="P211" s="1"/>
      <c r="Q211" s="1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57"/>
      <c r="N212" s="1"/>
      <c r="O212" s="1"/>
      <c r="P212" s="1"/>
      <c r="Q212" s="1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59"/>
      <c r="N213" s="1"/>
      <c r="O213" s="1"/>
      <c r="P213" s="1"/>
      <c r="Q213" s="1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59"/>
      <c r="N214" s="1"/>
      <c r="O214" s="1"/>
      <c r="P214" s="1"/>
      <c r="Q214" s="1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59"/>
      <c r="N215" s="1"/>
      <c r="O215" s="1"/>
      <c r="P215" s="1"/>
      <c r="Q215" s="1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62"/>
      <c r="N216" s="1"/>
      <c r="O216" s="1"/>
      <c r="P216" s="1"/>
      <c r="Q216" s="1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457</v>
      </c>
      <c r="I217" s="148"/>
      <c r="J217" s="148"/>
      <c r="K217" s="148"/>
      <c r="L217" s="148"/>
      <c r="M217" s="148"/>
      <c r="N217" s="1"/>
      <c r="O217" s="1"/>
      <c r="P217" s="1"/>
      <c r="Q217" s="1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18280000</v>
      </c>
      <c r="I218" s="150"/>
      <c r="J218" s="150"/>
      <c r="K218" s="150"/>
      <c r="L218" s="150"/>
      <c r="M218" s="150"/>
      <c r="N218" s="1"/>
      <c r="O218" s="1"/>
      <c r="P218" s="1"/>
      <c r="Q218" s="1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115</v>
      </c>
      <c r="I219" s="148"/>
      <c r="J219" s="148"/>
      <c r="K219" s="148"/>
      <c r="L219" s="148"/>
      <c r="M219" s="148"/>
      <c r="N219" s="1"/>
      <c r="O219" s="1"/>
      <c r="P219" s="1"/>
      <c r="Q219" s="1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1322500</v>
      </c>
      <c r="I220" s="150"/>
      <c r="J220" s="150"/>
      <c r="K220" s="150"/>
      <c r="L220" s="150"/>
      <c r="M220" s="150"/>
      <c r="N220" s="1"/>
      <c r="O220" s="1"/>
      <c r="P220" s="1"/>
      <c r="Q220" s="1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48"/>
      <c r="N221" s="1"/>
      <c r="O221" s="1"/>
      <c r="P221" s="1"/>
      <c r="Q221" s="1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50"/>
      <c r="N222" s="1"/>
      <c r="O222" s="1"/>
      <c r="P222" s="1"/>
      <c r="Q222" s="1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48"/>
      <c r="N223" s="1"/>
      <c r="O223" s="1"/>
      <c r="P223" s="1"/>
      <c r="Q223" s="1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50"/>
      <c r="N224" s="1"/>
      <c r="O224" s="1"/>
      <c r="P224" s="1"/>
      <c r="Q224" s="1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48"/>
      <c r="N225" s="1"/>
      <c r="O225" s="1"/>
      <c r="P225" s="1"/>
      <c r="Q225" s="1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50"/>
      <c r="N226" s="1"/>
      <c r="O226" s="1"/>
      <c r="P226" s="1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15"/>
      <c r="N227" s="1"/>
      <c r="O227" s="1"/>
      <c r="P227" s="1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43"/>
      <c r="N228" s="1"/>
      <c r="O228" s="1"/>
      <c r="P228" s="1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898.75</v>
      </c>
      <c r="I229" s="148"/>
      <c r="J229" s="148"/>
      <c r="K229" s="148"/>
      <c r="L229" s="148"/>
      <c r="M229" s="148"/>
      <c r="N229" s="1"/>
      <c r="O229" s="1"/>
      <c r="P229" s="1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29"/>
      <c r="N230" s="1"/>
      <c r="O230" s="1"/>
      <c r="P230" s="1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0.09673951989</v>
      </c>
      <c r="I231" s="143"/>
      <c r="J231" s="143"/>
      <c r="K231" s="143"/>
      <c r="L231" s="143"/>
      <c r="M231" s="143"/>
      <c r="N231" s="1"/>
      <c r="O231" s="1"/>
      <c r="P231" s="1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270</v>
      </c>
      <c r="I232" s="148"/>
      <c r="J232" s="148"/>
      <c r="K232" s="148"/>
      <c r="L232" s="148"/>
      <c r="M232" s="148"/>
      <c r="N232" s="1"/>
      <c r="O232" s="1"/>
      <c r="P232" s="1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25500</v>
      </c>
      <c r="I233" s="150"/>
      <c r="J233" s="150"/>
      <c r="K233" s="150"/>
      <c r="L233" s="150"/>
      <c r="M233" s="150"/>
      <c r="N233" s="1"/>
      <c r="O233" s="1"/>
      <c r="P233" s="1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6885000</v>
      </c>
      <c r="I234" s="150"/>
      <c r="J234" s="150"/>
      <c r="K234" s="150"/>
      <c r="L234" s="150"/>
      <c r="M234" s="150"/>
      <c r="N234" s="1"/>
      <c r="O234" s="1"/>
      <c r="P234" s="1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55"/>
      <c r="N235" s="1"/>
      <c r="O235" s="1"/>
      <c r="P235" s="1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55"/>
      <c r="N236" s="1"/>
      <c r="O236" s="1"/>
      <c r="P236" s="1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55"/>
      <c r="N237" s="1"/>
      <c r="O237" s="1"/>
      <c r="P237" s="1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53"/>
      <c r="N238" s="1"/>
      <c r="O238" s="1"/>
      <c r="P238" s="1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55"/>
      <c r="N239" s="1"/>
      <c r="O239" s="1"/>
      <c r="P239" s="1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30000.0</v>
      </c>
      <c r="I240" s="157"/>
      <c r="J240" s="157"/>
      <c r="K240" s="157"/>
      <c r="L240" s="157"/>
      <c r="M240" s="157"/>
      <c r="N240" s="1"/>
      <c r="O240" s="1"/>
      <c r="P240" s="1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57"/>
      <c r="N241" s="1"/>
      <c r="O241" s="1"/>
      <c r="P241" s="1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59"/>
      <c r="N242" s="1"/>
      <c r="O242" s="1"/>
      <c r="P242" s="1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59"/>
      <c r="N243" s="1"/>
      <c r="O243" s="1"/>
      <c r="P243" s="1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59"/>
      <c r="N244" s="1"/>
      <c r="O244" s="1"/>
      <c r="P244" s="1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62"/>
      <c r="N245" s="1"/>
      <c r="O245" s="1"/>
      <c r="P245" s="1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216</v>
      </c>
      <c r="I246" s="148"/>
      <c r="J246" s="148"/>
      <c r="K246" s="148"/>
      <c r="L246" s="148"/>
      <c r="M246" s="148"/>
      <c r="N246" s="1"/>
      <c r="O246" s="1"/>
      <c r="P246" s="1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6480000</v>
      </c>
      <c r="I247" s="150"/>
      <c r="J247" s="150"/>
      <c r="K247" s="150"/>
      <c r="L247" s="150"/>
      <c r="M247" s="150"/>
      <c r="N247" s="1"/>
      <c r="O247" s="1"/>
      <c r="P247" s="1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54</v>
      </c>
      <c r="I248" s="148"/>
      <c r="J248" s="148"/>
      <c r="K248" s="148"/>
      <c r="L248" s="148"/>
      <c r="M248" s="148"/>
      <c r="N248" s="1"/>
      <c r="O248" s="1"/>
      <c r="P248" s="1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405000</v>
      </c>
      <c r="I249" s="150"/>
      <c r="J249" s="150"/>
      <c r="K249" s="150"/>
      <c r="L249" s="150"/>
      <c r="M249" s="150"/>
      <c r="N249" s="1"/>
      <c r="O249" s="1"/>
      <c r="P249" s="1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48"/>
      <c r="N250" s="1"/>
      <c r="O250" s="1"/>
      <c r="P250" s="1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50"/>
      <c r="N251" s="1"/>
      <c r="O251" s="1"/>
      <c r="P251" s="1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48"/>
      <c r="N252" s="1"/>
      <c r="O252" s="1"/>
      <c r="P252" s="1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50"/>
      <c r="N253" s="1"/>
      <c r="O253" s="1"/>
      <c r="P253" s="1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48"/>
      <c r="N254" s="1"/>
      <c r="O254" s="1"/>
      <c r="P254" s="1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50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63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15"/>
      <c r="N257" s="1"/>
      <c r="O257" s="1"/>
      <c r="P257" s="1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18"/>
      <c r="N258" s="1"/>
      <c r="O258" s="1"/>
      <c r="P258" s="1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1173</v>
      </c>
      <c r="I259" s="115"/>
      <c r="J259" s="115"/>
      <c r="K259" s="115"/>
      <c r="L259" s="115"/>
      <c r="M259" s="115"/>
      <c r="N259" s="1"/>
      <c r="O259" s="1"/>
      <c r="P259" s="1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0.9241261722</v>
      </c>
      <c r="I260" s="168"/>
      <c r="J260" s="168"/>
      <c r="K260" s="168"/>
      <c r="L260" s="168"/>
      <c r="M260" s="168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1084</v>
      </c>
      <c r="I261" s="169"/>
      <c r="J261" s="169"/>
      <c r="K261" s="169"/>
      <c r="L261" s="169"/>
      <c r="M261" s="169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15"/>
      <c r="N262" s="1"/>
      <c r="O262" s="1"/>
      <c r="P262" s="1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48876500</v>
      </c>
      <c r="I263" s="170"/>
      <c r="J263" s="170"/>
      <c r="K263" s="170"/>
      <c r="L263" s="170"/>
      <c r="M263" s="170"/>
      <c r="N263" s="1"/>
      <c r="O263" s="1"/>
      <c r="P263" s="1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68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45455145</v>
      </c>
      <c r="I265" s="150"/>
      <c r="J265" s="150"/>
      <c r="K265" s="150"/>
      <c r="L265" s="150"/>
      <c r="M265" s="150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15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38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37</v>
      </c>
      <c r="I268" s="13"/>
      <c r="J268" s="13"/>
      <c r="K268" s="13"/>
      <c r="L268" s="13"/>
      <c r="M268" s="13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0.8648648649</v>
      </c>
      <c r="I269" s="168"/>
      <c r="J269" s="168"/>
      <c r="K269" s="168"/>
      <c r="L269" s="168"/>
      <c r="M269" s="168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32</v>
      </c>
      <c r="I270" s="166"/>
      <c r="J270" s="166"/>
      <c r="K270" s="166"/>
      <c r="L270" s="166"/>
      <c r="M270" s="166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68"/>
      <c r="N271" s="1"/>
      <c r="O271" s="1"/>
      <c r="P271" s="1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3136890</v>
      </c>
      <c r="I272" s="150"/>
      <c r="J272" s="150"/>
      <c r="K272" s="150"/>
      <c r="L272" s="150"/>
      <c r="M272" s="150"/>
      <c r="N272" s="1"/>
      <c r="O272" s="1"/>
      <c r="P272" s="1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55"/>
      <c r="N273" s="1"/>
      <c r="O273" s="1"/>
      <c r="P273" s="1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55"/>
      <c r="N274" s="1"/>
      <c r="O274" s="1"/>
      <c r="P274" s="1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55"/>
      <c r="N275" s="1"/>
      <c r="O275" s="1"/>
      <c r="P275" s="1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55"/>
      <c r="N276" s="1"/>
      <c r="O276" s="1"/>
      <c r="P276" s="1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55"/>
      <c r="N277" s="1"/>
      <c r="O277" s="1"/>
      <c r="P277" s="1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55"/>
      <c r="N278" s="1"/>
      <c r="O278" s="1"/>
      <c r="P278" s="1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55"/>
      <c r="N279" s="1"/>
      <c r="O279" s="1"/>
      <c r="P279" s="1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55"/>
      <c r="N280" s="1"/>
      <c r="O280" s="1"/>
      <c r="P280" s="1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52"/>
      <c r="N281" s="160"/>
      <c r="O281" s="160"/>
      <c r="P281" s="160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52"/>
      <c r="N282" s="160"/>
      <c r="O282" s="160"/>
      <c r="P282" s="160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20</v>
      </c>
      <c r="I283" s="166"/>
      <c r="J283" s="166"/>
      <c r="K283" s="166"/>
      <c r="L283" s="166"/>
      <c r="M283" s="166"/>
      <c r="N283" s="1"/>
      <c r="O283" s="1"/>
      <c r="P283" s="1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2046000</v>
      </c>
      <c r="I284" s="150"/>
      <c r="J284" s="150"/>
      <c r="K284" s="150"/>
      <c r="L284" s="150"/>
      <c r="M284" s="150"/>
      <c r="N284" s="1"/>
      <c r="O284" s="1"/>
      <c r="P284" s="1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5</v>
      </c>
      <c r="I285" s="166"/>
      <c r="J285" s="166"/>
      <c r="K285" s="166"/>
      <c r="L285" s="166"/>
      <c r="M285" s="166"/>
      <c r="N285" s="1"/>
      <c r="O285" s="1"/>
      <c r="P285" s="1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146940</v>
      </c>
      <c r="I286" s="150"/>
      <c r="J286" s="150"/>
      <c r="K286" s="150"/>
      <c r="L286" s="150"/>
      <c r="M286" s="150"/>
      <c r="N286" s="1"/>
      <c r="O286" s="1"/>
      <c r="P286" s="1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66"/>
      <c r="N287" s="1"/>
      <c r="O287" s="1"/>
      <c r="P287" s="1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50"/>
      <c r="N288" s="1"/>
      <c r="O288" s="1"/>
      <c r="P288" s="1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7</v>
      </c>
      <c r="I289" s="166"/>
      <c r="J289" s="166"/>
      <c r="K289" s="166"/>
      <c r="L289" s="166"/>
      <c r="M289" s="166"/>
      <c r="N289" s="1"/>
      <c r="O289" s="1"/>
      <c r="P289" s="1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943950</v>
      </c>
      <c r="I290" s="150"/>
      <c r="J290" s="150"/>
      <c r="K290" s="150"/>
      <c r="L290" s="150"/>
      <c r="M290" s="150"/>
      <c r="N290" s="1"/>
      <c r="O290" s="1"/>
      <c r="P290" s="1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66"/>
      <c r="N291" s="1"/>
      <c r="O291" s="1"/>
      <c r="P291" s="1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50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38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51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0.8431372549</v>
      </c>
      <c r="I296" s="168"/>
      <c r="J296" s="168"/>
      <c r="K296" s="168"/>
      <c r="L296" s="168"/>
      <c r="M296" s="168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43</v>
      </c>
      <c r="I297" s="148"/>
      <c r="J297" s="148"/>
      <c r="K297" s="148"/>
      <c r="L297" s="148"/>
      <c r="M297" s="148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68"/>
      <c r="N298" s="1"/>
      <c r="O298" s="1"/>
      <c r="P298" s="1"/>
      <c r="Q298" s="1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3253140</v>
      </c>
      <c r="I299" s="173"/>
      <c r="J299" s="173"/>
      <c r="K299" s="173"/>
      <c r="L299" s="173"/>
      <c r="M299" s="173"/>
      <c r="N299" s="1"/>
      <c r="O299" s="1"/>
      <c r="P299" s="1"/>
      <c r="Q299" s="1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55"/>
      <c r="N300" s="1"/>
      <c r="O300" s="1"/>
      <c r="P300" s="1"/>
      <c r="Q300" s="1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55"/>
      <c r="N301" s="1"/>
      <c r="O301" s="1"/>
      <c r="P301" s="1"/>
      <c r="Q301" s="1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55"/>
      <c r="N302" s="1"/>
      <c r="O302" s="1"/>
      <c r="P302" s="1"/>
      <c r="Q302" s="1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55"/>
      <c r="N303" s="1"/>
      <c r="O303" s="1"/>
      <c r="P303" s="1"/>
      <c r="Q303" s="1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55"/>
      <c r="N304" s="1"/>
      <c r="O304" s="1"/>
      <c r="P304" s="1"/>
      <c r="Q304" s="1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55"/>
      <c r="N305" s="1"/>
      <c r="O305" s="1"/>
      <c r="P305" s="1"/>
      <c r="Q305" s="1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55"/>
      <c r="N306" s="1"/>
      <c r="O306" s="1"/>
      <c r="P306" s="1"/>
      <c r="Q306" s="1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55"/>
      <c r="N307" s="1"/>
      <c r="O307" s="1"/>
      <c r="P307" s="1"/>
      <c r="Q307" s="1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55"/>
      <c r="N308" s="1"/>
      <c r="O308" s="1"/>
      <c r="P308" s="1"/>
      <c r="Q308" s="1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55"/>
      <c r="N309" s="1"/>
      <c r="O309" s="1"/>
      <c r="P309" s="1"/>
      <c r="Q309" s="1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28</v>
      </c>
      <c r="I310" s="148"/>
      <c r="J310" s="148"/>
      <c r="K310" s="148"/>
      <c r="L310" s="148"/>
      <c r="M310" s="148"/>
      <c r="N310" s="1"/>
      <c r="O310" s="1"/>
      <c r="P310" s="1"/>
      <c r="Q310" s="1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2232000</v>
      </c>
      <c r="I311" s="150"/>
      <c r="J311" s="150"/>
      <c r="K311" s="150"/>
      <c r="L311" s="150"/>
      <c r="M311" s="150"/>
      <c r="N311" s="1"/>
      <c r="O311" s="1"/>
      <c r="P311" s="1"/>
      <c r="Q311" s="1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6</v>
      </c>
      <c r="I312" s="148"/>
      <c r="J312" s="148"/>
      <c r="K312" s="148"/>
      <c r="L312" s="148"/>
      <c r="M312" s="148"/>
      <c r="N312" s="1"/>
      <c r="O312" s="1"/>
      <c r="P312" s="1"/>
      <c r="Q312" s="1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100440</v>
      </c>
      <c r="I313" s="150"/>
      <c r="J313" s="150"/>
      <c r="K313" s="150"/>
      <c r="L313" s="150"/>
      <c r="M313" s="150"/>
      <c r="N313" s="1"/>
      <c r="O313" s="1"/>
      <c r="P313" s="1"/>
      <c r="Q313" s="1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48"/>
      <c r="N314" s="1"/>
      <c r="O314" s="1"/>
      <c r="P314" s="1"/>
      <c r="Q314" s="1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50"/>
      <c r="N315" s="1"/>
      <c r="O315" s="1"/>
      <c r="P315" s="1"/>
      <c r="Q315" s="1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9</v>
      </c>
      <c r="I316" s="148"/>
      <c r="J316" s="148"/>
      <c r="K316" s="148"/>
      <c r="L316" s="148"/>
      <c r="M316" s="148"/>
      <c r="N316" s="1"/>
      <c r="O316" s="1"/>
      <c r="P316" s="1"/>
      <c r="Q316" s="1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920700</v>
      </c>
      <c r="I317" s="150"/>
      <c r="J317" s="150"/>
      <c r="K317" s="150"/>
      <c r="L317" s="150"/>
      <c r="M317" s="150"/>
      <c r="N317" s="1"/>
      <c r="O317" s="1"/>
      <c r="P317" s="1"/>
      <c r="Q317" s="1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5</v>
      </c>
      <c r="I318" s="166"/>
      <c r="J318" s="166"/>
      <c r="K318" s="166"/>
      <c r="L318" s="166"/>
      <c r="M318" s="166"/>
      <c r="N318" s="1"/>
      <c r="O318" s="1"/>
      <c r="P318" s="1"/>
      <c r="Q318" s="1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50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38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243</v>
      </c>
      <c r="I322" s="163"/>
      <c r="J322" s="163"/>
      <c r="K322" s="163"/>
      <c r="L322" s="163"/>
      <c r="M322" s="163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0.9300411523</v>
      </c>
      <c r="I323" s="168"/>
      <c r="J323" s="168"/>
      <c r="K323" s="168"/>
      <c r="L323" s="168"/>
      <c r="M323" s="168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226</v>
      </c>
      <c r="I324" s="148"/>
      <c r="J324" s="148"/>
      <c r="K324" s="148"/>
      <c r="L324" s="148"/>
      <c r="M324" s="148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68"/>
      <c r="N325" s="1"/>
      <c r="O325" s="1"/>
      <c r="P325" s="1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14431740</v>
      </c>
      <c r="I326" s="150"/>
      <c r="J326" s="150"/>
      <c r="K326" s="150"/>
      <c r="L326" s="150"/>
      <c r="M326" s="150"/>
      <c r="N326" s="1"/>
      <c r="O326" s="1"/>
      <c r="P326" s="1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55"/>
      <c r="N327" s="1"/>
      <c r="O327" s="1"/>
      <c r="P327" s="1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55"/>
      <c r="N328" s="1"/>
      <c r="O328" s="1"/>
      <c r="P328" s="1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55"/>
      <c r="N329" s="1"/>
      <c r="O329" s="1"/>
      <c r="P329" s="1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55"/>
      <c r="N330" s="1"/>
      <c r="O330" s="1"/>
      <c r="P330" s="1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55"/>
      <c r="N331" s="1"/>
      <c r="O331" s="1"/>
      <c r="P331" s="1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55"/>
      <c r="N332" s="1"/>
      <c r="O332" s="1"/>
      <c r="P332" s="1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55"/>
      <c r="N333" s="1"/>
      <c r="O333" s="1"/>
      <c r="P333" s="1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55"/>
      <c r="N334" s="1"/>
      <c r="O334" s="1"/>
      <c r="P334" s="1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55"/>
      <c r="N335" s="1"/>
      <c r="O335" s="1"/>
      <c r="P335" s="1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55"/>
      <c r="N336" s="1"/>
      <c r="O336" s="1"/>
      <c r="P336" s="1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135</v>
      </c>
      <c r="I337" s="148"/>
      <c r="J337" s="148"/>
      <c r="K337" s="148"/>
      <c r="L337" s="148"/>
      <c r="M337" s="148"/>
      <c r="N337" s="1"/>
      <c r="O337" s="1"/>
      <c r="P337" s="1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10788000</v>
      </c>
      <c r="I338" s="150"/>
      <c r="J338" s="150"/>
      <c r="K338" s="150"/>
      <c r="L338" s="150"/>
      <c r="M338" s="150"/>
      <c r="N338" s="1"/>
      <c r="O338" s="1"/>
      <c r="P338" s="1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24</v>
      </c>
      <c r="I339" s="148"/>
      <c r="J339" s="148"/>
      <c r="K339" s="148"/>
      <c r="L339" s="148"/>
      <c r="M339" s="148"/>
      <c r="N339" s="1"/>
      <c r="O339" s="1"/>
      <c r="P339" s="1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362700</v>
      </c>
      <c r="I340" s="150"/>
      <c r="J340" s="150"/>
      <c r="K340" s="150"/>
      <c r="L340" s="150"/>
      <c r="M340" s="150"/>
      <c r="N340" s="1"/>
      <c r="O340" s="1"/>
      <c r="P340" s="1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48"/>
      <c r="N341" s="1"/>
      <c r="O341" s="1"/>
      <c r="P341" s="1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50"/>
      <c r="N342" s="1"/>
      <c r="O342" s="1"/>
      <c r="P342" s="1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67</v>
      </c>
      <c r="I343" s="148"/>
      <c r="J343" s="148"/>
      <c r="K343" s="148"/>
      <c r="L343" s="148"/>
      <c r="M343" s="148"/>
      <c r="N343" s="1"/>
      <c r="O343" s="1"/>
      <c r="P343" s="1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3281040</v>
      </c>
      <c r="I344" s="150"/>
      <c r="J344" s="150"/>
      <c r="K344" s="150"/>
      <c r="L344" s="150"/>
      <c r="M344" s="150"/>
      <c r="N344" s="1"/>
      <c r="O344" s="1"/>
      <c r="P344" s="1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66"/>
      <c r="N345" s="1"/>
      <c r="O345" s="1"/>
      <c r="P345" s="1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50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38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572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0.9300699301</v>
      </c>
      <c r="I350" s="168"/>
      <c r="J350" s="168"/>
      <c r="K350" s="168"/>
      <c r="L350" s="168"/>
      <c r="M350" s="168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532</v>
      </c>
      <c r="I351" s="148"/>
      <c r="J351" s="148"/>
      <c r="K351" s="148"/>
      <c r="L351" s="148"/>
      <c r="M351" s="148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68"/>
      <c r="N352" s="1"/>
      <c r="O352" s="1"/>
      <c r="P352" s="1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18230325</v>
      </c>
      <c r="I353" s="150"/>
      <c r="J353" s="150"/>
      <c r="K353" s="150"/>
      <c r="L353" s="150"/>
      <c r="M353" s="150"/>
      <c r="N353" s="1"/>
      <c r="O353" s="1"/>
      <c r="P353" s="1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55"/>
      <c r="N354" s="1"/>
      <c r="O354" s="1"/>
      <c r="P354" s="1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55"/>
      <c r="N355" s="1"/>
      <c r="O355" s="1"/>
      <c r="P355" s="1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55"/>
      <c r="N356" s="1"/>
      <c r="O356" s="1"/>
      <c r="P356" s="1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55"/>
      <c r="N357" s="1"/>
      <c r="O357" s="1"/>
      <c r="P357" s="1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53"/>
      <c r="N358" s="1"/>
      <c r="O358" s="1"/>
      <c r="P358" s="1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53"/>
      <c r="N359" s="1"/>
      <c r="O359" s="1"/>
      <c r="P359" s="1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53"/>
      <c r="N360" s="1"/>
      <c r="O360" s="1"/>
      <c r="P360" s="1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53"/>
      <c r="N361" s="1"/>
      <c r="O361" s="1"/>
      <c r="P361" s="1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55"/>
      <c r="N362" s="1"/>
      <c r="O362" s="1"/>
      <c r="P362" s="1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55"/>
      <c r="N363" s="1"/>
      <c r="O363" s="1"/>
      <c r="P363" s="1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425</v>
      </c>
      <c r="I364" s="148"/>
      <c r="J364" s="148"/>
      <c r="K364" s="148"/>
      <c r="L364" s="148"/>
      <c r="M364" s="148"/>
      <c r="N364" s="1"/>
      <c r="O364" s="1"/>
      <c r="P364" s="1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17000400</v>
      </c>
      <c r="I365" s="150"/>
      <c r="J365" s="150"/>
      <c r="K365" s="150"/>
      <c r="L365" s="150"/>
      <c r="M365" s="150"/>
      <c r="N365" s="1"/>
      <c r="O365" s="1"/>
      <c r="P365" s="1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107</v>
      </c>
      <c r="I366" s="148"/>
      <c r="J366" s="148"/>
      <c r="K366" s="148"/>
      <c r="L366" s="148"/>
      <c r="M366" s="148"/>
      <c r="N366" s="1"/>
      <c r="O366" s="1"/>
      <c r="P366" s="1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1229925</v>
      </c>
      <c r="I367" s="150"/>
      <c r="J367" s="150"/>
      <c r="K367" s="150"/>
      <c r="L367" s="150"/>
      <c r="M367" s="150"/>
      <c r="N367" s="1"/>
      <c r="O367" s="1"/>
      <c r="P367" s="1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48"/>
      <c r="N368" s="1"/>
      <c r="O368" s="1"/>
      <c r="P368" s="1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50"/>
      <c r="N369" s="1"/>
      <c r="O369" s="1"/>
      <c r="P369" s="1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48"/>
      <c r="N370" s="1"/>
      <c r="O370" s="1"/>
      <c r="P370" s="1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50"/>
      <c r="N371" s="1"/>
      <c r="O371" s="1"/>
      <c r="P371" s="1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66"/>
      <c r="N372" s="1"/>
      <c r="O372" s="1"/>
      <c r="P372" s="1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50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38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270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0.9296296296</v>
      </c>
      <c r="I377" s="168"/>
      <c r="J377" s="168"/>
      <c r="K377" s="168"/>
      <c r="L377" s="168"/>
      <c r="M377" s="168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251</v>
      </c>
      <c r="I378" s="148"/>
      <c r="J378" s="148"/>
      <c r="K378" s="148"/>
      <c r="L378" s="148"/>
      <c r="M378" s="148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34"/>
      <c r="N379" s="1"/>
      <c r="O379" s="1"/>
      <c r="P379" s="1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6403050</v>
      </c>
      <c r="I380" s="150"/>
      <c r="J380" s="150"/>
      <c r="K380" s="150"/>
      <c r="L380" s="150"/>
      <c r="M380" s="150"/>
      <c r="N380" s="1"/>
      <c r="O380" s="1"/>
      <c r="P380" s="1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55"/>
      <c r="N381" s="1"/>
      <c r="O381" s="1"/>
      <c r="P381" s="1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55"/>
      <c r="N382" s="1"/>
      <c r="O382" s="1"/>
      <c r="P382" s="1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55"/>
      <c r="N383" s="1"/>
      <c r="O383" s="1"/>
      <c r="P383" s="1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55"/>
      <c r="N384" s="1"/>
      <c r="O384" s="1"/>
      <c r="P384" s="1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53"/>
      <c r="N385" s="1"/>
      <c r="O385" s="1"/>
      <c r="P385" s="1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53"/>
      <c r="N386" s="1"/>
      <c r="O386" s="1"/>
      <c r="P386" s="1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53"/>
      <c r="N387" s="1"/>
      <c r="O387" s="1"/>
      <c r="P387" s="1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53"/>
      <c r="N388" s="1"/>
      <c r="O388" s="1"/>
      <c r="P388" s="1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55"/>
      <c r="N389" s="1"/>
      <c r="O389" s="1"/>
      <c r="P389" s="1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55"/>
      <c r="N390" s="1"/>
      <c r="O390" s="1"/>
      <c r="P390" s="1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201</v>
      </c>
      <c r="I391" s="148"/>
      <c r="J391" s="148"/>
      <c r="K391" s="148"/>
      <c r="L391" s="148"/>
      <c r="M391" s="148"/>
      <c r="N391" s="1"/>
      <c r="O391" s="1"/>
      <c r="P391" s="1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6026400</v>
      </c>
      <c r="I392" s="150"/>
      <c r="J392" s="150"/>
      <c r="K392" s="150"/>
      <c r="L392" s="150"/>
      <c r="M392" s="150"/>
      <c r="N392" s="1"/>
      <c r="O392" s="1"/>
      <c r="P392" s="1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50</v>
      </c>
      <c r="I393" s="148"/>
      <c r="J393" s="148"/>
      <c r="K393" s="148"/>
      <c r="L393" s="148"/>
      <c r="M393" s="148"/>
      <c r="N393" s="1"/>
      <c r="O393" s="1"/>
      <c r="P393" s="1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376650</v>
      </c>
      <c r="I394" s="150"/>
      <c r="J394" s="150"/>
      <c r="K394" s="150"/>
      <c r="L394" s="150"/>
      <c r="M394" s="150"/>
      <c r="N394" s="1"/>
      <c r="O394" s="1"/>
      <c r="P394" s="1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48"/>
      <c r="N395" s="1"/>
      <c r="O395" s="1"/>
      <c r="P395" s="1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50"/>
      <c r="N396" s="1"/>
      <c r="O396" s="1"/>
      <c r="P396" s="1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48"/>
      <c r="N397" s="1"/>
      <c r="O397" s="1"/>
      <c r="P397" s="1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50"/>
      <c r="N398" s="1"/>
      <c r="O398" s="1"/>
      <c r="P398" s="1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48"/>
      <c r="N399" s="1"/>
      <c r="O399" s="1"/>
      <c r="P399" s="1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50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18"/>
      <c r="N403" s="1"/>
      <c r="O403" s="1"/>
      <c r="P403" s="1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1084</v>
      </c>
      <c r="I404" s="123"/>
      <c r="J404" s="123"/>
      <c r="K404" s="123"/>
      <c r="L404" s="123"/>
      <c r="M404" s="123"/>
      <c r="N404" s="1"/>
      <c r="O404" s="1"/>
      <c r="P404" s="1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68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1084</v>
      </c>
      <c r="I406" s="148"/>
      <c r="J406" s="148"/>
      <c r="K406" s="148"/>
      <c r="L406" s="148"/>
      <c r="M406" s="148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45455145</v>
      </c>
      <c r="I408" s="150"/>
      <c r="J408" s="150"/>
      <c r="K408" s="150"/>
      <c r="L408" s="150"/>
      <c r="M408" s="150"/>
      <c r="N408" s="1"/>
      <c r="O408" s="1"/>
      <c r="P408" s="1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68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45455145</v>
      </c>
      <c r="I410" s="150"/>
      <c r="J410" s="150"/>
      <c r="K410" s="150"/>
      <c r="L410" s="150"/>
      <c r="M410" s="150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15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38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68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32</v>
      </c>
      <c r="I414" s="148"/>
      <c r="J414" s="148"/>
      <c r="K414" s="148"/>
      <c r="L414" s="148"/>
      <c r="M414" s="148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68"/>
      <c r="N415" s="1"/>
      <c r="O415" s="1"/>
      <c r="P415" s="1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3136890</v>
      </c>
      <c r="I416" s="150"/>
      <c r="J416" s="150"/>
      <c r="K416" s="150"/>
      <c r="L416" s="150"/>
      <c r="M416" s="150"/>
      <c r="N416" s="1"/>
      <c r="O416" s="1"/>
      <c r="P416" s="1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53"/>
      <c r="N417" s="1"/>
      <c r="O417" s="1"/>
      <c r="P417" s="1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53"/>
      <c r="N418" s="1"/>
      <c r="O418" s="1"/>
      <c r="P418" s="1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53"/>
      <c r="N419" s="1"/>
      <c r="O419" s="1"/>
      <c r="P419" s="1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53"/>
      <c r="N420" s="1"/>
      <c r="O420" s="1"/>
      <c r="P420" s="1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53"/>
      <c r="N421" s="1"/>
      <c r="O421" s="1"/>
      <c r="P421" s="1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53"/>
      <c r="N422" s="1"/>
      <c r="O422" s="1"/>
      <c r="P422" s="1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53"/>
      <c r="N423" s="1"/>
      <c r="O423" s="1"/>
      <c r="P423" s="1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53"/>
      <c r="N424" s="1"/>
      <c r="O424" s="1"/>
      <c r="P424" s="1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53"/>
      <c r="N425" s="1"/>
      <c r="O425" s="1"/>
      <c r="P425" s="1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53"/>
      <c r="N426" s="1"/>
      <c r="O426" s="1"/>
      <c r="P426" s="1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20</v>
      </c>
      <c r="I427" s="148"/>
      <c r="J427" s="148"/>
      <c r="K427" s="148"/>
      <c r="L427" s="148"/>
      <c r="M427" s="148"/>
      <c r="N427" s="1"/>
      <c r="O427" s="1"/>
      <c r="P427" s="1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2046000</v>
      </c>
      <c r="I428" s="173"/>
      <c r="J428" s="173"/>
      <c r="K428" s="173"/>
      <c r="L428" s="173"/>
      <c r="M428" s="173"/>
      <c r="N428" s="1"/>
      <c r="O428" s="1"/>
      <c r="P428" s="1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5</v>
      </c>
      <c r="I429" s="148"/>
      <c r="J429" s="148"/>
      <c r="K429" s="148"/>
      <c r="L429" s="148"/>
      <c r="M429" s="148"/>
      <c r="N429" s="1"/>
      <c r="O429" s="1"/>
      <c r="P429" s="1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146940</v>
      </c>
      <c r="I430" s="148"/>
      <c r="J430" s="148"/>
      <c r="K430" s="148"/>
      <c r="L430" s="148"/>
      <c r="M430" s="148"/>
      <c r="N430" s="1"/>
      <c r="O430" s="1"/>
      <c r="P430" s="1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74"/>
      <c r="N431" s="1"/>
      <c r="O431" s="1"/>
      <c r="P431" s="1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74"/>
      <c r="N432" s="1"/>
      <c r="O432" s="1"/>
      <c r="P432" s="1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7</v>
      </c>
      <c r="I433" s="174"/>
      <c r="J433" s="174"/>
      <c r="K433" s="174"/>
      <c r="L433" s="174"/>
      <c r="M433" s="174"/>
      <c r="N433" s="1"/>
      <c r="O433" s="1"/>
      <c r="P433" s="1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943950</v>
      </c>
      <c r="I434" s="174"/>
      <c r="J434" s="174"/>
      <c r="K434" s="174"/>
      <c r="L434" s="174"/>
      <c r="M434" s="174"/>
      <c r="N434" s="1"/>
      <c r="O434" s="1"/>
      <c r="P434" s="1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74"/>
      <c r="N435" s="1"/>
      <c r="O435" s="1"/>
      <c r="P435" s="1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74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38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68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43</v>
      </c>
      <c r="I440" s="148"/>
      <c r="J440" s="148"/>
      <c r="K440" s="148"/>
      <c r="L440" s="148"/>
      <c r="M440" s="148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68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3253140</v>
      </c>
      <c r="I442" s="150"/>
      <c r="J442" s="150"/>
      <c r="K442" s="150"/>
      <c r="L442" s="150"/>
      <c r="M442" s="150"/>
      <c r="N442" s="1"/>
      <c r="O442" s="1"/>
      <c r="P442" s="1"/>
      <c r="Q442" s="1"/>
      <c r="R442" s="1"/>
      <c r="S442" s="1"/>
    </row>
    <row r="443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55"/>
      <c r="N443" s="1"/>
      <c r="O443" s="1"/>
      <c r="P443" s="1"/>
      <c r="Q443" s="1"/>
      <c r="R443" s="1"/>
      <c r="S443" s="1"/>
    </row>
    <row r="444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55"/>
      <c r="N444" s="1"/>
      <c r="O444" s="1"/>
      <c r="P444" s="1"/>
      <c r="Q444" s="1"/>
      <c r="R444" s="1"/>
      <c r="S444" s="1"/>
    </row>
    <row r="445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55"/>
      <c r="N445" s="1"/>
      <c r="O445" s="1"/>
      <c r="P445" s="1"/>
      <c r="Q445" s="1"/>
      <c r="R445" s="1"/>
      <c r="S445" s="1"/>
    </row>
    <row r="446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55"/>
      <c r="N446" s="1"/>
      <c r="O446" s="1"/>
      <c r="P446" s="1"/>
      <c r="Q446" s="1"/>
      <c r="R446" s="1"/>
      <c r="S446" s="1"/>
    </row>
    <row r="447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55"/>
      <c r="N447" s="1"/>
      <c r="O447" s="1"/>
      <c r="P447" s="1"/>
      <c r="Q447" s="1"/>
      <c r="R447" s="1"/>
      <c r="S447" s="1"/>
    </row>
    <row r="448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55"/>
      <c r="N448" s="1"/>
      <c r="O448" s="1"/>
      <c r="P448" s="1"/>
      <c r="Q448" s="1"/>
      <c r="R448" s="1"/>
      <c r="S448" s="1"/>
    </row>
    <row r="449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53"/>
      <c r="N449" s="1"/>
      <c r="O449" s="1"/>
      <c r="P449" s="1"/>
      <c r="Q449" s="1"/>
      <c r="R449" s="1"/>
      <c r="S449" s="1"/>
    </row>
    <row r="450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53"/>
      <c r="N450" s="1"/>
      <c r="O450" s="1"/>
      <c r="P450" s="1"/>
      <c r="Q450" s="1"/>
      <c r="R450" s="1"/>
      <c r="S450" s="1"/>
    </row>
    <row r="45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53"/>
      <c r="N451" s="1"/>
      <c r="O451" s="1"/>
      <c r="P451" s="1"/>
      <c r="Q451" s="1"/>
      <c r="R451" s="1"/>
      <c r="S451" s="1"/>
    </row>
    <row r="452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53"/>
      <c r="N452" s="1"/>
      <c r="O452" s="1"/>
      <c r="P452" s="1"/>
      <c r="Q452" s="1"/>
      <c r="R452" s="1"/>
      <c r="S452" s="1"/>
    </row>
    <row r="453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28</v>
      </c>
      <c r="I453" s="148"/>
      <c r="J453" s="148"/>
      <c r="K453" s="148"/>
      <c r="L453" s="148"/>
      <c r="M453" s="148"/>
      <c r="N453" s="1"/>
      <c r="O453" s="1"/>
      <c r="P453" s="1"/>
      <c r="Q453" s="1"/>
      <c r="R453" s="1"/>
      <c r="S453" s="1"/>
    </row>
    <row r="454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2232000</v>
      </c>
      <c r="I454" s="148"/>
      <c r="J454" s="148"/>
      <c r="K454" s="148"/>
      <c r="L454" s="148"/>
      <c r="M454" s="148"/>
      <c r="N454" s="1"/>
      <c r="O454" s="1"/>
      <c r="P454" s="1"/>
      <c r="Q454" s="1"/>
      <c r="R454" s="1"/>
      <c r="S454" s="1"/>
    </row>
    <row r="455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6</v>
      </c>
      <c r="I455" s="148"/>
      <c r="J455" s="148"/>
      <c r="K455" s="148"/>
      <c r="L455" s="148"/>
      <c r="M455" s="148"/>
      <c r="N455" s="1"/>
      <c r="O455" s="1"/>
      <c r="P455" s="1"/>
      <c r="Q455" s="1"/>
      <c r="R455" s="1"/>
      <c r="S455" s="1"/>
    </row>
    <row r="456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100440</v>
      </c>
      <c r="I456" s="148"/>
      <c r="J456" s="148"/>
      <c r="K456" s="148"/>
      <c r="L456" s="148"/>
      <c r="M456" s="148"/>
      <c r="N456" s="1"/>
      <c r="O456" s="1"/>
      <c r="P456" s="1"/>
      <c r="Q456" s="1"/>
      <c r="R456" s="1"/>
      <c r="S456" s="1"/>
    </row>
    <row r="457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48"/>
      <c r="N457" s="1"/>
      <c r="O457" s="1"/>
      <c r="P457" s="1"/>
      <c r="Q457" s="1"/>
      <c r="R457" s="1"/>
      <c r="S457" s="1"/>
    </row>
    <row r="458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48"/>
      <c r="N458" s="1"/>
      <c r="O458" s="1"/>
      <c r="P458" s="1"/>
      <c r="Q458" s="1"/>
      <c r="R458" s="1"/>
      <c r="S458" s="1"/>
    </row>
    <row r="459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9</v>
      </c>
      <c r="I459" s="148"/>
      <c r="J459" s="148"/>
      <c r="K459" s="148"/>
      <c r="L459" s="148"/>
      <c r="M459" s="148"/>
      <c r="N459" s="1"/>
      <c r="O459" s="1"/>
      <c r="P459" s="1"/>
      <c r="Q459" s="1"/>
      <c r="R459" s="1"/>
      <c r="S459" s="1"/>
    </row>
    <row r="460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920700</v>
      </c>
      <c r="I460" s="148"/>
      <c r="J460" s="148"/>
      <c r="K460" s="148"/>
      <c r="L460" s="148"/>
      <c r="M460" s="148"/>
      <c r="N460" s="1"/>
      <c r="O460" s="1"/>
      <c r="P460" s="1"/>
      <c r="Q460" s="1"/>
      <c r="R460" s="1"/>
      <c r="S460" s="1"/>
    </row>
    <row r="46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5</v>
      </c>
      <c r="I461" s="148"/>
      <c r="J461" s="148"/>
      <c r="K461" s="148"/>
      <c r="L461" s="148"/>
      <c r="M461" s="148"/>
      <c r="N461" s="1"/>
      <c r="O461" s="1"/>
      <c r="P461" s="1"/>
      <c r="Q461" s="1"/>
      <c r="R461" s="1"/>
      <c r="S461" s="1"/>
    </row>
    <row r="462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48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38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68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226</v>
      </c>
      <c r="I466" s="148"/>
      <c r="J466" s="148"/>
      <c r="K466" s="148"/>
      <c r="L466" s="148"/>
      <c r="M466" s="148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68"/>
      <c r="N467" s="1"/>
      <c r="O467" s="1"/>
      <c r="P467" s="1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14431740</v>
      </c>
      <c r="I468" s="150"/>
      <c r="J468" s="150"/>
      <c r="K468" s="150"/>
      <c r="L468" s="150"/>
      <c r="M468" s="150"/>
      <c r="N468" s="1"/>
      <c r="O468" s="1"/>
      <c r="P468" s="1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55"/>
      <c r="N469" s="1"/>
      <c r="O469" s="1"/>
      <c r="P469" s="1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55"/>
      <c r="N470" s="1"/>
      <c r="O470" s="1"/>
      <c r="P470" s="1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55"/>
      <c r="N471" s="1"/>
      <c r="O471" s="1"/>
      <c r="P471" s="1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55"/>
      <c r="N472" s="1"/>
      <c r="O472" s="1"/>
      <c r="P472" s="1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55"/>
      <c r="N473" s="1"/>
      <c r="O473" s="1"/>
      <c r="P473" s="1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55"/>
      <c r="N474" s="1"/>
      <c r="O474" s="1"/>
      <c r="P474" s="1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55"/>
      <c r="N475" s="1"/>
      <c r="O475" s="1"/>
      <c r="P475" s="1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55"/>
      <c r="N476" s="1"/>
      <c r="O476" s="1"/>
      <c r="P476" s="1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55"/>
      <c r="N477" s="1"/>
      <c r="O477" s="1"/>
      <c r="P477" s="1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55"/>
      <c r="N478" s="1"/>
      <c r="O478" s="1"/>
      <c r="P478" s="1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135</v>
      </c>
      <c r="I479" s="148"/>
      <c r="J479" s="148"/>
      <c r="K479" s="148"/>
      <c r="L479" s="148"/>
      <c r="M479" s="148"/>
      <c r="N479" s="1"/>
      <c r="O479" s="1"/>
      <c r="P479" s="1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10788000</v>
      </c>
      <c r="I480" s="148"/>
      <c r="J480" s="148"/>
      <c r="K480" s="148"/>
      <c r="L480" s="148"/>
      <c r="M480" s="148"/>
      <c r="N480" s="1"/>
      <c r="O480" s="1"/>
      <c r="P480" s="1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24</v>
      </c>
      <c r="I481" s="148"/>
      <c r="J481" s="148"/>
      <c r="K481" s="148"/>
      <c r="L481" s="148"/>
      <c r="M481" s="148"/>
      <c r="N481" s="1"/>
      <c r="O481" s="1"/>
      <c r="P481" s="1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362700</v>
      </c>
      <c r="I482" s="148"/>
      <c r="J482" s="148"/>
      <c r="K482" s="148"/>
      <c r="L482" s="148"/>
      <c r="M482" s="148"/>
      <c r="N482" s="1"/>
      <c r="O482" s="1"/>
      <c r="P482" s="1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48"/>
      <c r="N483" s="1"/>
      <c r="O483" s="1"/>
      <c r="P483" s="1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48"/>
      <c r="N484" s="1"/>
      <c r="O484" s="1"/>
      <c r="P484" s="1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67</v>
      </c>
      <c r="I485" s="148"/>
      <c r="J485" s="148"/>
      <c r="K485" s="148"/>
      <c r="L485" s="148"/>
      <c r="M485" s="148"/>
      <c r="N485" s="1"/>
      <c r="O485" s="1"/>
      <c r="P485" s="1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3281040</v>
      </c>
      <c r="I486" s="148"/>
      <c r="J486" s="148"/>
      <c r="K486" s="148"/>
      <c r="L486" s="148"/>
      <c r="M486" s="148"/>
      <c r="N486" s="1"/>
      <c r="O486" s="1"/>
      <c r="P486" s="1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48"/>
      <c r="N487" s="1"/>
      <c r="O487" s="1"/>
      <c r="P487" s="1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48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38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68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532</v>
      </c>
      <c r="I492" s="148"/>
      <c r="J492" s="148"/>
      <c r="K492" s="148"/>
      <c r="L492" s="148"/>
      <c r="M492" s="148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68"/>
      <c r="N493" s="1"/>
      <c r="O493" s="1"/>
      <c r="P493" s="1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18230325</v>
      </c>
      <c r="I494" s="150"/>
      <c r="J494" s="150"/>
      <c r="K494" s="150"/>
      <c r="L494" s="150"/>
      <c r="M494" s="150"/>
      <c r="N494" s="1"/>
      <c r="O494" s="1"/>
      <c r="P494" s="1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55"/>
      <c r="N495" s="1"/>
      <c r="O495" s="1"/>
      <c r="P495" s="1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55"/>
      <c r="N496" s="1"/>
      <c r="O496" s="1"/>
      <c r="P496" s="1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55"/>
      <c r="N497" s="1"/>
      <c r="O497" s="1"/>
      <c r="P497" s="1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55"/>
      <c r="N498" s="1"/>
      <c r="O498" s="1"/>
      <c r="P498" s="1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53"/>
      <c r="N499" s="1"/>
      <c r="O499" s="1"/>
      <c r="P499" s="1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53"/>
      <c r="N500" s="1"/>
      <c r="O500" s="1"/>
      <c r="P500" s="1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53"/>
      <c r="N501" s="1"/>
      <c r="O501" s="1"/>
      <c r="P501" s="1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53"/>
      <c r="N502" s="1"/>
      <c r="O502" s="1"/>
      <c r="P502" s="1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53"/>
      <c r="N503" s="1"/>
      <c r="O503" s="1"/>
      <c r="P503" s="1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53"/>
      <c r="N504" s="1"/>
      <c r="O504" s="1"/>
      <c r="P504" s="1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425</v>
      </c>
      <c r="I505" s="148"/>
      <c r="J505" s="148"/>
      <c r="K505" s="148"/>
      <c r="L505" s="148"/>
      <c r="M505" s="148"/>
      <c r="N505" s="1"/>
      <c r="O505" s="1"/>
      <c r="P505" s="1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17000400</v>
      </c>
      <c r="I506" s="148"/>
      <c r="J506" s="148"/>
      <c r="K506" s="148"/>
      <c r="L506" s="148"/>
      <c r="M506" s="148"/>
      <c r="N506" s="1"/>
      <c r="O506" s="1"/>
      <c r="P506" s="1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107</v>
      </c>
      <c r="I507" s="148"/>
      <c r="J507" s="148"/>
      <c r="K507" s="148"/>
      <c r="L507" s="148"/>
      <c r="M507" s="148"/>
      <c r="N507" s="1"/>
      <c r="O507" s="1"/>
      <c r="P507" s="1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1229925</v>
      </c>
      <c r="I508" s="148"/>
      <c r="J508" s="148"/>
      <c r="K508" s="148"/>
      <c r="L508" s="148"/>
      <c r="M508" s="148"/>
      <c r="N508" s="1"/>
      <c r="O508" s="1"/>
      <c r="P508" s="1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48"/>
      <c r="N509" s="1"/>
      <c r="O509" s="1"/>
      <c r="P509" s="1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48"/>
      <c r="N510" s="1"/>
      <c r="O510" s="1"/>
      <c r="P510" s="1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48"/>
      <c r="N511" s="1"/>
      <c r="O511" s="1"/>
      <c r="P511" s="1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48"/>
      <c r="N512" s="1"/>
      <c r="O512" s="1"/>
      <c r="P512" s="1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48"/>
      <c r="N513" s="1"/>
      <c r="O513" s="1"/>
      <c r="P513" s="1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48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38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68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251</v>
      </c>
      <c r="I518" s="148"/>
      <c r="J518" s="148"/>
      <c r="K518" s="148"/>
      <c r="L518" s="148"/>
      <c r="M518" s="148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68"/>
      <c r="N519" s="1"/>
      <c r="O519" s="1"/>
      <c r="P519" s="1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6403050</v>
      </c>
      <c r="I520" s="150"/>
      <c r="J520" s="150"/>
      <c r="K520" s="150"/>
      <c r="L520" s="150"/>
      <c r="M520" s="150"/>
      <c r="N520" s="1"/>
      <c r="O520" s="1"/>
      <c r="P520" s="1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55"/>
      <c r="N521" s="1"/>
      <c r="O521" s="1"/>
      <c r="P521" s="1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55"/>
      <c r="N522" s="1"/>
      <c r="O522" s="1"/>
      <c r="P522" s="1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55"/>
      <c r="N523" s="1"/>
      <c r="O523" s="1"/>
      <c r="P523" s="1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55"/>
      <c r="N524" s="1"/>
      <c r="O524" s="1"/>
      <c r="P524" s="1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53"/>
      <c r="N525" s="1"/>
      <c r="O525" s="1"/>
      <c r="P525" s="1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53"/>
      <c r="N526" s="1"/>
      <c r="O526" s="1"/>
      <c r="P526" s="1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53"/>
      <c r="N527" s="1"/>
      <c r="O527" s="1"/>
      <c r="P527" s="1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53"/>
      <c r="N528" s="1"/>
      <c r="O528" s="1"/>
      <c r="P528" s="1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53"/>
      <c r="N529" s="1"/>
      <c r="O529" s="1"/>
      <c r="P529" s="1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53"/>
      <c r="N530" s="1"/>
      <c r="O530" s="1"/>
      <c r="P530" s="1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201</v>
      </c>
      <c r="I531" s="148"/>
      <c r="J531" s="148"/>
      <c r="K531" s="148"/>
      <c r="L531" s="148"/>
      <c r="M531" s="148"/>
      <c r="N531" s="1"/>
      <c r="O531" s="1"/>
      <c r="P531" s="1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6026400</v>
      </c>
      <c r="I532" s="148"/>
      <c r="J532" s="148"/>
      <c r="K532" s="148"/>
      <c r="L532" s="148"/>
      <c r="M532" s="148"/>
      <c r="N532" s="1"/>
      <c r="O532" s="1"/>
      <c r="P532" s="1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50</v>
      </c>
      <c r="I533" s="148"/>
      <c r="J533" s="148"/>
      <c r="K533" s="148"/>
      <c r="L533" s="148"/>
      <c r="M533" s="148"/>
      <c r="N533" s="1"/>
      <c r="O533" s="1"/>
      <c r="P533" s="1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376650</v>
      </c>
      <c r="I534" s="148"/>
      <c r="J534" s="148"/>
      <c r="K534" s="148"/>
      <c r="L534" s="148"/>
      <c r="M534" s="148"/>
      <c r="N534" s="1"/>
      <c r="O534" s="1"/>
      <c r="P534" s="1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48"/>
      <c r="N535" s="1"/>
      <c r="O535" s="1"/>
      <c r="P535" s="1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48"/>
      <c r="N536" s="1"/>
      <c r="O536" s="1"/>
      <c r="P536" s="1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48"/>
      <c r="N537" s="1"/>
      <c r="O537" s="1"/>
      <c r="P537" s="1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48"/>
      <c r="N538" s="1"/>
      <c r="O538" s="1"/>
      <c r="P538" s="1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48"/>
      <c r="N539" s="1"/>
      <c r="O539" s="1"/>
      <c r="P539" s="1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48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18"/>
      <c r="N543" s="1"/>
      <c r="O543" s="1"/>
      <c r="P543" s="1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M545" si="13">SUM(H554,H588,H629,H663,H703,H737)</f>
        <v>5145690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78">
        <f t="shared" si="13"/>
        <v>0</v>
      </c>
      <c r="N545" s="1"/>
      <c r="O545" s="1"/>
      <c r="P545" s="1"/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M546" si="14">SUM(H553,H587,H628,H662,H702,H735)</f>
        <v>0</v>
      </c>
      <c r="I546" s="180">
        <f t="shared" si="14"/>
        <v>312000</v>
      </c>
      <c r="J546" s="180">
        <f t="shared" si="14"/>
        <v>408000</v>
      </c>
      <c r="K546" s="180">
        <f t="shared" si="14"/>
        <v>144000</v>
      </c>
      <c r="L546" s="180">
        <f t="shared" si="14"/>
        <v>96000</v>
      </c>
      <c r="M546" s="180">
        <f t="shared" si="14"/>
        <v>870000</v>
      </c>
      <c r="N546" s="1"/>
      <c r="O546" s="1"/>
      <c r="P546" s="1"/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43"/>
      <c r="N548" s="1"/>
      <c r="O548" s="1"/>
      <c r="P548" s="1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M549" si="15">SUM(H571,H605,H624,H646,H679,H698,H720,H754,H774)</f>
        <v>36000</v>
      </c>
      <c r="I549" s="178">
        <f t="shared" si="15"/>
        <v>39600</v>
      </c>
      <c r="J549" s="178">
        <f t="shared" si="15"/>
        <v>43560</v>
      </c>
      <c r="K549" s="178">
        <f t="shared" si="15"/>
        <v>297516</v>
      </c>
      <c r="L549" s="178">
        <f t="shared" si="15"/>
        <v>206307.6</v>
      </c>
      <c r="M549" s="178">
        <f t="shared" si="15"/>
        <v>372858.36</v>
      </c>
      <c r="N549" s="1"/>
      <c r="O549" s="1"/>
      <c r="P549" s="1"/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81"/>
      <c r="M550" s="18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83"/>
      <c r="N551" s="136"/>
      <c r="O551" s="136"/>
      <c r="P551" s="136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84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M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70">
        <f t="shared" si="16"/>
        <v>10000</v>
      </c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M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84" t="str">
        <f t="shared" si="17"/>
        <v/>
      </c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M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84">
        <f t="shared" si="18"/>
        <v>10000</v>
      </c>
      <c r="N555" s="1"/>
      <c r="O555" s="1"/>
      <c r="P555" s="1"/>
      <c r="Q555" s="1"/>
      <c r="R555" s="1"/>
      <c r="S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86"/>
      <c r="N556" s="1"/>
      <c r="O556" s="1"/>
      <c r="P556" s="1"/>
      <c r="Q556" s="1"/>
      <c r="R556" s="1"/>
      <c r="S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M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86">
        <f t="shared" si="19"/>
        <v>1</v>
      </c>
      <c r="N557" s="1"/>
      <c r="O557" s="1"/>
      <c r="P557" s="1"/>
      <c r="Q557" s="1"/>
      <c r="R557" s="1"/>
      <c r="S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M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86">
        <f t="shared" si="20"/>
        <v>0</v>
      </c>
      <c r="N558" s="1"/>
      <c r="O558" s="1"/>
      <c r="P558" s="1"/>
      <c r="Q558" s="1"/>
      <c r="R558" s="1"/>
      <c r="S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M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86">
        <f t="shared" si="21"/>
        <v>1</v>
      </c>
      <c r="N559" s="1"/>
      <c r="O559" s="1"/>
      <c r="P559" s="1"/>
      <c r="Q559" s="1"/>
      <c r="R559" s="1"/>
      <c r="S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M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86">
        <f t="shared" si="22"/>
        <v>0</v>
      </c>
      <c r="N560" s="1"/>
      <c r="O560" s="1"/>
      <c r="P560" s="1"/>
      <c r="Q560" s="1"/>
      <c r="R560" s="1"/>
      <c r="S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M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86">
        <f t="shared" si="23"/>
        <v>1</v>
      </c>
      <c r="N561" s="1"/>
      <c r="O561" s="1"/>
      <c r="P561" s="1"/>
      <c r="Q561" s="1"/>
      <c r="R561" s="1"/>
      <c r="S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M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86">
        <f t="shared" si="24"/>
        <v>2</v>
      </c>
      <c r="N562" s="1"/>
      <c r="O562" s="1"/>
      <c r="P562" s="1"/>
      <c r="Q562" s="1"/>
      <c r="R562" s="1"/>
      <c r="S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M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86">
        <f t="shared" si="25"/>
        <v>0</v>
      </c>
      <c r="N563" s="1"/>
      <c r="O563" s="1"/>
      <c r="P563" s="1"/>
      <c r="Q563" s="1"/>
      <c r="R563" s="1"/>
      <c r="S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M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86">
        <f t="shared" si="26"/>
        <v>0</v>
      </c>
      <c r="N564" s="1"/>
      <c r="O564" s="1"/>
      <c r="P564" s="1"/>
      <c r="Q564" s="1"/>
      <c r="R564" s="1"/>
      <c r="S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M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86">
        <f t="shared" si="27"/>
        <v>0</v>
      </c>
      <c r="N565" s="1"/>
      <c r="O565" s="1"/>
      <c r="P565" s="1"/>
      <c r="Q565" s="1"/>
      <c r="R565" s="1"/>
      <c r="S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M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86">
        <f t="shared" si="28"/>
        <v>0</v>
      </c>
      <c r="N566" s="1"/>
      <c r="O566" s="1"/>
      <c r="P566" s="1"/>
      <c r="Q566" s="1"/>
      <c r="R566" s="1"/>
      <c r="S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M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86">
        <f t="shared" si="29"/>
        <v>0</v>
      </c>
      <c r="N567" s="1"/>
      <c r="O567" s="1"/>
      <c r="P567" s="1"/>
      <c r="Q567" s="1"/>
      <c r="R567" s="1"/>
      <c r="S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M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86">
        <f t="shared" si="30"/>
        <v>0</v>
      </c>
      <c r="N568" s="1"/>
      <c r="O568" s="1"/>
      <c r="P568" s="1"/>
      <c r="Q568" s="1"/>
      <c r="R568" s="1"/>
      <c r="S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86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55">
        <v>0.8</v>
      </c>
      <c r="N570" s="1"/>
      <c r="O570" s="1"/>
      <c r="P570" s="1"/>
      <c r="Q570" s="1"/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M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84">
        <f t="shared" si="31"/>
        <v>0</v>
      </c>
      <c r="N571" s="1"/>
      <c r="O571" s="1"/>
      <c r="P571" s="1"/>
      <c r="Q571" s="1"/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M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84">
        <f t="shared" si="32"/>
        <v>10000</v>
      </c>
      <c r="N572" s="1"/>
      <c r="O572" s="1"/>
      <c r="P572" s="1"/>
      <c r="Q572" s="1"/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M573" si="33">IF(COLUMN() &lt; (COLUMN($H$573) + (ROW()-ROW($H$573))), 0, IF(COLUMN() = (COLUMN($H$573) + (ROW()-ROW($H$573))), INDEX($H$555:$M$555,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86">
        <f t="shared" si="33"/>
        <v>0</v>
      </c>
      <c r="N573" s="1"/>
      <c r="O573" s="1"/>
      <c r="P573" s="1"/>
      <c r="Q573" s="1"/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M574" si="34">IF(COLUMN() &lt; (COLUMN($H$573) + (ROW()-ROW($H$573))), 0, IF(COLUMN() = (COLUMN($H$573) + (ROW()-ROW($H$573))), INDEX($H$555:$M$555,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86">
        <f t="shared" si="34"/>
        <v>0</v>
      </c>
      <c r="N574" s="1"/>
      <c r="O574" s="1"/>
      <c r="P574" s="1"/>
      <c r="Q574" s="1"/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M575" si="35">IF(COLUMN() &lt; (COLUMN($H$573) + (ROW()-ROW($H$573))), 0, IF(COLUMN() = (COLUMN($H$573) + (ROW()-ROW($H$573))), INDEX($H$555:$M$555,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86">
        <f t="shared" si="35"/>
        <v>0</v>
      </c>
      <c r="N575" s="1"/>
      <c r="O575" s="1"/>
      <c r="P575" s="1"/>
      <c r="Q575" s="1"/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M576" si="36">IF(COLUMN() &lt; (COLUMN($H$573) + (ROW()-ROW($H$573))), 0, IF(COLUMN() = (COLUMN($H$573) + (ROW()-ROW($H$573))), INDEX($H$555:$M$555,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86">
        <f t="shared" si="36"/>
        <v>0</v>
      </c>
      <c r="N576" s="1"/>
      <c r="O576" s="1"/>
      <c r="P576" s="1"/>
      <c r="Q576" s="1"/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M577" si="37">IF(COLUMN() &lt; (COLUMN($H$573) + (ROW()-ROW($H$573))), 0, IF(COLUMN() = (COLUMN($H$573) + (ROW()-ROW($H$573))), INDEX($H$555:$M$555,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86">
        <f t="shared" si="37"/>
        <v>0</v>
      </c>
      <c r="N577" s="1"/>
      <c r="O577" s="1"/>
      <c r="P577" s="1"/>
      <c r="Q577" s="1"/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M578" si="38">IF(COLUMN() &lt; (COLUMN($H$573) + (ROW()-ROW($H$573))), 0, IF(COLUMN() = (COLUMN($H$573) + (ROW()-ROW($H$573))), INDEX($H$555:$M$555,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86">
        <f t="shared" si="38"/>
        <v>10000</v>
      </c>
      <c r="N578" s="1"/>
      <c r="O578" s="1"/>
      <c r="P578" s="1"/>
      <c r="Q578" s="1"/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M579" si="39">IF(COLUMN() &lt; (COLUMN($H$573) + (ROW()-ROW($H$573))), 0, IF(COLUMN() = (COLUMN($H$573) + (ROW()-ROW($H$573))), INDEX($H$555:$M$555,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86">
        <f t="shared" si="39"/>
        <v>0</v>
      </c>
      <c r="N579" s="1"/>
      <c r="O579" s="1"/>
      <c r="P579" s="1"/>
      <c r="Q579" s="1"/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M580" si="40">IF(COLUMN() &lt; (COLUMN($H$573) + (ROW()-ROW($H$573))), 0, IF(COLUMN() = (COLUMN($H$573) + (ROW()-ROW($H$573))), INDEX($H$555:$M$555,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86">
        <f t="shared" si="40"/>
        <v>0</v>
      </c>
      <c r="N580" s="1"/>
      <c r="O580" s="1"/>
      <c r="P580" s="1"/>
      <c r="Q580" s="1"/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M581" si="41">IF(COLUMN() &lt; (COLUMN($H$573) + (ROW()-ROW($H$573))), 0, IF(COLUMN() = (COLUMN($H$573) + (ROW()-ROW($H$573))), INDEX($H$555:$M$555,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86">
        <f t="shared" si="41"/>
        <v>0</v>
      </c>
      <c r="N581" s="1"/>
      <c r="O581" s="1"/>
      <c r="P581" s="1"/>
      <c r="Q581" s="1"/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M582" si="42">IF(COLUMN() &lt; (COLUMN($H$573) + (ROW()-ROW($H$573))), 0, IF(COLUMN() = (COLUMN($H$573) + (ROW()-ROW($H$573))), INDEX($H$555:$M$555,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86">
        <f t="shared" si="42"/>
        <v>0</v>
      </c>
      <c r="N582" s="1"/>
      <c r="O582" s="1"/>
      <c r="P582" s="1"/>
      <c r="Q582" s="1"/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M583" si="43">IF(COLUMN() &lt; (COLUMN($H$573) + (ROW()-ROW($H$573))), 0, IF(COLUMN() = (COLUMN($H$573) + (ROW()-ROW($H$573))), INDEX($H$555:$M$555,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86">
        <f t="shared" si="43"/>
        <v>0</v>
      </c>
      <c r="N583" s="1"/>
      <c r="O583" s="1"/>
      <c r="P583" s="1"/>
      <c r="Q583" s="1"/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M584" si="44">IF(COLUMN() &lt; (COLUMN($H$573) + (ROW()-ROW($H$573))), 0, IF(COLUMN() = (COLUMN($H$573) + (ROW()-ROW($H$573))), INDEX($H$555:$M$555,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86">
        <f t="shared" si="44"/>
        <v>0</v>
      </c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55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84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M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70">
        <f t="shared" si="45"/>
        <v>100000</v>
      </c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M588" si="46">H434</f>
        <v>943950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84" t="str">
        <f t="shared" si="46"/>
        <v/>
      </c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M589" si="47">SUM(H587:H588)</f>
        <v>943950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84">
        <f t="shared" si="47"/>
        <v>100000</v>
      </c>
      <c r="N589" s="1"/>
      <c r="O589" s="1"/>
      <c r="P589" s="1"/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86"/>
      <c r="N590" s="1"/>
      <c r="O590" s="1"/>
      <c r="P590" s="1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M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86">
        <f t="shared" si="48"/>
        <v>5</v>
      </c>
      <c r="N591" s="1"/>
      <c r="O591" s="1"/>
      <c r="P591" s="1"/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M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86">
        <f t="shared" si="49"/>
        <v>6</v>
      </c>
      <c r="N592" s="1"/>
      <c r="O592" s="1"/>
      <c r="P592" s="1"/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M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86">
        <f t="shared" si="50"/>
        <v>7</v>
      </c>
      <c r="N593" s="1"/>
      <c r="O593" s="1"/>
      <c r="P593" s="1"/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M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86">
        <f t="shared" si="51"/>
        <v>8</v>
      </c>
      <c r="N594" s="1"/>
      <c r="O594" s="1"/>
      <c r="P594" s="1"/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M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86">
        <f t="shared" si="52"/>
        <v>9</v>
      </c>
      <c r="N595" s="1"/>
      <c r="O595" s="1"/>
      <c r="P595" s="1"/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M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86">
        <f t="shared" si="53"/>
        <v>10</v>
      </c>
      <c r="N596" s="1"/>
      <c r="O596" s="1"/>
      <c r="P596" s="1"/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M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86">
        <f t="shared" si="54"/>
        <v>0</v>
      </c>
      <c r="N597" s="1"/>
      <c r="O597" s="1"/>
      <c r="P597" s="1"/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M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86">
        <f t="shared" si="55"/>
        <v>0</v>
      </c>
      <c r="N598" s="1"/>
      <c r="O598" s="1"/>
      <c r="P598" s="1"/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M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86">
        <f t="shared" si="56"/>
        <v>0</v>
      </c>
      <c r="N599" s="1"/>
      <c r="O599" s="1"/>
      <c r="P599" s="1"/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M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86">
        <f t="shared" si="57"/>
        <v>0</v>
      </c>
      <c r="N600" s="1"/>
      <c r="O600" s="1"/>
      <c r="P600" s="1"/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M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86">
        <f t="shared" si="58"/>
        <v>0</v>
      </c>
      <c r="N601" s="1"/>
      <c r="O601" s="1"/>
      <c r="P601" s="1"/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M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86">
        <f t="shared" si="59"/>
        <v>0</v>
      </c>
      <c r="N602" s="1"/>
      <c r="O602" s="1"/>
      <c r="P602" s="1"/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86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55"/>
      <c r="N604" s="1"/>
      <c r="O604" s="1"/>
      <c r="P604" s="1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M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84">
        <f t="shared" si="60"/>
        <v>0</v>
      </c>
      <c r="N605" s="1"/>
      <c r="O605" s="1"/>
      <c r="P605" s="1"/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M606" si="61">SUM(H607:H618)</f>
        <v>943950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84">
        <f t="shared" si="61"/>
        <v>100000</v>
      </c>
      <c r="N606" s="1"/>
      <c r="O606" s="1"/>
      <c r="P606" s="1"/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M607" si="62">IF(COLUMN() &lt; (COLUMN($H$607) + (ROW()-ROW($H$607))), 0, IF(COLUMN() = (COLUMN($H$607) + (ROW()-ROW($H$607))), INDEX($H$589:$M$589, 1, COLUMN()-COLUMN($H$589)+1), IF(H591=0, OFFSET(H607, 0, -$H$590) * $H$604, 0)))</f>
        <v>943950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86">
        <f t="shared" si="62"/>
        <v>0</v>
      </c>
      <c r="N607" s="1"/>
      <c r="O607" s="1"/>
      <c r="P607" s="1"/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M608" si="63">IF(COLUMN() &lt; (COLUMN($H$607) + (ROW()-ROW($H$607))), 0, IF(COLUMN() = (COLUMN($H$607) + (ROW()-ROW($H$607))), INDEX($H$589:$M$589,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86">
        <f t="shared" si="63"/>
        <v>0</v>
      </c>
      <c r="N608" s="1"/>
      <c r="O608" s="1"/>
      <c r="P608" s="1"/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M609" si="64">IF(COLUMN() &lt; (COLUMN($H$607) + (ROW()-ROW($H$607))), 0, IF(COLUMN() = (COLUMN($H$607) + (ROW()-ROW($H$607))), INDEX($H$589:$M$589,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86">
        <f t="shared" si="64"/>
        <v>0</v>
      </c>
      <c r="N609" s="1"/>
      <c r="O609" s="1"/>
      <c r="P609" s="1"/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M610" si="65">IF(COLUMN() &lt; (COLUMN($H$607) + (ROW()-ROW($H$607))), 0, IF(COLUMN() = (COLUMN($H$607) + (ROW()-ROW($H$607))), INDEX($H$589:$M$589,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86">
        <f t="shared" si="65"/>
        <v>0</v>
      </c>
      <c r="N610" s="1"/>
      <c r="O610" s="1"/>
      <c r="P610" s="1"/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M611" si="66">IF(COLUMN() &lt; (COLUMN($H$607) + (ROW()-ROW($H$607))), 0, IF(COLUMN() = (COLUMN($H$607) + (ROW()-ROW($H$607))), INDEX($H$589:$M$589,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86">
        <f t="shared" si="66"/>
        <v>0</v>
      </c>
      <c r="N611" s="1"/>
      <c r="O611" s="1"/>
      <c r="P611" s="1"/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M612" si="67">IF(COLUMN() &lt; (COLUMN($H$607) + (ROW()-ROW($H$607))), 0, IF(COLUMN() = (COLUMN($H$607) + (ROW()-ROW($H$607))), INDEX($H$589:$M$589,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86">
        <f t="shared" si="67"/>
        <v>100000</v>
      </c>
      <c r="N612" s="1"/>
      <c r="O612" s="1"/>
      <c r="P612" s="1"/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M613" si="68">IF(COLUMN() &lt; (COLUMN($H$607) + (ROW()-ROW($H$607))), 0, IF(COLUMN() = (COLUMN($H$607) + (ROW()-ROW($H$607))), INDEX($H$589:$M$589,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86">
        <f t="shared" si="68"/>
        <v>0</v>
      </c>
      <c r="N613" s="1"/>
      <c r="O613" s="1"/>
      <c r="P613" s="1"/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M614" si="69">IF(COLUMN() &lt; (COLUMN($H$607) + (ROW()-ROW($H$607))), 0, IF(COLUMN() = (COLUMN($H$607) + (ROW()-ROW($H$607))), INDEX($H$589:$M$589,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86">
        <f t="shared" si="69"/>
        <v>0</v>
      </c>
      <c r="N614" s="1"/>
      <c r="O614" s="1"/>
      <c r="P614" s="1"/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M615" si="70">IF(COLUMN() &lt; (COLUMN($H$607) + (ROW()-ROW($H$607))), 0, IF(COLUMN() = (COLUMN($H$607) + (ROW()-ROW($H$607))), INDEX($H$589:$M$589,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86">
        <f t="shared" si="70"/>
        <v>0</v>
      </c>
      <c r="N615" s="1"/>
      <c r="O615" s="1"/>
      <c r="P615" s="1"/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M616" si="71">IF(COLUMN() &lt; (COLUMN($H$607) + (ROW()-ROW($H$607))), 0, IF(COLUMN() = (COLUMN($H$607) + (ROW()-ROW($H$607))), INDEX($H$589:$M$589,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86">
        <f t="shared" si="71"/>
        <v>0</v>
      </c>
      <c r="N616" s="1"/>
      <c r="O616" s="1"/>
      <c r="P616" s="1"/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M617" si="72">IF(COLUMN() &lt; (COLUMN($H$607) + (ROW()-ROW($H$607))), 0, IF(COLUMN() = (COLUMN($H$607) + (ROW()-ROW($H$607))), INDEX($H$589:$M$589,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86">
        <f t="shared" si="72"/>
        <v>0</v>
      </c>
      <c r="N617" s="1"/>
      <c r="O617" s="1"/>
      <c r="P617" s="1"/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M618" si="73">IF(COLUMN() &lt; (COLUMN($H$607) + (ROW()-ROW($H$607))), 0, IF(COLUMN() = (COLUMN($H$607) + (ROW()-ROW($H$607))), INDEX($H$589:$M$589,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86">
        <f t="shared" si="73"/>
        <v>0</v>
      </c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55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84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M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86">
        <f t="shared" si="74"/>
        <v>3</v>
      </c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M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84">
        <f t="shared" si="75"/>
        <v>7247.295</v>
      </c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55">
        <v>1.1</v>
      </c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M624" si="76">H621*H622</f>
        <v>13500</v>
      </c>
      <c r="I624" s="184">
        <f t="shared" si="76"/>
        <v>14850</v>
      </c>
      <c r="J624" s="184">
        <f t="shared" si="76"/>
        <v>16335</v>
      </c>
      <c r="K624" s="184">
        <f t="shared" si="76"/>
        <v>17968.5</v>
      </c>
      <c r="L624" s="184">
        <f t="shared" si="76"/>
        <v>19765.35</v>
      </c>
      <c r="M624" s="184">
        <f t="shared" si="76"/>
        <v>21741.885</v>
      </c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63"/>
      <c r="N625" s="1"/>
      <c r="O625" s="1"/>
      <c r="P625" s="1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83"/>
      <c r="N626" s="136"/>
      <c r="O626" s="136"/>
      <c r="P626" s="136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84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M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24000</v>
      </c>
      <c r="K628" s="178">
        <f t="shared" si="77"/>
        <v>0</v>
      </c>
      <c r="L628" s="178">
        <f t="shared" si="77"/>
        <v>0</v>
      </c>
      <c r="M628" s="178">
        <f t="shared" si="77"/>
        <v>88000</v>
      </c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M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84" t="str">
        <f t="shared" si="78"/>
        <v/>
      </c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M630" si="79">SUM(H628:H629)</f>
        <v>0</v>
      </c>
      <c r="I630" s="184">
        <f t="shared" si="79"/>
        <v>0</v>
      </c>
      <c r="J630" s="184">
        <f t="shared" si="79"/>
        <v>24000</v>
      </c>
      <c r="K630" s="184">
        <f t="shared" si="79"/>
        <v>0</v>
      </c>
      <c r="L630" s="184">
        <f t="shared" si="79"/>
        <v>0</v>
      </c>
      <c r="M630" s="184">
        <f t="shared" si="79"/>
        <v>88000</v>
      </c>
      <c r="N630" s="1"/>
      <c r="O630" s="1"/>
      <c r="P630" s="1"/>
      <c r="Q630" s="1"/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86"/>
      <c r="N631" s="1"/>
      <c r="O631" s="1"/>
      <c r="P631" s="1"/>
      <c r="Q631" s="1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M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86">
        <f t="shared" si="80"/>
        <v>1</v>
      </c>
      <c r="N632" s="1"/>
      <c r="O632" s="1"/>
      <c r="P632" s="1"/>
      <c r="Q632" s="1"/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M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86">
        <f t="shared" si="81"/>
        <v>0</v>
      </c>
      <c r="N633" s="1"/>
      <c r="O633" s="1"/>
      <c r="P633" s="1"/>
      <c r="Q633" s="1"/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M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86">
        <f t="shared" si="82"/>
        <v>1</v>
      </c>
      <c r="N634" s="1"/>
      <c r="O634" s="1"/>
      <c r="P634" s="1"/>
      <c r="Q634" s="1"/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M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86">
        <f t="shared" si="83"/>
        <v>0</v>
      </c>
      <c r="N635" s="1"/>
      <c r="O635" s="1"/>
      <c r="P635" s="1"/>
      <c r="Q635" s="1"/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M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86">
        <f t="shared" si="84"/>
        <v>1</v>
      </c>
      <c r="N636" s="1"/>
      <c r="O636" s="1"/>
      <c r="P636" s="1"/>
      <c r="Q636" s="1"/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M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86">
        <f t="shared" si="85"/>
        <v>2</v>
      </c>
      <c r="N637" s="1"/>
      <c r="O637" s="1"/>
      <c r="P637" s="1"/>
      <c r="Q637" s="1"/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M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86">
        <f t="shared" si="86"/>
        <v>0</v>
      </c>
      <c r="N638" s="1"/>
      <c r="O638" s="1"/>
      <c r="P638" s="1"/>
      <c r="Q638" s="1"/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M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86">
        <f t="shared" si="87"/>
        <v>0</v>
      </c>
      <c r="N639" s="1"/>
      <c r="O639" s="1"/>
      <c r="P639" s="1"/>
      <c r="Q639" s="1"/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M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86">
        <f t="shared" si="88"/>
        <v>0</v>
      </c>
      <c r="N640" s="1"/>
      <c r="O640" s="1"/>
      <c r="P640" s="1"/>
      <c r="Q640" s="1"/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M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86">
        <f t="shared" si="89"/>
        <v>0</v>
      </c>
      <c r="N641" s="1"/>
      <c r="O641" s="1"/>
      <c r="P641" s="1"/>
      <c r="Q641" s="1"/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M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86">
        <f t="shared" si="90"/>
        <v>0</v>
      </c>
      <c r="N642" s="1"/>
      <c r="O642" s="1"/>
      <c r="P642" s="1"/>
      <c r="Q642" s="1"/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M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86">
        <f t="shared" si="91"/>
        <v>0</v>
      </c>
      <c r="N643" s="1"/>
      <c r="O643" s="1"/>
      <c r="P643" s="1"/>
      <c r="Q643" s="1"/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86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55">
        <v>0.8</v>
      </c>
      <c r="N645" s="1"/>
      <c r="O645" s="1"/>
      <c r="P645" s="1"/>
      <c r="Q645" s="1"/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M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19200</v>
      </c>
      <c r="M646" s="184">
        <f t="shared" si="92"/>
        <v>0</v>
      </c>
      <c r="N646" s="1"/>
      <c r="O646" s="1"/>
      <c r="P646" s="1"/>
      <c r="Q646" s="1"/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M647" si="93">SUM(H648:H659)</f>
        <v>0</v>
      </c>
      <c r="I647" s="184">
        <f t="shared" si="93"/>
        <v>0</v>
      </c>
      <c r="J647" s="184">
        <f t="shared" si="93"/>
        <v>24000</v>
      </c>
      <c r="K647" s="184">
        <f t="shared" si="93"/>
        <v>0</v>
      </c>
      <c r="L647" s="184">
        <f t="shared" si="93"/>
        <v>19200</v>
      </c>
      <c r="M647" s="184">
        <f t="shared" si="93"/>
        <v>88000</v>
      </c>
      <c r="N647" s="1"/>
      <c r="O647" s="1"/>
      <c r="P647" s="1"/>
      <c r="Q647" s="1"/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M648" si="94">IF(COLUMN() &lt; (COLUMN($H$648) + (ROW()-ROW($H$648))), 0, IF(COLUMN() = (COLUMN($H$648) + (ROW()-ROW($H$648))), INDEX($H$630:$M$630,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86">
        <f t="shared" si="94"/>
        <v>0</v>
      </c>
      <c r="N648" s="1"/>
      <c r="O648" s="1"/>
      <c r="P648" s="1"/>
      <c r="Q648" s="1"/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M649" si="95">IF(COLUMN() &lt; (COLUMN($H$648) + (ROW()-ROW($H$648))), 0, IF(COLUMN() = (COLUMN($H$648) + (ROW()-ROW($H$648))), INDEX($H$630:$M$630,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86">
        <f t="shared" si="95"/>
        <v>0</v>
      </c>
      <c r="N649" s="1"/>
      <c r="O649" s="1"/>
      <c r="P649" s="1"/>
      <c r="Q649" s="1"/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M650" si="96">IF(COLUMN() &lt; (COLUMN($H$648) + (ROW()-ROW($H$648))), 0, IF(COLUMN() = (COLUMN($H$648) + (ROW()-ROW($H$648))), INDEX($H$630:$M$630, 1, COLUMN()-COLUMN($H$630)+1), IF(H634=0, OFFSET(H650, 0, -$H$631) * $H$645, 0)))</f>
        <v>0</v>
      </c>
      <c r="I650" s="186">
        <f t="shared" si="96"/>
        <v>0</v>
      </c>
      <c r="J650" s="186">
        <f t="shared" si="96"/>
        <v>24000</v>
      </c>
      <c r="K650" s="186">
        <f t="shared" si="96"/>
        <v>0</v>
      </c>
      <c r="L650" s="186">
        <f t="shared" si="96"/>
        <v>19200</v>
      </c>
      <c r="M650" s="186">
        <f t="shared" si="96"/>
        <v>0</v>
      </c>
      <c r="N650" s="1"/>
      <c r="O650" s="1"/>
      <c r="P650" s="1"/>
      <c r="Q650" s="1"/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M651" si="97">IF(COLUMN() &lt; (COLUMN($H$648) + (ROW()-ROW($H$648))), 0, IF(COLUMN() = (COLUMN($H$648) + (ROW()-ROW($H$648))), INDEX($H$630:$M$630,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86">
        <f t="shared" si="97"/>
        <v>0</v>
      </c>
      <c r="N651" s="1"/>
      <c r="O651" s="1"/>
      <c r="P651" s="1"/>
      <c r="Q651" s="1"/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M652" si="98">IF(COLUMN() &lt; (COLUMN($H$648) + (ROW()-ROW($H$648))), 0, IF(COLUMN() = (COLUMN($H$648) + (ROW()-ROW($H$648))), INDEX($H$630:$M$630,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86">
        <f t="shared" si="98"/>
        <v>0</v>
      </c>
      <c r="N652" s="1"/>
      <c r="O652" s="1"/>
      <c r="P652" s="1"/>
      <c r="Q652" s="1"/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M653" si="99">IF(COLUMN() &lt; (COLUMN($H$648) + (ROW()-ROW($H$648))), 0, IF(COLUMN() = (COLUMN($H$648) + (ROW()-ROW($H$648))), INDEX($H$630:$M$630,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86">
        <f t="shared" si="99"/>
        <v>88000</v>
      </c>
      <c r="N653" s="1"/>
      <c r="O653" s="1"/>
      <c r="P653" s="1"/>
      <c r="Q653" s="1"/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M654" si="100">IF(COLUMN() &lt; (COLUMN($H$648) + (ROW()-ROW($H$648))), 0, IF(COLUMN() = (COLUMN($H$648) + (ROW()-ROW($H$648))), INDEX($H$630:$M$630,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86">
        <f t="shared" si="100"/>
        <v>0</v>
      </c>
      <c r="N654" s="1"/>
      <c r="O654" s="1"/>
      <c r="P654" s="1"/>
      <c r="Q654" s="1"/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M655" si="101">IF(COLUMN() &lt; (COLUMN($H$648) + (ROW()-ROW($H$648))), 0, IF(COLUMN() = (COLUMN($H$648) + (ROW()-ROW($H$648))), INDEX($H$630:$M$630,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86">
        <f t="shared" si="101"/>
        <v>0</v>
      </c>
      <c r="N655" s="1"/>
      <c r="O655" s="1"/>
      <c r="P655" s="1"/>
      <c r="Q655" s="1"/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M656" si="102">IF(COLUMN() &lt; (COLUMN($H$648) + (ROW()-ROW($H$648))), 0, IF(COLUMN() = (COLUMN($H$648) + (ROW()-ROW($H$648))), INDEX($H$630:$M$630,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86">
        <f t="shared" si="102"/>
        <v>0</v>
      </c>
      <c r="N656" s="1"/>
      <c r="O656" s="1"/>
      <c r="P656" s="1"/>
      <c r="Q656" s="1"/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M657" si="103">IF(COLUMN() &lt; (COLUMN($H$648) + (ROW()-ROW($H$648))), 0, IF(COLUMN() = (COLUMN($H$648) + (ROW()-ROW($H$648))), INDEX($H$630:$M$630,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86">
        <f t="shared" si="103"/>
        <v>0</v>
      </c>
      <c r="N657" s="1"/>
      <c r="O657" s="1"/>
      <c r="P657" s="1"/>
      <c r="Q657" s="1"/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M658" si="104">IF(COLUMN() &lt; (COLUMN($H$648) + (ROW()-ROW($H$648))), 0, IF(COLUMN() = (COLUMN($H$648) + (ROW()-ROW($H$648))), INDEX($H$630:$M$630,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86">
        <f t="shared" si="104"/>
        <v>0</v>
      </c>
      <c r="N658" s="1"/>
      <c r="O658" s="1"/>
      <c r="P658" s="1"/>
      <c r="Q658" s="1"/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M659" si="105">IF(COLUMN() &lt; (COLUMN($H$648) + (ROW()-ROW($H$648))), 0, IF(COLUMN() = (COLUMN($H$648) + (ROW()-ROW($H$648))), INDEX($H$630:$M$630,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86">
        <f t="shared" si="105"/>
        <v>0</v>
      </c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55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84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M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216000</v>
      </c>
      <c r="K662" s="178">
        <f t="shared" si="106"/>
        <v>0</v>
      </c>
      <c r="L662" s="178">
        <f t="shared" si="106"/>
        <v>0</v>
      </c>
      <c r="M662" s="178">
        <f t="shared" si="106"/>
        <v>576000</v>
      </c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M663" si="107">H460</f>
        <v>920700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84" t="str">
        <f t="shared" si="107"/>
        <v/>
      </c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M664" si="108">SUM(H662:H663)</f>
        <v>920700</v>
      </c>
      <c r="I664" s="184">
        <f t="shared" si="108"/>
        <v>0</v>
      </c>
      <c r="J664" s="184">
        <f t="shared" si="108"/>
        <v>216000</v>
      </c>
      <c r="K664" s="184">
        <f t="shared" si="108"/>
        <v>0</v>
      </c>
      <c r="L664" s="184">
        <f t="shared" si="108"/>
        <v>0</v>
      </c>
      <c r="M664" s="184">
        <f t="shared" si="108"/>
        <v>576000</v>
      </c>
      <c r="N664" s="1"/>
      <c r="O664" s="1"/>
      <c r="P664" s="1"/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86"/>
      <c r="N665" s="1"/>
      <c r="O665" s="1"/>
      <c r="P665" s="1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M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86">
        <f t="shared" si="109"/>
        <v>4</v>
      </c>
      <c r="N666" s="1"/>
      <c r="O666" s="1"/>
      <c r="P666" s="1"/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M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86">
        <f t="shared" si="110"/>
        <v>5</v>
      </c>
      <c r="N667" s="1"/>
      <c r="O667" s="1"/>
      <c r="P667" s="1"/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M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86">
        <f t="shared" si="111"/>
        <v>6</v>
      </c>
      <c r="N668" s="1"/>
      <c r="O668" s="1"/>
      <c r="P668" s="1"/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M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86">
        <f t="shared" si="112"/>
        <v>7</v>
      </c>
      <c r="N669" s="1"/>
      <c r="O669" s="1"/>
      <c r="P669" s="1"/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M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86">
        <f t="shared" si="113"/>
        <v>8</v>
      </c>
      <c r="N670" s="1"/>
      <c r="O670" s="1"/>
      <c r="P670" s="1"/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M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86">
        <f t="shared" si="114"/>
        <v>9</v>
      </c>
      <c r="N671" s="1"/>
      <c r="O671" s="1"/>
      <c r="P671" s="1"/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M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86">
        <f t="shared" si="115"/>
        <v>0</v>
      </c>
      <c r="N672" s="1"/>
      <c r="O672" s="1"/>
      <c r="P672" s="1"/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M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86">
        <f t="shared" si="116"/>
        <v>0</v>
      </c>
      <c r="N673" s="1"/>
      <c r="O673" s="1"/>
      <c r="P673" s="1"/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M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86">
        <f t="shared" si="117"/>
        <v>0</v>
      </c>
      <c r="N674" s="1"/>
      <c r="O674" s="1"/>
      <c r="P674" s="1"/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M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86">
        <f t="shared" si="118"/>
        <v>0</v>
      </c>
      <c r="N675" s="1"/>
      <c r="O675" s="1"/>
      <c r="P675" s="1"/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M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86">
        <f t="shared" si="119"/>
        <v>0</v>
      </c>
      <c r="N676" s="1"/>
      <c r="O676" s="1"/>
      <c r="P676" s="1"/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M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86">
        <f t="shared" si="120"/>
        <v>0</v>
      </c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55"/>
      <c r="N678" s="1"/>
      <c r="O678" s="1"/>
      <c r="P678" s="1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M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84">
        <f t="shared" si="121"/>
        <v>0</v>
      </c>
      <c r="N679" s="1"/>
      <c r="O679" s="1"/>
      <c r="P679" s="1"/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M680" si="122">SUM(H681:H692)</f>
        <v>920700</v>
      </c>
      <c r="I680" s="184">
        <f t="shared" si="122"/>
        <v>0</v>
      </c>
      <c r="J680" s="184">
        <f t="shared" si="122"/>
        <v>216000</v>
      </c>
      <c r="K680" s="184">
        <f t="shared" si="122"/>
        <v>0</v>
      </c>
      <c r="L680" s="184">
        <f t="shared" si="122"/>
        <v>0</v>
      </c>
      <c r="M680" s="184">
        <f t="shared" si="122"/>
        <v>576000</v>
      </c>
      <c r="N680" s="1"/>
      <c r="O680" s="1"/>
      <c r="P680" s="1"/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M681" si="123">IF(COLUMN() &lt; (COLUMN($H681) + (ROW()-ROW($H$681))), 0, IF(COLUMN() = (COLUMN($H$681) + (ROW()-ROW($H$681))), INDEX($H$664:$M$664, 1, COLUMN()-COLUMN($H$664)+1), IF(H666=0, OFFSET(H681, 0, -$H$665) * $H$678, 0)))</f>
        <v>920700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86">
        <f t="shared" si="123"/>
        <v>0</v>
      </c>
      <c r="N681" s="1"/>
      <c r="O681" s="1"/>
      <c r="P681" s="1"/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M682" si="124">IF(COLUMN() &lt; (COLUMN($H682) + (ROW()-ROW($H$681))), 0, IF(COLUMN() = (COLUMN($H$681) + (ROW()-ROW($H$681))), INDEX($H$664:$M$664,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86">
        <f t="shared" si="124"/>
        <v>0</v>
      </c>
      <c r="N682" s="1"/>
      <c r="O682" s="1"/>
      <c r="P682" s="1"/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M683" si="125">IF(COLUMN() &lt; (COLUMN($H683) + (ROW()-ROW($H$681))), 0, IF(COLUMN() = (COLUMN($H$681) + (ROW()-ROW($H$681))), INDEX($H$664:$M$664, 1, COLUMN()-COLUMN($H$664)+1), IF(H668=0, OFFSET(H683, 0, -$H$665) * $H$678, 0)))</f>
        <v>0</v>
      </c>
      <c r="I683" s="186">
        <f t="shared" si="125"/>
        <v>0</v>
      </c>
      <c r="J683" s="186">
        <f t="shared" si="125"/>
        <v>216000</v>
      </c>
      <c r="K683" s="186">
        <f t="shared" si="125"/>
        <v>0</v>
      </c>
      <c r="L683" s="186">
        <f t="shared" si="125"/>
        <v>0</v>
      </c>
      <c r="M683" s="186">
        <f t="shared" si="125"/>
        <v>0</v>
      </c>
      <c r="N683" s="1"/>
      <c r="O683" s="1"/>
      <c r="P683" s="1"/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M684" si="126">IF(COLUMN() &lt; (COLUMN($H684) + (ROW()-ROW($H$681))), 0, IF(COLUMN() = (COLUMN($H$681) + (ROW()-ROW($H$681))), INDEX($H$664:$M$664,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86">
        <f t="shared" si="126"/>
        <v>0</v>
      </c>
      <c r="N684" s="1"/>
      <c r="O684" s="1"/>
      <c r="P684" s="1"/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M685" si="127">IF(COLUMN() &lt; (COLUMN($H685) + (ROW()-ROW($H$681))), 0, IF(COLUMN() = (COLUMN($H$681) + (ROW()-ROW($H$681))), INDEX($H$664:$M$664,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86">
        <f t="shared" si="127"/>
        <v>0</v>
      </c>
      <c r="N685" s="1"/>
      <c r="O685" s="1"/>
      <c r="P685" s="1"/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M686" si="128">IF(COLUMN() &lt; (COLUMN($H686) + (ROW()-ROW($H$681))), 0, IF(COLUMN() = (COLUMN($H$681) + (ROW()-ROW($H$681))), INDEX($H$664:$M$664,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86">
        <f t="shared" si="128"/>
        <v>576000</v>
      </c>
      <c r="N686" s="1"/>
      <c r="O686" s="1"/>
      <c r="P686" s="1"/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M687" si="129">IF(COLUMN() &lt; (COLUMN($H687) + (ROW()-ROW($H$681))), 0, IF(COLUMN() = (COLUMN($H$681) + (ROW()-ROW($H$681))), INDEX($H$664:$M$664,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86">
        <f t="shared" si="129"/>
        <v>0</v>
      </c>
      <c r="N687" s="1"/>
      <c r="O687" s="1"/>
      <c r="P687" s="1"/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M688" si="130">IF(COLUMN() &lt; (COLUMN($H688) + (ROW()-ROW($H$681))), 0, IF(COLUMN() = (COLUMN($H$681) + (ROW()-ROW($H$681))), INDEX($H$664:$M$664,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86">
        <f t="shared" si="130"/>
        <v>0</v>
      </c>
      <c r="N688" s="1"/>
      <c r="O688" s="1"/>
      <c r="P688" s="1"/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M689" si="131">IF(COLUMN() &lt; (COLUMN($H689) + (ROW()-ROW($H$681))), 0, IF(COLUMN() = (COLUMN($H$681) + (ROW()-ROW($H$681))), INDEX($H$664:$M$664,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86">
        <f t="shared" si="131"/>
        <v>0</v>
      </c>
      <c r="N689" s="1"/>
      <c r="O689" s="1"/>
      <c r="P689" s="1"/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M690" si="132">IF(COLUMN() &lt; (COLUMN($H690) + (ROW()-ROW($H$681))), 0, IF(COLUMN() = (COLUMN($H$681) + (ROW()-ROW($H$681))), INDEX($H$664:$M$664,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86">
        <f t="shared" si="132"/>
        <v>0</v>
      </c>
      <c r="N690" s="1"/>
      <c r="O690" s="1"/>
      <c r="P690" s="1"/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M691" si="133">IF(COLUMN() &lt; (COLUMN($H691) + (ROW()-ROW($H$681))), 0, IF(COLUMN() = (COLUMN($H$681) + (ROW()-ROW($H$681))), INDEX($H$664:$M$664,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86">
        <f t="shared" si="133"/>
        <v>0</v>
      </c>
      <c r="N691" s="1"/>
      <c r="O691" s="1"/>
      <c r="P691" s="1"/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M692" si="134">IF(COLUMN() &lt; (COLUMN($H692) + (ROW()-ROW($H$681))), 0, IF(COLUMN() = (COLUMN($H$681) + (ROW()-ROW($H$681))), INDEX($H$664:$M$664,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86">
        <f t="shared" si="134"/>
        <v>0</v>
      </c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84"/>
      <c r="N693" s="1"/>
      <c r="O693" s="1"/>
      <c r="P693" s="1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M694" si="135">H698</f>
        <v>22500</v>
      </c>
      <c r="I694" s="188">
        <f t="shared" si="135"/>
        <v>24750</v>
      </c>
      <c r="J694" s="188">
        <f t="shared" si="135"/>
        <v>27225</v>
      </c>
      <c r="K694" s="188">
        <f t="shared" si="135"/>
        <v>29947.5</v>
      </c>
      <c r="L694" s="188">
        <f t="shared" si="135"/>
        <v>32942.25</v>
      </c>
      <c r="M694" s="188">
        <f t="shared" si="135"/>
        <v>36236.475</v>
      </c>
      <c r="N694" s="16"/>
      <c r="O694" s="16"/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5</v>
      </c>
      <c r="I695" s="190">
        <f t="shared" ref="I695:M695" si="136">H695</f>
        <v>5</v>
      </c>
      <c r="J695" s="190">
        <f t="shared" si="136"/>
        <v>5</v>
      </c>
      <c r="K695" s="190">
        <f t="shared" si="136"/>
        <v>5</v>
      </c>
      <c r="L695" s="190">
        <f t="shared" si="136"/>
        <v>5</v>
      </c>
      <c r="M695" s="190">
        <f t="shared" si="136"/>
        <v>5</v>
      </c>
      <c r="N695" s="16"/>
      <c r="O695" s="16"/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M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88">
        <f t="shared" si="137"/>
        <v>7247.295</v>
      </c>
      <c r="N696" s="16"/>
      <c r="O696" s="16"/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54">
        <v>1.1</v>
      </c>
      <c r="N697" s="16"/>
      <c r="O697" s="16"/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M698" si="138">H695*H696</f>
        <v>22500</v>
      </c>
      <c r="I698" s="188">
        <f t="shared" si="138"/>
        <v>24750</v>
      </c>
      <c r="J698" s="188">
        <f t="shared" si="138"/>
        <v>27225</v>
      </c>
      <c r="K698" s="188">
        <f t="shared" si="138"/>
        <v>29947.5</v>
      </c>
      <c r="L698" s="188">
        <f t="shared" si="138"/>
        <v>32942.25</v>
      </c>
      <c r="M698" s="188">
        <f t="shared" si="138"/>
        <v>36236.475</v>
      </c>
      <c r="N698" s="16"/>
      <c r="O698" s="16"/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88"/>
      <c r="N699" s="16"/>
      <c r="O699" s="16"/>
      <c r="P699" s="16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83"/>
      <c r="N700" s="136"/>
      <c r="O700" s="136"/>
      <c r="P700" s="136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84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M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312000</v>
      </c>
      <c r="J702" s="180">
        <f t="shared" si="139"/>
        <v>168000</v>
      </c>
      <c r="K702" s="180">
        <f t="shared" si="139"/>
        <v>144000</v>
      </c>
      <c r="L702" s="180">
        <f t="shared" si="139"/>
        <v>96000</v>
      </c>
      <c r="M702" s="180">
        <f t="shared" si="139"/>
        <v>96000</v>
      </c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M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84" t="str">
        <f t="shared" si="140"/>
        <v/>
      </c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M704" si="141">SUM(H702:H703)</f>
        <v>0</v>
      </c>
      <c r="I704" s="184">
        <f t="shared" si="141"/>
        <v>312000</v>
      </c>
      <c r="J704" s="184">
        <f t="shared" si="141"/>
        <v>168000</v>
      </c>
      <c r="K704" s="184">
        <f t="shared" si="141"/>
        <v>144000</v>
      </c>
      <c r="L704" s="184">
        <f t="shared" si="141"/>
        <v>96000</v>
      </c>
      <c r="M704" s="184">
        <f t="shared" si="141"/>
        <v>96000</v>
      </c>
      <c r="N704" s="1"/>
      <c r="O704" s="1"/>
      <c r="P704" s="1"/>
      <c r="Q704" s="1"/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86"/>
      <c r="N705" s="1"/>
      <c r="O705" s="1"/>
      <c r="P705" s="1"/>
      <c r="Q705" s="1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M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86">
        <f t="shared" si="142"/>
        <v>1</v>
      </c>
      <c r="N706" s="1"/>
      <c r="O706" s="1"/>
      <c r="P706" s="1"/>
      <c r="Q706" s="1"/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M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86">
        <f t="shared" si="143"/>
        <v>0</v>
      </c>
      <c r="N707" s="1"/>
      <c r="O707" s="1"/>
      <c r="P707" s="1"/>
      <c r="Q707" s="1"/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M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86">
        <f t="shared" si="144"/>
        <v>1</v>
      </c>
      <c r="N708" s="1"/>
      <c r="O708" s="1"/>
      <c r="P708" s="1"/>
      <c r="Q708" s="1"/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M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86">
        <f t="shared" si="145"/>
        <v>0</v>
      </c>
      <c r="N709" s="1"/>
      <c r="O709" s="1"/>
      <c r="P709" s="1"/>
      <c r="Q709" s="1"/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M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86">
        <f t="shared" si="146"/>
        <v>1</v>
      </c>
      <c r="N710" s="1"/>
      <c r="O710" s="1"/>
      <c r="P710" s="1"/>
      <c r="Q710" s="1"/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M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86">
        <f t="shared" si="147"/>
        <v>2</v>
      </c>
      <c r="N711" s="1"/>
      <c r="O711" s="1"/>
      <c r="P711" s="1"/>
      <c r="Q711" s="1"/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M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86">
        <f t="shared" si="148"/>
        <v>0</v>
      </c>
      <c r="N712" s="1"/>
      <c r="O712" s="1"/>
      <c r="P712" s="1"/>
      <c r="Q712" s="1"/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M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86">
        <f t="shared" si="149"/>
        <v>0</v>
      </c>
      <c r="N713" s="1"/>
      <c r="O713" s="1"/>
      <c r="P713" s="1"/>
      <c r="Q713" s="1"/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M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86">
        <f t="shared" si="150"/>
        <v>0</v>
      </c>
      <c r="N714" s="1"/>
      <c r="O714" s="1"/>
      <c r="P714" s="1"/>
      <c r="Q714" s="1"/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M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86">
        <f t="shared" si="151"/>
        <v>0</v>
      </c>
      <c r="N715" s="1"/>
      <c r="O715" s="1"/>
      <c r="P715" s="1"/>
      <c r="Q715" s="1"/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M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86">
        <f t="shared" si="152"/>
        <v>0</v>
      </c>
      <c r="N716" s="1"/>
      <c r="O716" s="1"/>
      <c r="P716" s="1"/>
      <c r="Q716" s="1"/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M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86">
        <f t="shared" si="153"/>
        <v>0</v>
      </c>
      <c r="N717" s="1"/>
      <c r="O717" s="1"/>
      <c r="P717" s="1"/>
      <c r="Q717" s="1"/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86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55"/>
      <c r="N719" s="1"/>
      <c r="O719" s="1"/>
      <c r="P719" s="1"/>
      <c r="Q719" s="1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M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249600</v>
      </c>
      <c r="L720" s="184">
        <f t="shared" si="154"/>
        <v>134400</v>
      </c>
      <c r="M720" s="184">
        <f t="shared" si="154"/>
        <v>314880</v>
      </c>
      <c r="N720" s="1"/>
      <c r="O720" s="1"/>
      <c r="P720" s="1"/>
      <c r="Q720" s="1"/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M721" si="155">SUM(H722:H733)</f>
        <v>0</v>
      </c>
      <c r="I721" s="184">
        <f t="shared" si="155"/>
        <v>312000</v>
      </c>
      <c r="J721" s="184">
        <f t="shared" si="155"/>
        <v>168000</v>
      </c>
      <c r="K721" s="184">
        <f t="shared" si="155"/>
        <v>393600</v>
      </c>
      <c r="L721" s="184">
        <f t="shared" si="155"/>
        <v>230400</v>
      </c>
      <c r="M721" s="184">
        <f t="shared" si="155"/>
        <v>410880</v>
      </c>
      <c r="N721" s="1"/>
      <c r="O721" s="1"/>
      <c r="P721" s="1"/>
      <c r="Q721" s="1"/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M722" si="156">IF(COLUMN() &lt; (COLUMN($H$722) + (ROW()-ROW($H$722))), 0, IF(COLUMN() = (COLUMN($H$722) + (ROW()-ROW($H$722))), INDEX($H$704:$M$704,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86">
        <f t="shared" si="156"/>
        <v>0</v>
      </c>
      <c r="N722" s="1"/>
      <c r="O722" s="1"/>
      <c r="P722" s="1"/>
      <c r="Q722" s="1"/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M723" si="157">IF(COLUMN() &lt; (COLUMN($H$722) + (ROW()-ROW($H$722))), 0, IF(COLUMN() = (COLUMN($H$722) + (ROW()-ROW($H$722))), INDEX($H$704:$M$704, 1, COLUMN()-COLUMN($H$704)+1), IF(H707=0, OFFSET(H723, 0, -$H$705) * $H$719, 0)))</f>
        <v>0</v>
      </c>
      <c r="I723" s="186">
        <f t="shared" si="157"/>
        <v>312000</v>
      </c>
      <c r="J723" s="186">
        <f t="shared" si="157"/>
        <v>0</v>
      </c>
      <c r="K723" s="186">
        <f t="shared" si="157"/>
        <v>249600</v>
      </c>
      <c r="L723" s="186">
        <f t="shared" si="157"/>
        <v>0</v>
      </c>
      <c r="M723" s="186">
        <f t="shared" si="157"/>
        <v>199680</v>
      </c>
      <c r="N723" s="1"/>
      <c r="O723" s="1"/>
      <c r="P723" s="1"/>
      <c r="Q723" s="1"/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M724" si="158">IF(COLUMN() &lt; (COLUMN($H$722) + (ROW()-ROW($H$722))), 0, IF(COLUMN() = (COLUMN($H$722) + (ROW()-ROW($H$722))), INDEX($H$704:$M$704, 1, COLUMN()-COLUMN($H$704)+1), IF(H708=0, OFFSET(H724, 0, -$H$705) * $H$719, 0)))</f>
        <v>0</v>
      </c>
      <c r="I724" s="186">
        <f t="shared" si="158"/>
        <v>0</v>
      </c>
      <c r="J724" s="186">
        <f t="shared" si="158"/>
        <v>168000</v>
      </c>
      <c r="K724" s="186">
        <f t="shared" si="158"/>
        <v>0</v>
      </c>
      <c r="L724" s="186">
        <f t="shared" si="158"/>
        <v>134400</v>
      </c>
      <c r="M724" s="186">
        <f t="shared" si="158"/>
        <v>0</v>
      </c>
      <c r="N724" s="1"/>
      <c r="O724" s="1"/>
      <c r="P724" s="1"/>
      <c r="Q724" s="1"/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M725" si="159">IF(COLUMN() &lt; (COLUMN($H$722) + (ROW()-ROW($H$722))), 0, IF(COLUMN() = (COLUMN($H$722) + (ROW()-ROW($H$722))), INDEX($H$704:$M$704,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144000</v>
      </c>
      <c r="L725" s="186">
        <f t="shared" si="159"/>
        <v>0</v>
      </c>
      <c r="M725" s="186">
        <f t="shared" si="159"/>
        <v>115200</v>
      </c>
      <c r="N725" s="1"/>
      <c r="O725" s="1"/>
      <c r="P725" s="1"/>
      <c r="Q725" s="1"/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M726" si="160">IF(COLUMN() &lt; (COLUMN($H$722) + (ROW()-ROW($H$722))), 0, IF(COLUMN() = (COLUMN($H$722) + (ROW()-ROW($H$722))), INDEX($H$704:$M$704,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96000</v>
      </c>
      <c r="M726" s="186">
        <f t="shared" si="160"/>
        <v>0</v>
      </c>
      <c r="N726" s="1"/>
      <c r="O726" s="1"/>
      <c r="P726" s="1"/>
      <c r="Q726" s="1"/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M727" si="161">IF(COLUMN() &lt; (COLUMN($H$722) + (ROW()-ROW($H$722))), 0, IF(COLUMN() = (COLUMN($H$722) + (ROW()-ROW($H$722))), INDEX($H$704:$M$704,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86">
        <f t="shared" si="161"/>
        <v>96000</v>
      </c>
      <c r="N727" s="1"/>
      <c r="O727" s="1"/>
      <c r="P727" s="1"/>
      <c r="Q727" s="1"/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M728" si="162">IF(COLUMN() &lt; (COLUMN($H$722) + (ROW()-ROW($H$722))), 0, IF(COLUMN() = (COLUMN($H$722) + (ROW()-ROW($H$722))), INDEX($H$704:$M$704,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86">
        <f t="shared" si="162"/>
        <v>0</v>
      </c>
      <c r="N728" s="1"/>
      <c r="O728" s="1"/>
      <c r="P728" s="1"/>
      <c r="Q728" s="1"/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M729" si="163">IF(COLUMN() &lt; (COLUMN($H$722) + (ROW()-ROW($H$722))), 0, IF(COLUMN() = (COLUMN($H$722) + (ROW()-ROW($H$722))), INDEX($H$704:$M$704,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86">
        <f t="shared" si="163"/>
        <v>0</v>
      </c>
      <c r="N729" s="1"/>
      <c r="O729" s="1"/>
      <c r="P729" s="1"/>
      <c r="Q729" s="1"/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M730" si="164">IF(COLUMN() &lt; (COLUMN($H$722) + (ROW()-ROW($H$722))), 0, IF(COLUMN() = (COLUMN($H$722) + (ROW()-ROW($H$722))), INDEX($H$704:$M$704,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86">
        <f t="shared" si="164"/>
        <v>0</v>
      </c>
      <c r="N730" s="1"/>
      <c r="O730" s="1"/>
      <c r="P730" s="1"/>
      <c r="Q730" s="1"/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M731" si="165">IF(COLUMN() &lt; (COLUMN($H$722) + (ROW()-ROW($H$722))), 0, IF(COLUMN() = (COLUMN($H$722) + (ROW()-ROW($H$722))), INDEX($H$704:$M$704,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86">
        <f t="shared" si="165"/>
        <v>0</v>
      </c>
      <c r="N731" s="1"/>
      <c r="O731" s="1"/>
      <c r="P731" s="1"/>
      <c r="Q731" s="1"/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M732" si="166">IF(COLUMN() &lt; (COLUMN($H$722) + (ROW()-ROW($H$722))), 0, IF(COLUMN() = (COLUMN($H$722) + (ROW()-ROW($H$722))), INDEX($H$704:$M$704,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86">
        <f t="shared" si="166"/>
        <v>0</v>
      </c>
      <c r="N732" s="1"/>
      <c r="O732" s="1"/>
      <c r="P732" s="1"/>
      <c r="Q732" s="1"/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M733" si="167">IF(COLUMN() &lt; (COLUMN($H$722) + (ROW()-ROW($H$722))), 0, IF(COLUMN() = (COLUMN($H$722) + (ROW()-ROW($H$722))), INDEX($H$704:$M$704,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86">
        <f t="shared" si="167"/>
        <v>0</v>
      </c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86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M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84">
        <f t="shared" si="168"/>
        <v>0</v>
      </c>
      <c r="M735" s="184">
        <f t="shared" si="168"/>
        <v>0</v>
      </c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M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2142000</v>
      </c>
      <c r="J736" s="180">
        <f t="shared" si="169"/>
        <v>1134000</v>
      </c>
      <c r="K736" s="180">
        <f t="shared" si="169"/>
        <v>1008000</v>
      </c>
      <c r="L736" s="180">
        <f t="shared" si="169"/>
        <v>672000</v>
      </c>
      <c r="M736" s="180">
        <f t="shared" si="169"/>
        <v>672000</v>
      </c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M737" si="170">H486</f>
        <v>3281040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84" t="str">
        <f t="shared" si="170"/>
        <v/>
      </c>
      <c r="M737" s="184" t="str">
        <f t="shared" si="170"/>
        <v/>
      </c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M738" si="171">SUM(H736:H737)</f>
        <v>3281040</v>
      </c>
      <c r="I738" s="184">
        <f t="shared" si="171"/>
        <v>2142000</v>
      </c>
      <c r="J738" s="184">
        <f t="shared" si="171"/>
        <v>1134000</v>
      </c>
      <c r="K738" s="184">
        <f t="shared" si="171"/>
        <v>1008000</v>
      </c>
      <c r="L738" s="184">
        <f t="shared" si="171"/>
        <v>672000</v>
      </c>
      <c r="M738" s="184">
        <f t="shared" si="171"/>
        <v>672000</v>
      </c>
      <c r="N738" s="1"/>
      <c r="O738" s="1"/>
      <c r="P738" s="1"/>
      <c r="Q738" s="1"/>
      <c r="R738" s="1"/>
      <c r="S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86"/>
      <c r="N739" s="1"/>
      <c r="O739" s="1"/>
      <c r="P739" s="1"/>
      <c r="Q739" s="1"/>
      <c r="R739" s="1"/>
      <c r="S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M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86">
        <f t="shared" si="172"/>
        <v>3</v>
      </c>
      <c r="M740" s="186">
        <f t="shared" si="172"/>
        <v>2</v>
      </c>
      <c r="N740" s="1"/>
      <c r="O740" s="1"/>
      <c r="P740" s="1"/>
      <c r="Q740" s="1"/>
      <c r="R740" s="1"/>
      <c r="S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M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86">
        <f t="shared" si="173"/>
        <v>4</v>
      </c>
      <c r="M741" s="186">
        <f t="shared" si="173"/>
        <v>3</v>
      </c>
      <c r="N741" s="1"/>
      <c r="O741" s="1"/>
      <c r="P741" s="1"/>
      <c r="Q741" s="1"/>
      <c r="R741" s="1"/>
      <c r="S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M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86">
        <f t="shared" si="174"/>
        <v>5</v>
      </c>
      <c r="M742" s="186">
        <f t="shared" si="174"/>
        <v>4</v>
      </c>
      <c r="N742" s="1"/>
      <c r="O742" s="1"/>
      <c r="P742" s="1"/>
      <c r="Q742" s="1"/>
      <c r="R742" s="1"/>
      <c r="S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M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86">
        <f t="shared" si="175"/>
        <v>6</v>
      </c>
      <c r="M743" s="186">
        <f t="shared" si="175"/>
        <v>5</v>
      </c>
      <c r="N743" s="1"/>
      <c r="O743" s="1"/>
      <c r="P743" s="1"/>
      <c r="Q743" s="1"/>
      <c r="R743" s="1"/>
      <c r="S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M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86">
        <f t="shared" si="176"/>
        <v>7</v>
      </c>
      <c r="M744" s="186">
        <f t="shared" si="176"/>
        <v>6</v>
      </c>
      <c r="N744" s="1"/>
      <c r="O744" s="1"/>
      <c r="P744" s="1"/>
      <c r="Q744" s="1"/>
      <c r="R744" s="1"/>
      <c r="S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M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86">
        <f t="shared" si="177"/>
        <v>0</v>
      </c>
      <c r="M745" s="186">
        <f t="shared" si="177"/>
        <v>7</v>
      </c>
      <c r="N745" s="1"/>
      <c r="O745" s="1"/>
      <c r="P745" s="1"/>
      <c r="Q745" s="1"/>
      <c r="R745" s="1"/>
      <c r="S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M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86">
        <f t="shared" si="178"/>
        <v>0</v>
      </c>
      <c r="M746" s="186">
        <f t="shared" si="178"/>
        <v>0</v>
      </c>
      <c r="N746" s="1"/>
      <c r="O746" s="1"/>
      <c r="P746" s="1"/>
      <c r="Q746" s="1"/>
      <c r="R746" s="1"/>
      <c r="S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M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86">
        <f t="shared" si="179"/>
        <v>0</v>
      </c>
      <c r="M747" s="186">
        <f t="shared" si="179"/>
        <v>0</v>
      </c>
      <c r="N747" s="1"/>
      <c r="O747" s="1"/>
      <c r="P747" s="1"/>
      <c r="Q747" s="1"/>
      <c r="R747" s="1"/>
      <c r="S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M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86">
        <f t="shared" si="180"/>
        <v>0</v>
      </c>
      <c r="M748" s="186">
        <f t="shared" si="180"/>
        <v>0</v>
      </c>
      <c r="N748" s="1"/>
      <c r="O748" s="1"/>
      <c r="P748" s="1"/>
      <c r="Q748" s="1"/>
      <c r="R748" s="1"/>
      <c r="S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M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86">
        <f t="shared" si="181"/>
        <v>0</v>
      </c>
      <c r="M749" s="186">
        <f t="shared" si="181"/>
        <v>0</v>
      </c>
      <c r="N749" s="1"/>
      <c r="O749" s="1"/>
      <c r="P749" s="1"/>
      <c r="Q749" s="1"/>
      <c r="R749" s="1"/>
      <c r="S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M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86">
        <f t="shared" si="182"/>
        <v>0</v>
      </c>
      <c r="M750" s="186">
        <f t="shared" si="182"/>
        <v>0</v>
      </c>
      <c r="N750" s="1"/>
      <c r="O750" s="1"/>
      <c r="P750" s="1"/>
      <c r="Q750" s="1"/>
      <c r="R750" s="1"/>
      <c r="S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M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86">
        <f t="shared" si="183"/>
        <v>0</v>
      </c>
      <c r="M751" s="186">
        <f t="shared" si="183"/>
        <v>0</v>
      </c>
      <c r="N751" s="1"/>
      <c r="O751" s="1"/>
      <c r="P751" s="1"/>
      <c r="Q751" s="1"/>
      <c r="R751" s="1"/>
      <c r="S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86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55"/>
      <c r="N753" s="1"/>
      <c r="O753" s="1"/>
      <c r="P753" s="1"/>
      <c r="Q753" s="1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M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84">
        <f t="shared" si="184"/>
        <v>0</v>
      </c>
      <c r="M754" s="184">
        <f t="shared" si="184"/>
        <v>0</v>
      </c>
      <c r="N754" s="1"/>
      <c r="O754" s="1"/>
      <c r="P754" s="1"/>
      <c r="Q754" s="1"/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M755" si="185">SUM(H756:H767)</f>
        <v>3281040</v>
      </c>
      <c r="I755" s="184">
        <f t="shared" si="185"/>
        <v>2142000</v>
      </c>
      <c r="J755" s="184">
        <f t="shared" si="185"/>
        <v>1134000</v>
      </c>
      <c r="K755" s="184">
        <f t="shared" si="185"/>
        <v>1008000</v>
      </c>
      <c r="L755" s="184">
        <f t="shared" si="185"/>
        <v>672000</v>
      </c>
      <c r="M755" s="184">
        <f t="shared" si="185"/>
        <v>672000</v>
      </c>
      <c r="N755" s="1"/>
      <c r="O755" s="1"/>
      <c r="P755" s="1"/>
      <c r="Q755" s="1"/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M756" si="186">IF(COLUMN() &lt; (COLUMN($H$756) + (ROW()-ROW($H$756))), 0, IF(COLUMN() = (COLUMN($H$756) + (ROW()-ROW($H$756))), INDEX($H$738:$M$738, 1, COLUMN()-COLUMN($H$738)+1), IF(H740=0, OFFSET(H756, 0, -$H$739) * $H$753, 0)))</f>
        <v>3281040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86">
        <f t="shared" si="186"/>
        <v>0</v>
      </c>
      <c r="M756" s="186">
        <f t="shared" si="186"/>
        <v>0</v>
      </c>
      <c r="N756" s="1"/>
      <c r="O756" s="1"/>
      <c r="P756" s="1"/>
      <c r="Q756" s="1"/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M757" si="187">IF(COLUMN() &lt; (COLUMN($H$756) + (ROW()-ROW($H$756))), 0, IF(COLUMN() = (COLUMN($H$756) + (ROW()-ROW($H$756))), INDEX($H$738:$M$738, 1, COLUMN()-COLUMN($H$738)+1), IF(H741=0, OFFSET(H757, 0, -$H$739) * $H$753, 0)))</f>
        <v>0</v>
      </c>
      <c r="I757" s="186">
        <f t="shared" si="187"/>
        <v>2142000</v>
      </c>
      <c r="J757" s="186">
        <f t="shared" si="187"/>
        <v>0</v>
      </c>
      <c r="K757" s="186">
        <f t="shared" si="187"/>
        <v>0</v>
      </c>
      <c r="L757" s="186">
        <f t="shared" si="187"/>
        <v>0</v>
      </c>
      <c r="M757" s="186">
        <f t="shared" si="187"/>
        <v>0</v>
      </c>
      <c r="N757" s="1"/>
      <c r="O757" s="1"/>
      <c r="P757" s="1"/>
      <c r="Q757" s="1"/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M758" si="188">IF(COLUMN() &lt; (COLUMN($H$756) + (ROW()-ROW($H$756))), 0, IF(COLUMN() = (COLUMN($H$756) + (ROW()-ROW($H$756))), INDEX($H$738:$M$738, 1, COLUMN()-COLUMN($H$738)+1), IF(H742=0, OFFSET(H758, 0, -$H$739) * $H$753, 0)))</f>
        <v>0</v>
      </c>
      <c r="I758" s="186">
        <f t="shared" si="188"/>
        <v>0</v>
      </c>
      <c r="J758" s="186">
        <f t="shared" si="188"/>
        <v>1134000</v>
      </c>
      <c r="K758" s="186">
        <f t="shared" si="188"/>
        <v>0</v>
      </c>
      <c r="L758" s="186">
        <f t="shared" si="188"/>
        <v>0</v>
      </c>
      <c r="M758" s="186">
        <f t="shared" si="188"/>
        <v>0</v>
      </c>
      <c r="N758" s="1"/>
      <c r="O758" s="1"/>
      <c r="P758" s="1"/>
      <c r="Q758" s="1"/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M759" si="189">IF(COLUMN() &lt; (COLUMN($H$756) + (ROW()-ROW($H$756))), 0, IF(COLUMN() = (COLUMN($H$756) + (ROW()-ROW($H$756))), INDEX($H$738:$M$738,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1008000</v>
      </c>
      <c r="L759" s="186">
        <f t="shared" si="189"/>
        <v>0</v>
      </c>
      <c r="M759" s="186">
        <f t="shared" si="189"/>
        <v>0</v>
      </c>
      <c r="N759" s="1"/>
      <c r="O759" s="1"/>
      <c r="P759" s="1"/>
      <c r="Q759" s="1"/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M760" si="190">IF(COLUMN() &lt; (COLUMN($H$756) + (ROW()-ROW($H$756))), 0, IF(COLUMN() = (COLUMN($H$756) + (ROW()-ROW($H$756))), INDEX($H$738:$M$738,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86">
        <f t="shared" si="190"/>
        <v>672000</v>
      </c>
      <c r="M760" s="186">
        <f t="shared" si="190"/>
        <v>0</v>
      </c>
      <c r="N760" s="1"/>
      <c r="O760" s="1"/>
      <c r="P760" s="1"/>
      <c r="Q760" s="1"/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M761" si="191">IF(COLUMN() &lt; (COLUMN($H$756) + (ROW()-ROW($H$756))), 0, IF(COLUMN() = (COLUMN($H$756) + (ROW()-ROW($H$756))), INDEX($H$738:$M$738,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86">
        <f t="shared" si="191"/>
        <v>0</v>
      </c>
      <c r="M761" s="186">
        <f t="shared" si="191"/>
        <v>672000</v>
      </c>
      <c r="N761" s="1"/>
      <c r="O761" s="1"/>
      <c r="P761" s="1"/>
      <c r="Q761" s="1"/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M762" si="192">IF(COLUMN() &lt; (COLUMN($H$756) + (ROW()-ROW($H$756))), 0, IF(COLUMN() = (COLUMN($H$756) + (ROW()-ROW($H$756))), INDEX($H$738:$M$738,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86">
        <f t="shared" si="192"/>
        <v>0</v>
      </c>
      <c r="M762" s="186">
        <f t="shared" si="192"/>
        <v>0</v>
      </c>
      <c r="N762" s="1"/>
      <c r="O762" s="1"/>
      <c r="P762" s="1"/>
      <c r="Q762" s="1"/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M763" si="193">IF(COLUMN() &lt; (COLUMN($H$756) + (ROW()-ROW($H$756))), 0, IF(COLUMN() = (COLUMN($H$756) + (ROW()-ROW($H$756))), INDEX($H$738:$M$738,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86">
        <f t="shared" si="193"/>
        <v>0</v>
      </c>
      <c r="M763" s="186">
        <f t="shared" si="193"/>
        <v>0</v>
      </c>
      <c r="N763" s="1"/>
      <c r="O763" s="1"/>
      <c r="P763" s="1"/>
      <c r="Q763" s="1"/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M764" si="194">IF(COLUMN() &lt; (COLUMN($H$756) + (ROW()-ROW($H$756))), 0, IF(COLUMN() = (COLUMN($H$756) + (ROW()-ROW($H$756))), INDEX($H$738:$M$738,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86">
        <f t="shared" si="194"/>
        <v>0</v>
      </c>
      <c r="M764" s="186">
        <f t="shared" si="194"/>
        <v>0</v>
      </c>
      <c r="N764" s="1"/>
      <c r="O764" s="1"/>
      <c r="P764" s="1"/>
      <c r="Q764" s="1"/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M765" si="195">IF(COLUMN() &lt; (COLUMN($H$756) + (ROW()-ROW($H$756))), 0, IF(COLUMN() = (COLUMN($H$756) + (ROW()-ROW($H$756))), INDEX($H$738:$M$738,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86">
        <f t="shared" si="195"/>
        <v>0</v>
      </c>
      <c r="M765" s="186">
        <f t="shared" si="195"/>
        <v>0</v>
      </c>
      <c r="N765" s="1"/>
      <c r="O765" s="1"/>
      <c r="P765" s="1"/>
      <c r="Q765" s="1"/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M766" si="196">IF(COLUMN() &lt; (COLUMN($H$756) + (ROW()-ROW($H$756))), 0, IF(COLUMN() = (COLUMN($H$756) + (ROW()-ROW($H$756))), INDEX($H$738:$M$738,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86">
        <f t="shared" si="196"/>
        <v>0</v>
      </c>
      <c r="M766" s="186">
        <f t="shared" si="196"/>
        <v>0</v>
      </c>
      <c r="N766" s="1"/>
      <c r="O766" s="1"/>
      <c r="P766" s="1"/>
      <c r="Q766" s="1"/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M767" si="197">IF(COLUMN() &lt; (COLUMN($H$756) + (ROW()-ROW($H$756))), 0, IF(COLUMN() = (COLUMN($H$756) + (ROW()-ROW($H$756))), INDEX($H$738:$M$738,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86">
        <f t="shared" si="197"/>
        <v>0</v>
      </c>
      <c r="M767" s="186">
        <f t="shared" si="197"/>
        <v>0</v>
      </c>
      <c r="N767" s="1"/>
      <c r="O767" s="1"/>
      <c r="P767" s="1"/>
      <c r="Q767" s="1"/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M768" si="198">IF(COLUMN() &lt; (COLUMN($H$756) + (ROW()-ROW($H$756))), 0, IF(COLUMN() = (COLUMN($H$756) + (ROW()-ROW($H$756))), INDEX($H$738:$M$738,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86">
        <f t="shared" si="198"/>
        <v>0</v>
      </c>
      <c r="M768" s="186">
        <f t="shared" si="198"/>
        <v>0</v>
      </c>
      <c r="N768" s="192"/>
      <c r="O768" s="192"/>
      <c r="P768" s="192"/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86"/>
      <c r="N769" s="192"/>
      <c r="O769" s="192"/>
      <c r="P769" s="192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M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88">
        <f t="shared" si="199"/>
        <v>0</v>
      </c>
      <c r="M770" s="188">
        <f t="shared" si="199"/>
        <v>0</v>
      </c>
      <c r="N770" s="192"/>
      <c r="O770" s="192"/>
      <c r="P770" s="192"/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M771" si="200">H771</f>
        <v>0</v>
      </c>
      <c r="J771" s="190">
        <f t="shared" si="200"/>
        <v>0</v>
      </c>
      <c r="K771" s="190">
        <f t="shared" si="200"/>
        <v>0</v>
      </c>
      <c r="L771" s="190">
        <f t="shared" si="200"/>
        <v>0</v>
      </c>
      <c r="M771" s="190">
        <f t="shared" si="200"/>
        <v>0</v>
      </c>
      <c r="N771" s="192"/>
      <c r="O771" s="192"/>
      <c r="P771" s="192"/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M772" si="201">H772*H773</f>
        <v>0</v>
      </c>
      <c r="J772" s="188">
        <f t="shared" si="201"/>
        <v>0</v>
      </c>
      <c r="K772" s="188">
        <f t="shared" si="201"/>
        <v>0</v>
      </c>
      <c r="L772" s="188">
        <f t="shared" si="201"/>
        <v>0</v>
      </c>
      <c r="M772" s="188">
        <f t="shared" si="201"/>
        <v>0</v>
      </c>
      <c r="N772" s="192"/>
      <c r="O772" s="192"/>
      <c r="P772" s="192"/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54">
        <v>0.0</v>
      </c>
      <c r="N773" s="192"/>
      <c r="O773" s="192"/>
      <c r="P773" s="192"/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M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88">
        <f t="shared" si="202"/>
        <v>0</v>
      </c>
      <c r="M774" s="188">
        <f t="shared" si="202"/>
        <v>0</v>
      </c>
      <c r="N774" s="192"/>
      <c r="O774" s="192"/>
      <c r="P774" s="192"/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5"/>
      <c r="N775" s="192"/>
      <c r="O775" s="192"/>
      <c r="P775" s="192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5"/>
      <c r="N776" s="192"/>
      <c r="O776" s="192"/>
      <c r="P776" s="192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18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63"/>
      <c r="N778" s="1"/>
      <c r="O778" s="1"/>
      <c r="P778" s="1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M779" si="203">SUM(H782,H785,H788,H791,H794)</f>
        <v>0</v>
      </c>
      <c r="I779" s="173">
        <f t="shared" si="203"/>
        <v>8572000</v>
      </c>
      <c r="J779" s="173">
        <f t="shared" si="203"/>
        <v>5534000</v>
      </c>
      <c r="K779" s="173">
        <f t="shared" si="203"/>
        <v>4026000</v>
      </c>
      <c r="L779" s="173">
        <f t="shared" si="203"/>
        <v>2686000</v>
      </c>
      <c r="M779" s="173">
        <f t="shared" si="203"/>
        <v>5467000</v>
      </c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380</v>
      </c>
      <c r="E781" s="1"/>
      <c r="F781" s="1"/>
      <c r="G781" s="128"/>
      <c r="H781" s="128">
        <f t="shared" ref="H781:M781" si="204">IFERROR(H782/H$779,0)</f>
        <v>0</v>
      </c>
      <c r="I781" s="128">
        <f t="shared" si="204"/>
        <v>0.4153056463</v>
      </c>
      <c r="J781" s="128">
        <f t="shared" si="204"/>
        <v>0.447415974</v>
      </c>
      <c r="K781" s="128">
        <f t="shared" si="204"/>
        <v>0.4153005464</v>
      </c>
      <c r="L781" s="128">
        <f t="shared" si="204"/>
        <v>0.4169769173</v>
      </c>
      <c r="M781" s="128">
        <f t="shared" si="204"/>
        <v>0.4914944211</v>
      </c>
      <c r="N781" s="1"/>
      <c r="O781" s="1"/>
      <c r="P781" s="1"/>
      <c r="Q781" s="1"/>
      <c r="R781" s="1"/>
      <c r="S781" s="1"/>
    </row>
    <row r="782">
      <c r="A782" s="1"/>
      <c r="B782" s="1"/>
      <c r="C782" s="176" t="s">
        <v>285</v>
      </c>
      <c r="D782" s="176" t="s">
        <v>381</v>
      </c>
      <c r="E782" s="1"/>
      <c r="F782" s="1"/>
      <c r="G782" s="173"/>
      <c r="H782" s="173">
        <f t="shared" ref="H782:M782" si="205">SUM(H827,H872,H917,H963,H1008)</f>
        <v>0</v>
      </c>
      <c r="I782" s="173">
        <f t="shared" si="205"/>
        <v>3560000</v>
      </c>
      <c r="J782" s="173">
        <f t="shared" si="205"/>
        <v>2476000</v>
      </c>
      <c r="K782" s="173">
        <f t="shared" si="205"/>
        <v>1672000</v>
      </c>
      <c r="L782" s="173">
        <f t="shared" si="205"/>
        <v>1120000</v>
      </c>
      <c r="M782" s="173">
        <f t="shared" si="205"/>
        <v>2687000</v>
      </c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78"/>
      <c r="N783" s="1"/>
      <c r="O783" s="1"/>
      <c r="P783" s="1"/>
      <c r="Q783" s="1"/>
      <c r="R783" s="1"/>
      <c r="S783" s="1"/>
    </row>
    <row r="784">
      <c r="A784" s="1"/>
      <c r="B784" s="1"/>
      <c r="C784" s="176" t="s">
        <v>287</v>
      </c>
      <c r="D784" s="176" t="s">
        <v>382</v>
      </c>
      <c r="E784" s="1"/>
      <c r="F784" s="1"/>
      <c r="G784" s="128"/>
      <c r="H784" s="128">
        <f t="shared" ref="H784:M784" si="206">IFERROR(H785/H$779,0)</f>
        <v>0</v>
      </c>
      <c r="I784" s="128">
        <f t="shared" si="206"/>
        <v>0.2984134391</v>
      </c>
      <c r="J784" s="128">
        <f t="shared" si="206"/>
        <v>0.2739428984</v>
      </c>
      <c r="K784" s="128">
        <f t="shared" si="206"/>
        <v>0.2985593641</v>
      </c>
      <c r="L784" s="128">
        <f t="shared" si="206"/>
        <v>0.2970960536</v>
      </c>
      <c r="M784" s="128">
        <f t="shared" si="206"/>
        <v>0.2264496067</v>
      </c>
      <c r="N784" s="1"/>
      <c r="O784" s="1"/>
      <c r="P784" s="1"/>
      <c r="Q784" s="1"/>
      <c r="R784" s="1"/>
      <c r="S784" s="1"/>
    </row>
    <row r="785">
      <c r="A785" s="1"/>
      <c r="B785" s="1"/>
      <c r="C785" s="176" t="s">
        <v>285</v>
      </c>
      <c r="D785" s="176" t="s">
        <v>383</v>
      </c>
      <c r="E785" s="1"/>
      <c r="F785" s="1"/>
      <c r="G785" s="173"/>
      <c r="H785" s="173">
        <f t="shared" ref="H785:M785" si="207">SUM(H830,H875,H920,H966,H1011)</f>
        <v>0</v>
      </c>
      <c r="I785" s="173">
        <f t="shared" si="207"/>
        <v>2558000</v>
      </c>
      <c r="J785" s="173">
        <f t="shared" si="207"/>
        <v>1516000</v>
      </c>
      <c r="K785" s="173">
        <f t="shared" si="207"/>
        <v>1202000</v>
      </c>
      <c r="L785" s="173">
        <f t="shared" si="207"/>
        <v>798000</v>
      </c>
      <c r="M785" s="173">
        <f t="shared" si="207"/>
        <v>1238000</v>
      </c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78"/>
      <c r="N786" s="1"/>
      <c r="O786" s="1"/>
      <c r="P786" s="1"/>
      <c r="Q786" s="1"/>
      <c r="R786" s="1"/>
      <c r="S786" s="1"/>
    </row>
    <row r="787">
      <c r="A787" s="1"/>
      <c r="B787" s="1"/>
      <c r="C787" s="176" t="s">
        <v>287</v>
      </c>
      <c r="D787" s="13" t="s">
        <v>384</v>
      </c>
      <c r="E787" s="1"/>
      <c r="F787" s="1"/>
      <c r="G787" s="128"/>
      <c r="H787" s="128">
        <f t="shared" ref="H787:M787" si="208">IFERROR(H788/H$779,0)</f>
        <v>0</v>
      </c>
      <c r="I787" s="128">
        <f t="shared" si="208"/>
        <v>0.0363975735</v>
      </c>
      <c r="J787" s="128">
        <f t="shared" si="208"/>
        <v>0.03469461511</v>
      </c>
      <c r="K787" s="128">
        <f t="shared" si="208"/>
        <v>0.03576751118</v>
      </c>
      <c r="L787" s="128">
        <f t="shared" si="208"/>
        <v>0.03574087863</v>
      </c>
      <c r="M787" s="128">
        <f t="shared" si="208"/>
        <v>0.03548564112</v>
      </c>
      <c r="N787" s="1"/>
      <c r="O787" s="1"/>
      <c r="P787" s="1"/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385</v>
      </c>
      <c r="E788" s="1"/>
      <c r="F788" s="1"/>
      <c r="G788" s="173"/>
      <c r="H788" s="173">
        <f t="shared" ref="H788:M788" si="209">SUM(H833,H878,H923)</f>
        <v>0</v>
      </c>
      <c r="I788" s="173">
        <f t="shared" si="209"/>
        <v>312000</v>
      </c>
      <c r="J788" s="173">
        <f t="shared" si="209"/>
        <v>192000</v>
      </c>
      <c r="K788" s="173">
        <f t="shared" si="209"/>
        <v>144000</v>
      </c>
      <c r="L788" s="173">
        <f t="shared" si="209"/>
        <v>96000</v>
      </c>
      <c r="M788" s="173">
        <f t="shared" si="209"/>
        <v>194000</v>
      </c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78"/>
      <c r="M789" s="178"/>
      <c r="N789" s="1"/>
      <c r="O789" s="1"/>
      <c r="P789" s="1"/>
      <c r="Q789" s="1"/>
      <c r="R789" s="1"/>
      <c r="S789" s="1"/>
    </row>
    <row r="790">
      <c r="A790" s="1"/>
      <c r="B790" s="1"/>
      <c r="C790" s="176" t="s">
        <v>287</v>
      </c>
      <c r="D790" s="13" t="s">
        <v>386</v>
      </c>
      <c r="E790" s="1"/>
      <c r="F790" s="1"/>
      <c r="G790" s="128"/>
      <c r="H790" s="128">
        <f t="shared" ref="H790:M790" si="210">IFERROR(H791/H$779,0)</f>
        <v>0</v>
      </c>
      <c r="I790" s="128">
        <f t="shared" si="210"/>
        <v>0.2498833411</v>
      </c>
      <c r="J790" s="128">
        <f t="shared" si="210"/>
        <v>0.2439465125</v>
      </c>
      <c r="K790" s="128">
        <f t="shared" si="210"/>
        <v>0.2503725782</v>
      </c>
      <c r="L790" s="128">
        <f t="shared" si="210"/>
        <v>0.2501861504</v>
      </c>
      <c r="M790" s="128">
        <f t="shared" si="210"/>
        <v>0.2465703311</v>
      </c>
      <c r="N790" s="1"/>
      <c r="O790" s="1"/>
      <c r="P790" s="1"/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387</v>
      </c>
      <c r="E791" s="1"/>
      <c r="F791" s="1"/>
      <c r="G791" s="173"/>
      <c r="H791" s="173">
        <f t="shared" ref="H791:M791" si="211">SUM(H836,H881,H926)</f>
        <v>0</v>
      </c>
      <c r="I791" s="173">
        <f t="shared" si="211"/>
        <v>2142000</v>
      </c>
      <c r="J791" s="173">
        <f t="shared" si="211"/>
        <v>1350000</v>
      </c>
      <c r="K791" s="173">
        <f t="shared" si="211"/>
        <v>1008000</v>
      </c>
      <c r="L791" s="173">
        <f t="shared" si="211"/>
        <v>672000</v>
      </c>
      <c r="M791" s="173">
        <f t="shared" si="211"/>
        <v>1348000</v>
      </c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43"/>
      <c r="L792" s="143"/>
      <c r="M792" s="143"/>
      <c r="N792" s="1"/>
      <c r="O792" s="1"/>
      <c r="P792" s="1"/>
      <c r="Q792" s="1"/>
      <c r="R792" s="1"/>
      <c r="S792" s="1"/>
    </row>
    <row r="793">
      <c r="A793" s="1"/>
      <c r="B793" s="1"/>
      <c r="C793" s="176" t="s">
        <v>287</v>
      </c>
      <c r="D793" s="176" t="s">
        <v>388</v>
      </c>
      <c r="E793" s="1"/>
      <c r="F793" s="1"/>
      <c r="G793" s="128"/>
      <c r="H793" s="128">
        <f t="shared" ref="H793:M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28">
        <f t="shared" si="212"/>
        <v>0</v>
      </c>
      <c r="M793" s="128">
        <f t="shared" si="212"/>
        <v>0</v>
      </c>
      <c r="N793" s="1"/>
      <c r="O793" s="1"/>
      <c r="P793" s="1"/>
      <c r="Q793" s="1"/>
      <c r="R793" s="1"/>
      <c r="S793" s="1"/>
    </row>
    <row r="794">
      <c r="A794" s="1"/>
      <c r="B794" s="1"/>
      <c r="C794" s="176" t="s">
        <v>285</v>
      </c>
      <c r="D794" s="176" t="s">
        <v>389</v>
      </c>
      <c r="E794" s="1"/>
      <c r="F794" s="1"/>
      <c r="G794" s="173"/>
      <c r="H794" s="173">
        <f t="shared" ref="H794:M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73">
        <f t="shared" si="213"/>
        <v>0</v>
      </c>
      <c r="M794" s="173">
        <f t="shared" si="213"/>
        <v>0</v>
      </c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43"/>
      <c r="M795" s="143"/>
      <c r="N795" s="1"/>
      <c r="O795" s="1"/>
      <c r="P795" s="1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32</v>
      </c>
      <c r="I797" s="197"/>
      <c r="J797" s="197"/>
      <c r="K797" s="197"/>
      <c r="L797" s="197"/>
      <c r="M797" s="197"/>
      <c r="N797" s="198"/>
      <c r="O797" s="198"/>
      <c r="P797" s="198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0.0196055625</v>
      </c>
      <c r="H798" s="149">
        <f>SUM($H$416)</f>
        <v>3136890</v>
      </c>
      <c r="I798" s="197"/>
      <c r="J798" s="197"/>
      <c r="K798" s="197"/>
      <c r="L798" s="197"/>
      <c r="M798" s="197"/>
      <c r="N798" s="172"/>
      <c r="O798" s="172"/>
      <c r="P798" s="172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56"/>
      <c r="N799" s="160"/>
      <c r="O799" s="160"/>
      <c r="P799" s="160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160000000</v>
      </c>
      <c r="I800" s="149"/>
      <c r="J800" s="149"/>
      <c r="K800" s="149"/>
      <c r="L800" s="149"/>
      <c r="M800" s="149"/>
      <c r="N800" s="160"/>
      <c r="O800" s="160"/>
      <c r="P800" s="160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49"/>
      <c r="N801" s="160"/>
      <c r="O801" s="160"/>
      <c r="P801" s="160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0.039211125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>
        <v>0.3</v>
      </c>
      <c r="N802" s="145"/>
      <c r="O802" s="145"/>
      <c r="P802" s="145"/>
      <c r="Q802" s="145"/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6273780</v>
      </c>
      <c r="H803" s="149"/>
      <c r="I803" s="149"/>
      <c r="J803" s="149"/>
      <c r="K803" s="149"/>
      <c r="L803" s="149"/>
      <c r="M803" s="149"/>
      <c r="N803" s="160"/>
      <c r="O803" s="160"/>
      <c r="P803" s="160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3136890</v>
      </c>
      <c r="I804" s="149">
        <f t="shared" ref="I804:M804" si="214">H804+I813</f>
        <v>3136890</v>
      </c>
      <c r="J804" s="149">
        <f t="shared" si="214"/>
        <v>3456890</v>
      </c>
      <c r="K804" s="149">
        <f t="shared" si="214"/>
        <v>3456890</v>
      </c>
      <c r="L804" s="149">
        <f t="shared" si="214"/>
        <v>3456890</v>
      </c>
      <c r="M804" s="149">
        <f t="shared" si="214"/>
        <v>4356890</v>
      </c>
      <c r="N804" s="199" t="str">
        <f>#REF!</f>
        <v>#REF!</v>
      </c>
      <c r="O804" s="199"/>
      <c r="P804" s="199"/>
      <c r="Q804" s="199"/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3136890</v>
      </c>
      <c r="H805" s="149">
        <f>$G$895*H802</f>
        <v>0</v>
      </c>
      <c r="I805" s="149">
        <f t="shared" ref="I805:M805" si="215">$G$805*I802</f>
        <v>0</v>
      </c>
      <c r="J805" s="149">
        <f t="shared" si="215"/>
        <v>313689</v>
      </c>
      <c r="K805" s="149">
        <f t="shared" si="215"/>
        <v>0</v>
      </c>
      <c r="L805" s="149">
        <f t="shared" si="215"/>
        <v>0</v>
      </c>
      <c r="M805" s="149">
        <f t="shared" si="215"/>
        <v>941067</v>
      </c>
      <c r="N805" s="199">
        <f>SUM(H805:M805)</f>
        <v>1254756</v>
      </c>
      <c r="O805" s="199"/>
      <c r="P805" s="199"/>
      <c r="Q805" s="199"/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42"/>
      <c r="N806" s="160"/>
      <c r="O806" s="160"/>
      <c r="P806" s="160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M807" si="216">$H$800-H804</f>
        <v>156863110</v>
      </c>
      <c r="I807" s="149">
        <f t="shared" si="216"/>
        <v>156863110</v>
      </c>
      <c r="J807" s="149">
        <f t="shared" si="216"/>
        <v>156543110</v>
      </c>
      <c r="K807" s="149">
        <f t="shared" si="216"/>
        <v>156543110</v>
      </c>
      <c r="L807" s="149">
        <f t="shared" si="216"/>
        <v>156543110</v>
      </c>
      <c r="M807" s="149">
        <f t="shared" si="216"/>
        <v>155643110</v>
      </c>
      <c r="N807" s="160"/>
      <c r="O807" s="160"/>
      <c r="P807" s="160"/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N808" si="217">IFERROR(H804/$H$890,0)</f>
        <v>0.01388004425</v>
      </c>
      <c r="I808" s="142">
        <f t="shared" si="217"/>
        <v>0.01388004425</v>
      </c>
      <c r="J808" s="142">
        <f t="shared" si="217"/>
        <v>0.01529597345</v>
      </c>
      <c r="K808" s="142">
        <f t="shared" si="217"/>
        <v>0.01529597345</v>
      </c>
      <c r="L808" s="142">
        <f t="shared" si="217"/>
        <v>0.01529597345</v>
      </c>
      <c r="M808" s="142">
        <f t="shared" si="217"/>
        <v>0.01927827434</v>
      </c>
      <c r="N808" s="200">
        <f t="shared" si="217"/>
        <v>0</v>
      </c>
      <c r="O808" s="200"/>
      <c r="P808" s="200"/>
      <c r="Q808" s="200"/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N809" si="218">IFERROR(1-(H804/$H$800),0)</f>
        <v>0.9803944375</v>
      </c>
      <c r="I809" s="142">
        <f t="shared" si="218"/>
        <v>0.9803944375</v>
      </c>
      <c r="J809" s="142">
        <f t="shared" si="218"/>
        <v>0.9783944375</v>
      </c>
      <c r="K809" s="142">
        <f t="shared" si="218"/>
        <v>0.9783944375</v>
      </c>
      <c r="L809" s="142">
        <f t="shared" si="218"/>
        <v>0.9783944375</v>
      </c>
      <c r="M809" s="142">
        <f t="shared" si="218"/>
        <v>0.9727694375</v>
      </c>
      <c r="N809" s="200">
        <f t="shared" si="218"/>
        <v>0</v>
      </c>
      <c r="O809" s="200"/>
      <c r="P809" s="200"/>
      <c r="Q809" s="200"/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58"/>
      <c r="N810" s="198"/>
      <c r="O810" s="198"/>
      <c r="P810" s="19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9">ROUNDUP(H805/H812,0)</f>
        <v>0</v>
      </c>
      <c r="I811" s="190">
        <f t="shared" si="219"/>
        <v>0</v>
      </c>
      <c r="J811" s="190">
        <f t="shared" si="219"/>
        <v>8</v>
      </c>
      <c r="K811" s="190">
        <f t="shared" si="219"/>
        <v>0</v>
      </c>
      <c r="L811" s="190">
        <f t="shared" si="219"/>
        <v>0</v>
      </c>
      <c r="M811" s="190">
        <f>ROUND(M805/M812,0)</f>
        <v>21</v>
      </c>
      <c r="N811" s="201">
        <f>SUM(H811:M811)</f>
        <v>29</v>
      </c>
      <c r="O811" s="201"/>
      <c r="P811" s="201"/>
      <c r="Q811" s="201"/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56">
        <v>44500.0</v>
      </c>
      <c r="N812" s="198"/>
      <c r="O812" s="198"/>
      <c r="P812" s="198"/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M813" si="220">SUM(H827,H830,H833,H836,H839)</f>
        <v>0</v>
      </c>
      <c r="I813" s="188">
        <f t="shared" si="220"/>
        <v>0</v>
      </c>
      <c r="J813" s="188">
        <f t="shared" si="220"/>
        <v>320000</v>
      </c>
      <c r="K813" s="188">
        <f t="shared" si="220"/>
        <v>0</v>
      </c>
      <c r="L813" s="188">
        <f t="shared" si="220"/>
        <v>0</v>
      </c>
      <c r="M813" s="188">
        <f t="shared" si="220"/>
        <v>900000</v>
      </c>
      <c r="N813" s="196">
        <f>SUM(H813:M813)</f>
        <v>1220000</v>
      </c>
      <c r="O813" s="160"/>
      <c r="P813" s="160"/>
      <c r="Q813" s="160"/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203">
        <v>0.5</v>
      </c>
      <c r="N814" s="198"/>
      <c r="O814" s="198"/>
      <c r="P814" s="198"/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203">
        <v>0.4</v>
      </c>
      <c r="N815" s="198"/>
      <c r="O815" s="198"/>
      <c r="P815" s="198"/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203">
        <v>0.05</v>
      </c>
      <c r="N816" s="198"/>
      <c r="O816" s="198"/>
      <c r="P816" s="198"/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203">
        <v>0.05</v>
      </c>
      <c r="N817" s="198"/>
      <c r="O817" s="198"/>
      <c r="P817" s="198"/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203">
        <v>0.0</v>
      </c>
      <c r="N818" s="198"/>
      <c r="O818" s="198"/>
      <c r="P818" s="198"/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204">
        <v>70000.0</v>
      </c>
      <c r="N819" s="198"/>
      <c r="O819" s="198"/>
      <c r="P819" s="198"/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204">
        <v>10000.0</v>
      </c>
      <c r="N820" s="198"/>
      <c r="O820" s="198"/>
      <c r="P820" s="198"/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204">
        <v>10000.0</v>
      </c>
      <c r="N821" s="198"/>
      <c r="O821" s="198"/>
      <c r="P821" s="198"/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204">
        <v>100000.0</v>
      </c>
      <c r="N822" s="198"/>
      <c r="O822" s="198"/>
      <c r="P822" s="198"/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204">
        <v>0.0</v>
      </c>
      <c r="N823" s="198"/>
      <c r="O823" s="198"/>
      <c r="P823" s="198"/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62">
        <f>IFERROR(__xludf.DUMMYFUNCTION("MATCH(
  MIN(FILTER(M819:M823,M819:M823&gt;0)),
  M819:M823,
  0
)
"),2.0)</f>
        <v>2</v>
      </c>
      <c r="N824" s="198"/>
      <c r="O824" s="198"/>
      <c r="P824" s="198"/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48"/>
      <c r="N825" s="198"/>
      <c r="O825" s="198"/>
      <c r="P825" s="19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M826" si="221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1"/>
        <v>0</v>
      </c>
      <c r="J826" s="148">
        <f t="shared" si="221"/>
        <v>4</v>
      </c>
      <c r="K826" s="148">
        <f t="shared" si="221"/>
        <v>0</v>
      </c>
      <c r="L826" s="148">
        <f t="shared" si="221"/>
        <v>0</v>
      </c>
      <c r="M826" s="148">
        <f t="shared" si="221"/>
        <v>10</v>
      </c>
      <c r="N826" s="198"/>
      <c r="O826" s="198"/>
      <c r="P826" s="198"/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M827" si="222">(H826*H819)</f>
        <v>0</v>
      </c>
      <c r="I827" s="150">
        <f t="shared" si="222"/>
        <v>0</v>
      </c>
      <c r="J827" s="150">
        <f t="shared" si="222"/>
        <v>280000</v>
      </c>
      <c r="K827" s="150">
        <f t="shared" si="222"/>
        <v>0</v>
      </c>
      <c r="L827" s="150">
        <f t="shared" si="222"/>
        <v>0</v>
      </c>
      <c r="M827" s="150">
        <f t="shared" si="222"/>
        <v>700000</v>
      </c>
      <c r="N827" s="198"/>
      <c r="O827" s="198"/>
      <c r="P827" s="198"/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48"/>
      <c r="N828" s="198"/>
      <c r="O828" s="198"/>
      <c r="P828" s="19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M829" si="223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3"/>
        <v>0</v>
      </c>
      <c r="J829" s="148">
        <f t="shared" si="223"/>
        <v>4</v>
      </c>
      <c r="K829" s="148">
        <f t="shared" si="223"/>
        <v>0</v>
      </c>
      <c r="L829" s="148">
        <f t="shared" si="223"/>
        <v>0</v>
      </c>
      <c r="M829" s="148">
        <f t="shared" si="223"/>
        <v>9</v>
      </c>
      <c r="N829" s="198"/>
      <c r="O829" s="198"/>
      <c r="P829" s="198"/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M830" si="224">(H820*H829)</f>
        <v>0</v>
      </c>
      <c r="I830" s="150">
        <f t="shared" si="224"/>
        <v>0</v>
      </c>
      <c r="J830" s="150">
        <f t="shared" si="224"/>
        <v>40000</v>
      </c>
      <c r="K830" s="150">
        <f t="shared" si="224"/>
        <v>0</v>
      </c>
      <c r="L830" s="150">
        <f t="shared" si="224"/>
        <v>0</v>
      </c>
      <c r="M830" s="150">
        <f t="shared" si="224"/>
        <v>90000</v>
      </c>
      <c r="N830" s="198"/>
      <c r="O830" s="198"/>
      <c r="P830" s="198"/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48"/>
      <c r="N831" s="198"/>
      <c r="O831" s="198"/>
      <c r="P831" s="19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M832" si="225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5"/>
        <v>0</v>
      </c>
      <c r="J832" s="148">
        <f t="shared" si="225"/>
        <v>0</v>
      </c>
      <c r="K832" s="148">
        <f t="shared" si="225"/>
        <v>0</v>
      </c>
      <c r="L832" s="148">
        <f t="shared" si="225"/>
        <v>0</v>
      </c>
      <c r="M832" s="148">
        <f t="shared" si="225"/>
        <v>1</v>
      </c>
      <c r="N832" s="198"/>
      <c r="O832" s="198"/>
      <c r="P832" s="198"/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M833" si="226">(H821*H832)</f>
        <v>0</v>
      </c>
      <c r="I833" s="150">
        <f t="shared" si="226"/>
        <v>0</v>
      </c>
      <c r="J833" s="150">
        <f t="shared" si="226"/>
        <v>0</v>
      </c>
      <c r="K833" s="150">
        <f t="shared" si="226"/>
        <v>0</v>
      </c>
      <c r="L833" s="150">
        <f t="shared" si="226"/>
        <v>0</v>
      </c>
      <c r="M833" s="150">
        <f t="shared" si="226"/>
        <v>10000</v>
      </c>
      <c r="N833" s="198"/>
      <c r="O833" s="198"/>
      <c r="P833" s="198"/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48"/>
      <c r="N834" s="198"/>
      <c r="O834" s="198"/>
      <c r="P834" s="19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M835" si="227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7"/>
        <v>0</v>
      </c>
      <c r="J835" s="148">
        <f t="shared" si="227"/>
        <v>0</v>
      </c>
      <c r="K835" s="148">
        <f t="shared" si="227"/>
        <v>0</v>
      </c>
      <c r="L835" s="148">
        <f t="shared" si="227"/>
        <v>0</v>
      </c>
      <c r="M835" s="148">
        <f t="shared" si="227"/>
        <v>1</v>
      </c>
      <c r="N835" s="198"/>
      <c r="O835" s="198"/>
      <c r="P835" s="198"/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M836" si="228">(H822*H835)</f>
        <v>0</v>
      </c>
      <c r="I836" s="150">
        <f t="shared" si="228"/>
        <v>0</v>
      </c>
      <c r="J836" s="150">
        <f t="shared" si="228"/>
        <v>0</v>
      </c>
      <c r="K836" s="150">
        <f t="shared" si="228"/>
        <v>0</v>
      </c>
      <c r="L836" s="150">
        <f t="shared" si="228"/>
        <v>0</v>
      </c>
      <c r="M836" s="150">
        <f t="shared" si="228"/>
        <v>100000</v>
      </c>
      <c r="N836" s="198"/>
      <c r="O836" s="198"/>
      <c r="P836" s="198"/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48"/>
      <c r="N837" s="198"/>
      <c r="O837" s="198"/>
      <c r="P837" s="19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M838" si="229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29"/>
        <v>0</v>
      </c>
      <c r="J838" s="148">
        <f t="shared" si="229"/>
        <v>0</v>
      </c>
      <c r="K838" s="148">
        <f t="shared" si="229"/>
        <v>0</v>
      </c>
      <c r="L838" s="148">
        <f t="shared" si="229"/>
        <v>0</v>
      </c>
      <c r="M838" s="148">
        <f t="shared" si="229"/>
        <v>0</v>
      </c>
      <c r="N838" s="198"/>
      <c r="O838" s="198"/>
      <c r="P838" s="198"/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M839" si="230">(H823*H838)</f>
        <v>0</v>
      </c>
      <c r="I839" s="150">
        <f t="shared" si="230"/>
        <v>0</v>
      </c>
      <c r="J839" s="150">
        <f t="shared" si="230"/>
        <v>0</v>
      </c>
      <c r="K839" s="150">
        <f t="shared" si="230"/>
        <v>0</v>
      </c>
      <c r="L839" s="150">
        <f t="shared" si="230"/>
        <v>0</v>
      </c>
      <c r="M839" s="150">
        <f t="shared" si="230"/>
        <v>0</v>
      </c>
      <c r="N839" s="198"/>
      <c r="O839" s="198"/>
      <c r="P839" s="198"/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60"/>
      <c r="N840" s="198"/>
      <c r="O840" s="198"/>
      <c r="P840" s="198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43</v>
      </c>
      <c r="I842" s="206"/>
      <c r="J842" s="206"/>
      <c r="K842" s="206"/>
      <c r="L842" s="206"/>
      <c r="M842" s="206"/>
      <c r="N842" s="198"/>
      <c r="O842" s="198"/>
      <c r="P842" s="198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0.02521813953</v>
      </c>
      <c r="H843" s="149">
        <f>H442</f>
        <v>3253140</v>
      </c>
      <c r="I843" s="149"/>
      <c r="J843" s="149"/>
      <c r="K843" s="149"/>
      <c r="L843" s="149"/>
      <c r="M843" s="149"/>
      <c r="N843" s="160"/>
      <c r="O843" s="160"/>
      <c r="P843" s="160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56"/>
      <c r="N844" s="160"/>
      <c r="O844" s="160"/>
      <c r="P844" s="160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129000000</v>
      </c>
      <c r="I845" s="149"/>
      <c r="J845" s="149"/>
      <c r="K845" s="149"/>
      <c r="L845" s="149"/>
      <c r="M845" s="149"/>
      <c r="N845" s="160"/>
      <c r="O845" s="160"/>
      <c r="P845" s="160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49"/>
      <c r="N846" s="160"/>
      <c r="O846" s="160"/>
      <c r="P846" s="160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0.0756544186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>
        <v>0.3</v>
      </c>
      <c r="N847" s="145"/>
      <c r="O847" s="145"/>
      <c r="P847" s="145"/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9759420</v>
      </c>
      <c r="H848" s="19"/>
      <c r="I848" s="19"/>
      <c r="J848" s="19"/>
      <c r="K848" s="19"/>
      <c r="L848" s="19"/>
      <c r="M848" s="19"/>
      <c r="N848" s="16"/>
      <c r="O848" s="16"/>
      <c r="P848" s="16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3253140</v>
      </c>
      <c r="I849" s="149">
        <f t="shared" ref="I849:M849" si="231">H849+I858</f>
        <v>3253140</v>
      </c>
      <c r="J849" s="149">
        <f t="shared" si="231"/>
        <v>3913140</v>
      </c>
      <c r="K849" s="149">
        <f t="shared" si="231"/>
        <v>3913140</v>
      </c>
      <c r="L849" s="149">
        <f t="shared" si="231"/>
        <v>3913140</v>
      </c>
      <c r="M849" s="149">
        <f t="shared" si="231"/>
        <v>5802140</v>
      </c>
      <c r="N849" s="199" t="str">
        <f>#REF!</f>
        <v>#REF!</v>
      </c>
      <c r="O849" s="199"/>
      <c r="P849" s="199"/>
      <c r="Q849" s="199"/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6506280</v>
      </c>
      <c r="H850" s="149">
        <f t="shared" ref="H850:M850" si="232">$G$850*H847</f>
        <v>0</v>
      </c>
      <c r="I850" s="149">
        <f t="shared" si="232"/>
        <v>0</v>
      </c>
      <c r="J850" s="149">
        <f t="shared" si="232"/>
        <v>650628</v>
      </c>
      <c r="K850" s="149">
        <f t="shared" si="232"/>
        <v>0</v>
      </c>
      <c r="L850" s="149">
        <f t="shared" si="232"/>
        <v>0</v>
      </c>
      <c r="M850" s="149">
        <f t="shared" si="232"/>
        <v>1951884</v>
      </c>
      <c r="N850" s="199">
        <f>SUM(H850:M850)</f>
        <v>2602512</v>
      </c>
      <c r="O850" s="199"/>
      <c r="P850" s="199"/>
      <c r="Q850" s="199"/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42"/>
      <c r="N851" s="160"/>
      <c r="O851" s="160"/>
      <c r="P851" s="160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M852" si="233">$H$845-H849</f>
        <v>125746860</v>
      </c>
      <c r="I852" s="149">
        <f t="shared" si="233"/>
        <v>125746860</v>
      </c>
      <c r="J852" s="149">
        <f t="shared" si="233"/>
        <v>125086860</v>
      </c>
      <c r="K852" s="149">
        <f t="shared" si="233"/>
        <v>125086860</v>
      </c>
      <c r="L852" s="149">
        <f t="shared" si="233"/>
        <v>125086860</v>
      </c>
      <c r="M852" s="149">
        <f t="shared" si="233"/>
        <v>123197860</v>
      </c>
      <c r="N852" s="160"/>
      <c r="O852" s="160"/>
      <c r="P852" s="160"/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N853" si="234">IFERROR(H849/$H$845,0)</f>
        <v>0.02521813953</v>
      </c>
      <c r="I853" s="142">
        <f t="shared" si="234"/>
        <v>0.02521813953</v>
      </c>
      <c r="J853" s="142">
        <f t="shared" si="234"/>
        <v>0.0303344186</v>
      </c>
      <c r="K853" s="142">
        <f t="shared" si="234"/>
        <v>0.0303344186</v>
      </c>
      <c r="L853" s="142">
        <f t="shared" si="234"/>
        <v>0.0303344186</v>
      </c>
      <c r="M853" s="142">
        <f t="shared" si="234"/>
        <v>0.04497782946</v>
      </c>
      <c r="N853" s="200">
        <f t="shared" si="234"/>
        <v>0</v>
      </c>
      <c r="O853" s="200"/>
      <c r="P853" s="200"/>
      <c r="Q853" s="200"/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N854" si="235">IFERROR(1-(H849/$H$845),0)</f>
        <v>0.9747818605</v>
      </c>
      <c r="I854" s="142">
        <f t="shared" si="235"/>
        <v>0.9747818605</v>
      </c>
      <c r="J854" s="142">
        <f t="shared" si="235"/>
        <v>0.9696655814</v>
      </c>
      <c r="K854" s="142">
        <f t="shared" si="235"/>
        <v>0.9696655814</v>
      </c>
      <c r="L854" s="142">
        <f t="shared" si="235"/>
        <v>0.9696655814</v>
      </c>
      <c r="M854" s="142">
        <f t="shared" si="235"/>
        <v>0.9550221705</v>
      </c>
      <c r="N854" s="200">
        <f t="shared" si="235"/>
        <v>0</v>
      </c>
      <c r="O854" s="200"/>
      <c r="P854" s="200"/>
      <c r="Q854" s="200"/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7"/>
      <c r="N855" s="208"/>
      <c r="O855" s="208"/>
      <c r="P855" s="208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6">ROUNDUP(H850/H857,0)</f>
        <v>0</v>
      </c>
      <c r="I856" s="190">
        <f t="shared" si="236"/>
        <v>0</v>
      </c>
      <c r="J856" s="190">
        <f t="shared" si="236"/>
        <v>30</v>
      </c>
      <c r="K856" s="190">
        <f t="shared" si="236"/>
        <v>0</v>
      </c>
      <c r="L856" s="190">
        <f t="shared" si="236"/>
        <v>0</v>
      </c>
      <c r="M856" s="190">
        <f>ROUND(M850/M857,0)</f>
        <v>89</v>
      </c>
      <c r="N856" s="201">
        <f>SUM(H856:M856)</f>
        <v>119</v>
      </c>
      <c r="O856" s="201"/>
      <c r="P856" s="201"/>
      <c r="Q856" s="201"/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56">
        <v>22000.0</v>
      </c>
      <c r="N857" s="198"/>
      <c r="O857" s="198"/>
      <c r="P857" s="198"/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M858" si="237">SUM(H872,H875,H878,H881,H884)</f>
        <v>0</v>
      </c>
      <c r="I858" s="188">
        <f t="shared" si="237"/>
        <v>0</v>
      </c>
      <c r="J858" s="188">
        <f t="shared" si="237"/>
        <v>660000</v>
      </c>
      <c r="K858" s="188">
        <f t="shared" si="237"/>
        <v>0</v>
      </c>
      <c r="L858" s="188">
        <f t="shared" si="237"/>
        <v>0</v>
      </c>
      <c r="M858" s="188">
        <f t="shared" si="237"/>
        <v>1889000</v>
      </c>
      <c r="N858" s="196">
        <f>SUM(H858:M858)</f>
        <v>2549000</v>
      </c>
      <c r="O858" s="160"/>
      <c r="P858" s="160"/>
      <c r="Q858" s="160"/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203">
        <v>0.4</v>
      </c>
      <c r="N859" s="198"/>
      <c r="O859" s="198"/>
      <c r="P859" s="198"/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203">
        <v>0.4</v>
      </c>
      <c r="N860" s="198"/>
      <c r="O860" s="198"/>
      <c r="P860" s="198"/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203">
        <v>0.1</v>
      </c>
      <c r="N861" s="198"/>
      <c r="O861" s="198"/>
      <c r="P861" s="198"/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203">
        <v>0.1</v>
      </c>
      <c r="N862" s="198"/>
      <c r="O862" s="198"/>
      <c r="P862" s="198"/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203">
        <v>0.0</v>
      </c>
      <c r="N863" s="198"/>
      <c r="O863" s="198"/>
      <c r="P863" s="198"/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204">
        <v>25000.0</v>
      </c>
      <c r="N864" s="198"/>
      <c r="O864" s="198"/>
      <c r="P864" s="198"/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204">
        <v>10000.0</v>
      </c>
      <c r="N865" s="198"/>
      <c r="O865" s="198"/>
      <c r="P865" s="198"/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204">
        <v>8000.0</v>
      </c>
      <c r="N866" s="198"/>
      <c r="O866" s="198"/>
      <c r="P866" s="198"/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204">
        <v>72000.0</v>
      </c>
      <c r="N867" s="198"/>
      <c r="O867" s="198"/>
      <c r="P867" s="198"/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204">
        <v>0.0</v>
      </c>
      <c r="N868" s="198"/>
      <c r="O868" s="198"/>
      <c r="P868" s="198"/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62">
        <f>IFERROR(__xludf.DUMMYFUNCTION("MATCH(
  MIN(FILTER(M864:M868,M864:M868&gt;0)),
  M864:M868,
  0
)
"),3.0)</f>
        <v>3</v>
      </c>
      <c r="N869" s="198"/>
      <c r="O869" s="198"/>
      <c r="P869" s="198"/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48"/>
      <c r="N870" s="198"/>
      <c r="O870" s="198"/>
      <c r="P870" s="19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M871" si="238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38"/>
        <v>0</v>
      </c>
      <c r="J871" s="148">
        <f t="shared" si="238"/>
        <v>12</v>
      </c>
      <c r="K871" s="148">
        <f t="shared" si="238"/>
        <v>0</v>
      </c>
      <c r="L871" s="148">
        <f t="shared" si="238"/>
        <v>0</v>
      </c>
      <c r="M871" s="148">
        <f t="shared" si="238"/>
        <v>35</v>
      </c>
      <c r="N871" s="198"/>
      <c r="O871" s="198"/>
      <c r="P871" s="198"/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M872" si="239">(H871*H864)</f>
        <v>0</v>
      </c>
      <c r="I872" s="150">
        <f t="shared" si="239"/>
        <v>0</v>
      </c>
      <c r="J872" s="150">
        <f t="shared" si="239"/>
        <v>300000</v>
      </c>
      <c r="K872" s="150">
        <f t="shared" si="239"/>
        <v>0</v>
      </c>
      <c r="L872" s="150">
        <f t="shared" si="239"/>
        <v>0</v>
      </c>
      <c r="M872" s="150">
        <f t="shared" si="239"/>
        <v>875000</v>
      </c>
      <c r="N872" s="198"/>
      <c r="O872" s="198"/>
      <c r="P872" s="198"/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48"/>
      <c r="N873" s="198"/>
      <c r="O873" s="198"/>
      <c r="P873" s="19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M874" si="240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0"/>
        <v>0</v>
      </c>
      <c r="J874" s="148">
        <f t="shared" si="240"/>
        <v>12</v>
      </c>
      <c r="K874" s="148">
        <f t="shared" si="240"/>
        <v>0</v>
      </c>
      <c r="L874" s="148">
        <f t="shared" si="240"/>
        <v>0</v>
      </c>
      <c r="M874" s="148">
        <f t="shared" si="240"/>
        <v>35</v>
      </c>
      <c r="N874" s="198"/>
      <c r="O874" s="198"/>
      <c r="P874" s="198"/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M875" si="241">(H865*H874)</f>
        <v>0</v>
      </c>
      <c r="I875" s="150">
        <f t="shared" si="241"/>
        <v>0</v>
      </c>
      <c r="J875" s="150">
        <f t="shared" si="241"/>
        <v>120000</v>
      </c>
      <c r="K875" s="150">
        <f t="shared" si="241"/>
        <v>0</v>
      </c>
      <c r="L875" s="150">
        <f t="shared" si="241"/>
        <v>0</v>
      </c>
      <c r="M875" s="150">
        <f t="shared" si="241"/>
        <v>350000</v>
      </c>
      <c r="N875" s="198"/>
      <c r="O875" s="198"/>
      <c r="P875" s="198"/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48"/>
      <c r="N876" s="198"/>
      <c r="O876" s="198"/>
      <c r="P876" s="19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M877" si="242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2"/>
        <v>0</v>
      </c>
      <c r="J877" s="148">
        <f t="shared" si="242"/>
        <v>3</v>
      </c>
      <c r="K877" s="148">
        <f t="shared" si="242"/>
        <v>0</v>
      </c>
      <c r="L877" s="148">
        <f t="shared" si="242"/>
        <v>0</v>
      </c>
      <c r="M877" s="148">
        <f t="shared" si="242"/>
        <v>11</v>
      </c>
      <c r="N877" s="198"/>
      <c r="O877" s="198"/>
      <c r="P877" s="198"/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M878" si="243">(H866*H877)</f>
        <v>0</v>
      </c>
      <c r="I878" s="150">
        <f t="shared" si="243"/>
        <v>0</v>
      </c>
      <c r="J878" s="150">
        <f t="shared" si="243"/>
        <v>24000</v>
      </c>
      <c r="K878" s="150">
        <f t="shared" si="243"/>
        <v>0</v>
      </c>
      <c r="L878" s="150">
        <f t="shared" si="243"/>
        <v>0</v>
      </c>
      <c r="M878" s="150">
        <f t="shared" si="243"/>
        <v>88000</v>
      </c>
      <c r="N878" s="198"/>
      <c r="O878" s="198"/>
      <c r="P878" s="198"/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48"/>
      <c r="N879" s="198"/>
      <c r="O879" s="198"/>
      <c r="P879" s="19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M880" si="244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4"/>
        <v>0</v>
      </c>
      <c r="J880" s="148">
        <f t="shared" si="244"/>
        <v>3</v>
      </c>
      <c r="K880" s="148">
        <f t="shared" si="244"/>
        <v>0</v>
      </c>
      <c r="L880" s="148">
        <f t="shared" si="244"/>
        <v>0</v>
      </c>
      <c r="M880" s="148">
        <f t="shared" si="244"/>
        <v>8</v>
      </c>
      <c r="N880" s="198"/>
      <c r="O880" s="198"/>
      <c r="P880" s="198"/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M881" si="245">(H867*H880)</f>
        <v>0</v>
      </c>
      <c r="I881" s="150">
        <f t="shared" si="245"/>
        <v>0</v>
      </c>
      <c r="J881" s="150">
        <f t="shared" si="245"/>
        <v>216000</v>
      </c>
      <c r="K881" s="150">
        <f t="shared" si="245"/>
        <v>0</v>
      </c>
      <c r="L881" s="150">
        <f t="shared" si="245"/>
        <v>0</v>
      </c>
      <c r="M881" s="150">
        <f t="shared" si="245"/>
        <v>576000</v>
      </c>
      <c r="N881" s="198"/>
      <c r="O881" s="198"/>
      <c r="P881" s="198"/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48"/>
      <c r="N882" s="198"/>
      <c r="O882" s="198"/>
      <c r="P882" s="19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M883" si="246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6"/>
        <v>0</v>
      </c>
      <c r="J883" s="148">
        <f t="shared" si="246"/>
        <v>0</v>
      </c>
      <c r="K883" s="148">
        <f t="shared" si="246"/>
        <v>0</v>
      </c>
      <c r="L883" s="148">
        <f t="shared" si="246"/>
        <v>0</v>
      </c>
      <c r="M883" s="148">
        <f t="shared" si="246"/>
        <v>0</v>
      </c>
      <c r="N883" s="198"/>
      <c r="O883" s="198"/>
      <c r="P883" s="198"/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M884" si="247">(H868*H883)</f>
        <v>0</v>
      </c>
      <c r="I884" s="150">
        <f t="shared" si="247"/>
        <v>0</v>
      </c>
      <c r="J884" s="150">
        <f t="shared" si="247"/>
        <v>0</v>
      </c>
      <c r="K884" s="150">
        <f t="shared" si="247"/>
        <v>0</v>
      </c>
      <c r="L884" s="150">
        <f t="shared" si="247"/>
        <v>0</v>
      </c>
      <c r="M884" s="150">
        <f t="shared" si="247"/>
        <v>0</v>
      </c>
      <c r="N884" s="198"/>
      <c r="O884" s="198"/>
      <c r="P884" s="198"/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63"/>
      <c r="N885" s="1"/>
      <c r="O885" s="1"/>
      <c r="P885" s="1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226</v>
      </c>
      <c r="I887" s="209"/>
      <c r="J887" s="209"/>
      <c r="K887" s="209"/>
      <c r="L887" s="209"/>
      <c r="M887" s="209"/>
      <c r="N887" s="198"/>
      <c r="O887" s="198"/>
      <c r="P887" s="198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0.06385725664</v>
      </c>
      <c r="H888" s="210">
        <f>H$468</f>
        <v>14431740</v>
      </c>
      <c r="I888" s="209"/>
      <c r="J888" s="209"/>
      <c r="K888" s="209"/>
      <c r="L888" s="209"/>
      <c r="M888" s="209"/>
      <c r="N888" s="198"/>
      <c r="O888" s="198"/>
      <c r="P888" s="198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158"/>
      <c r="M889" s="158"/>
      <c r="N889" s="211"/>
      <c r="O889" s="211"/>
      <c r="P889" s="211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226000000</v>
      </c>
      <c r="I890" s="212"/>
      <c r="J890" s="212"/>
      <c r="K890" s="212"/>
      <c r="L890" s="212"/>
      <c r="M890" s="212"/>
      <c r="N890" s="211"/>
      <c r="O890" s="211"/>
      <c r="P890" s="211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2"/>
      <c r="N891" s="211"/>
      <c r="O891" s="211"/>
      <c r="P891" s="211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0.1277145133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3">
        <v>0.1</v>
      </c>
      <c r="N892" s="211"/>
      <c r="O892" s="211"/>
      <c r="P892" s="211"/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28863480</v>
      </c>
      <c r="H893" s="149"/>
      <c r="I893" s="149"/>
      <c r="J893" s="149"/>
      <c r="K893" s="149"/>
      <c r="L893" s="149"/>
      <c r="M893" s="149"/>
      <c r="N893" s="211"/>
      <c r="O893" s="211"/>
      <c r="P893" s="211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14431740</v>
      </c>
      <c r="I894" s="149">
        <f t="shared" ref="I894:M894" si="248">H894+I903</f>
        <v>19055740</v>
      </c>
      <c r="J894" s="149">
        <f t="shared" si="248"/>
        <v>21507740</v>
      </c>
      <c r="K894" s="149">
        <f t="shared" si="248"/>
        <v>23679740</v>
      </c>
      <c r="L894" s="149">
        <f t="shared" si="248"/>
        <v>25127740</v>
      </c>
      <c r="M894" s="149">
        <f t="shared" si="248"/>
        <v>26575740</v>
      </c>
      <c r="N894" s="211" t="str">
        <f>#REF!</f>
        <v>#REF!</v>
      </c>
      <c r="O894" s="211"/>
      <c r="P894" s="211"/>
      <c r="Q894" s="211"/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14431740</v>
      </c>
      <c r="H895" s="149">
        <f t="shared" ref="H895:M895" si="249">$G$895*H892</f>
        <v>0</v>
      </c>
      <c r="I895" s="149">
        <f t="shared" si="249"/>
        <v>4618156.8</v>
      </c>
      <c r="J895" s="149">
        <f t="shared" si="249"/>
        <v>2453395.8</v>
      </c>
      <c r="K895" s="149">
        <f t="shared" si="249"/>
        <v>2164761</v>
      </c>
      <c r="L895" s="149">
        <f t="shared" si="249"/>
        <v>1443174</v>
      </c>
      <c r="M895" s="149">
        <f t="shared" si="249"/>
        <v>1443174</v>
      </c>
      <c r="N895" s="214">
        <f>SUM(H895:M895)</f>
        <v>12122661.6</v>
      </c>
      <c r="O895" s="211"/>
      <c r="P895" s="211"/>
      <c r="Q895" s="211"/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3"/>
      <c r="N896" s="211"/>
      <c r="O896" s="211"/>
      <c r="P896" s="211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M897" si="250">$H$890-H894</f>
        <v>211568260</v>
      </c>
      <c r="I897" s="149">
        <f t="shared" si="250"/>
        <v>206944260</v>
      </c>
      <c r="J897" s="149">
        <f t="shared" si="250"/>
        <v>204492260</v>
      </c>
      <c r="K897" s="149">
        <f t="shared" si="250"/>
        <v>202320260</v>
      </c>
      <c r="L897" s="149">
        <f t="shared" si="250"/>
        <v>200872260</v>
      </c>
      <c r="M897" s="149">
        <f t="shared" si="250"/>
        <v>199424260</v>
      </c>
      <c r="N897" s="149"/>
      <c r="O897" s="149"/>
      <c r="P897" s="149"/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N898" si="251">IFERROR(H894/$H$890,0)</f>
        <v>0.06385725664</v>
      </c>
      <c r="I898" s="142">
        <f t="shared" si="251"/>
        <v>0.08431743363</v>
      </c>
      <c r="J898" s="142">
        <f t="shared" si="251"/>
        <v>0.09516699115</v>
      </c>
      <c r="K898" s="142">
        <f t="shared" si="251"/>
        <v>0.1047776106</v>
      </c>
      <c r="L898" s="142">
        <f t="shared" si="251"/>
        <v>0.1111846903</v>
      </c>
      <c r="M898" s="142">
        <f t="shared" si="251"/>
        <v>0.1175917699</v>
      </c>
      <c r="N898" s="215">
        <f t="shared" si="251"/>
        <v>0</v>
      </c>
      <c r="O898" s="215"/>
      <c r="P898" s="215"/>
      <c r="Q898" s="215"/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N899" si="252">IFERROR(1-(H894/$H$890),0)</f>
        <v>0.9361427434</v>
      </c>
      <c r="I899" s="216">
        <f t="shared" si="252"/>
        <v>0.9156825664</v>
      </c>
      <c r="J899" s="216">
        <f t="shared" si="252"/>
        <v>0.9048330088</v>
      </c>
      <c r="K899" s="216">
        <f t="shared" si="252"/>
        <v>0.8952223894</v>
      </c>
      <c r="L899" s="216">
        <f t="shared" si="252"/>
        <v>0.8888153097</v>
      </c>
      <c r="M899" s="216">
        <f t="shared" si="252"/>
        <v>0.8824082301</v>
      </c>
      <c r="N899" s="215">
        <f t="shared" si="252"/>
        <v>0</v>
      </c>
      <c r="O899" s="215"/>
      <c r="P899" s="215"/>
      <c r="Q899" s="215"/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158"/>
      <c r="N900" s="211"/>
      <c r="O900" s="211"/>
      <c r="P900" s="211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3">ROUNDUP(H895/H902,0)</f>
        <v>0</v>
      </c>
      <c r="I901" s="217">
        <f t="shared" si="253"/>
        <v>256</v>
      </c>
      <c r="J901" s="217">
        <f t="shared" si="253"/>
        <v>136</v>
      </c>
      <c r="K901" s="217">
        <f t="shared" si="253"/>
        <v>120</v>
      </c>
      <c r="L901" s="217">
        <f t="shared" si="253"/>
        <v>80</v>
      </c>
      <c r="M901" s="217">
        <f>ROUND(M895/M902,0)</f>
        <v>80</v>
      </c>
      <c r="N901" s="218">
        <f>SUM(H901:M901)</f>
        <v>672</v>
      </c>
      <c r="O901" s="211"/>
      <c r="P901" s="211"/>
      <c r="Q901" s="211"/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56">
        <v>18100.0</v>
      </c>
      <c r="N902" s="198"/>
      <c r="O902" s="198"/>
      <c r="P902" s="198"/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M903" si="254">SUM(H917,H920,H923,H926,H929)</f>
        <v>0</v>
      </c>
      <c r="I903" s="188">
        <f t="shared" si="254"/>
        <v>4624000</v>
      </c>
      <c r="J903" s="188">
        <f t="shared" si="254"/>
        <v>2452000</v>
      </c>
      <c r="K903" s="188">
        <f t="shared" si="254"/>
        <v>2172000</v>
      </c>
      <c r="L903" s="188">
        <f t="shared" si="254"/>
        <v>1448000</v>
      </c>
      <c r="M903" s="188">
        <f t="shared" si="254"/>
        <v>1448000</v>
      </c>
      <c r="N903" s="214">
        <f>SUM(H903:M903)</f>
        <v>12144000</v>
      </c>
      <c r="O903" s="214"/>
      <c r="P903" s="214"/>
      <c r="Q903" s="214"/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203">
        <v>0.25</v>
      </c>
      <c r="N904" s="198"/>
      <c r="O904" s="198"/>
      <c r="P904" s="198"/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203">
        <v>0.35</v>
      </c>
      <c r="N905" s="198"/>
      <c r="O905" s="198"/>
      <c r="P905" s="198"/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203">
        <v>0.2</v>
      </c>
      <c r="N906" s="198"/>
      <c r="O906" s="198"/>
      <c r="P906" s="198"/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203">
        <v>0.2</v>
      </c>
      <c r="N907" s="198"/>
      <c r="O907" s="198"/>
      <c r="P907" s="198"/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203">
        <v>0.0</v>
      </c>
      <c r="N908" s="198"/>
      <c r="O908" s="198"/>
      <c r="P908" s="198"/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204">
        <v>20000.0</v>
      </c>
      <c r="N909" s="198"/>
      <c r="O909" s="198"/>
      <c r="P909" s="198"/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204">
        <v>10000.0</v>
      </c>
      <c r="N910" s="198"/>
      <c r="O910" s="198"/>
      <c r="P910" s="198"/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204">
        <v>6000.0</v>
      </c>
      <c r="N911" s="198"/>
      <c r="O911" s="198"/>
      <c r="P911" s="198"/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204">
        <v>42000.0</v>
      </c>
      <c r="N912" s="198"/>
      <c r="O912" s="198"/>
      <c r="P912" s="198"/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204">
        <v>0.0</v>
      </c>
      <c r="N913" s="198"/>
      <c r="O913" s="198"/>
      <c r="P913" s="198"/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62">
        <f>IFERROR(__xludf.DUMMYFUNCTION("MATCH(
  MIN(FILTER(M909:M913,M909:M913&gt;0)),
  M909:M913,
  0
)
"),3.0)</f>
        <v>3</v>
      </c>
      <c r="N914" s="198"/>
      <c r="O914" s="198"/>
      <c r="P914" s="198"/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48"/>
      <c r="N915" s="198"/>
      <c r="O915" s="198"/>
      <c r="P915" s="19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M916" si="255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5"/>
        <v>64</v>
      </c>
      <c r="J916" s="148">
        <f t="shared" si="255"/>
        <v>34</v>
      </c>
      <c r="K916" s="148">
        <f t="shared" si="255"/>
        <v>30</v>
      </c>
      <c r="L916" s="148">
        <f t="shared" si="255"/>
        <v>20</v>
      </c>
      <c r="M916" s="148">
        <f t="shared" si="255"/>
        <v>20</v>
      </c>
      <c r="N916" s="198"/>
      <c r="O916" s="198"/>
      <c r="P916" s="198"/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M917" si="256">(H916*H909)</f>
        <v>0</v>
      </c>
      <c r="I917" s="150">
        <f t="shared" si="256"/>
        <v>1280000</v>
      </c>
      <c r="J917" s="150">
        <f t="shared" si="256"/>
        <v>680000</v>
      </c>
      <c r="K917" s="150">
        <f t="shared" si="256"/>
        <v>600000</v>
      </c>
      <c r="L917" s="150">
        <f t="shared" si="256"/>
        <v>400000</v>
      </c>
      <c r="M917" s="150">
        <f t="shared" si="256"/>
        <v>400000</v>
      </c>
      <c r="N917" s="198"/>
      <c r="O917" s="198"/>
      <c r="P917" s="198"/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48"/>
      <c r="N918" s="198"/>
      <c r="O918" s="198"/>
      <c r="P918" s="19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M919" si="257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57"/>
        <v>89</v>
      </c>
      <c r="J919" s="148">
        <f t="shared" si="257"/>
        <v>47</v>
      </c>
      <c r="K919" s="148">
        <f t="shared" si="257"/>
        <v>42</v>
      </c>
      <c r="L919" s="148">
        <f t="shared" si="257"/>
        <v>28</v>
      </c>
      <c r="M919" s="148">
        <f t="shared" si="257"/>
        <v>28</v>
      </c>
      <c r="N919" s="198"/>
      <c r="O919" s="198"/>
      <c r="P919" s="198"/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M920" si="258">(H910*H919)</f>
        <v>0</v>
      </c>
      <c r="I920" s="150">
        <f t="shared" si="258"/>
        <v>890000</v>
      </c>
      <c r="J920" s="150">
        <f t="shared" si="258"/>
        <v>470000</v>
      </c>
      <c r="K920" s="150">
        <f t="shared" si="258"/>
        <v>420000</v>
      </c>
      <c r="L920" s="150">
        <f t="shared" si="258"/>
        <v>280000</v>
      </c>
      <c r="M920" s="150">
        <f t="shared" si="258"/>
        <v>280000</v>
      </c>
      <c r="N920" s="198"/>
      <c r="O920" s="198"/>
      <c r="P920" s="198"/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48"/>
      <c r="N921" s="198"/>
      <c r="O921" s="198"/>
      <c r="P921" s="19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M922" si="259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59"/>
        <v>52</v>
      </c>
      <c r="J922" s="148">
        <f t="shared" si="259"/>
        <v>28</v>
      </c>
      <c r="K922" s="148">
        <f t="shared" si="259"/>
        <v>24</v>
      </c>
      <c r="L922" s="148">
        <f t="shared" si="259"/>
        <v>16</v>
      </c>
      <c r="M922" s="148">
        <f t="shared" si="259"/>
        <v>16</v>
      </c>
      <c r="N922" s="198"/>
      <c r="O922" s="198"/>
      <c r="P922" s="198"/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M923" si="260">(H911*H922)</f>
        <v>0</v>
      </c>
      <c r="I923" s="150">
        <f t="shared" si="260"/>
        <v>312000</v>
      </c>
      <c r="J923" s="150">
        <f t="shared" si="260"/>
        <v>168000</v>
      </c>
      <c r="K923" s="150">
        <f t="shared" si="260"/>
        <v>144000</v>
      </c>
      <c r="L923" s="150">
        <f t="shared" si="260"/>
        <v>96000</v>
      </c>
      <c r="M923" s="150">
        <f t="shared" si="260"/>
        <v>96000</v>
      </c>
      <c r="N923" s="198"/>
      <c r="O923" s="198"/>
      <c r="P923" s="198"/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48"/>
      <c r="N924" s="198"/>
      <c r="O924" s="198"/>
      <c r="P924" s="19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M925" si="261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1"/>
        <v>51</v>
      </c>
      <c r="J925" s="148">
        <f t="shared" si="261"/>
        <v>27</v>
      </c>
      <c r="K925" s="148">
        <f t="shared" si="261"/>
        <v>24</v>
      </c>
      <c r="L925" s="148">
        <f t="shared" si="261"/>
        <v>16</v>
      </c>
      <c r="M925" s="148">
        <f t="shared" si="261"/>
        <v>16</v>
      </c>
      <c r="N925" s="198"/>
      <c r="O925" s="198"/>
      <c r="P925" s="198"/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M926" si="262">(H912*H925)</f>
        <v>0</v>
      </c>
      <c r="I926" s="150">
        <f t="shared" si="262"/>
        <v>2142000</v>
      </c>
      <c r="J926" s="150">
        <f t="shared" si="262"/>
        <v>1134000</v>
      </c>
      <c r="K926" s="150">
        <f t="shared" si="262"/>
        <v>1008000</v>
      </c>
      <c r="L926" s="150">
        <f t="shared" si="262"/>
        <v>672000</v>
      </c>
      <c r="M926" s="150">
        <f t="shared" si="262"/>
        <v>672000</v>
      </c>
      <c r="N926" s="198"/>
      <c r="O926" s="198"/>
      <c r="P926" s="198"/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48"/>
      <c r="N927" s="198"/>
      <c r="O927" s="198"/>
      <c r="P927" s="19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M928" si="263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3"/>
        <v>0</v>
      </c>
      <c r="J928" s="148">
        <f t="shared" si="263"/>
        <v>0</v>
      </c>
      <c r="K928" s="148">
        <f t="shared" si="263"/>
        <v>0</v>
      </c>
      <c r="L928" s="148">
        <f t="shared" si="263"/>
        <v>0</v>
      </c>
      <c r="M928" s="148">
        <f t="shared" si="263"/>
        <v>0</v>
      </c>
      <c r="N928" s="198"/>
      <c r="O928" s="198"/>
      <c r="P928" s="198"/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M929" si="264">(H913*H928)</f>
        <v>0</v>
      </c>
      <c r="I929" s="150">
        <f t="shared" si="264"/>
        <v>0</v>
      </c>
      <c r="J929" s="150">
        <f t="shared" si="264"/>
        <v>0</v>
      </c>
      <c r="K929" s="150">
        <f t="shared" si="264"/>
        <v>0</v>
      </c>
      <c r="L929" s="150">
        <f t="shared" si="264"/>
        <v>0</v>
      </c>
      <c r="M929" s="150">
        <f t="shared" si="264"/>
        <v>0</v>
      </c>
      <c r="N929" s="198"/>
      <c r="O929" s="198"/>
      <c r="P929" s="198"/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60"/>
      <c r="N930" s="198"/>
      <c r="O930" s="198"/>
      <c r="P930" s="198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63"/>
      <c r="N931" s="1"/>
      <c r="O931" s="1"/>
      <c r="P931" s="1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532</v>
      </c>
      <c r="I933" s="206"/>
      <c r="J933" s="206"/>
      <c r="K933" s="206"/>
      <c r="L933" s="206"/>
      <c r="M933" s="206"/>
      <c r="N933" s="198"/>
      <c r="O933" s="198"/>
      <c r="P933" s="198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0.3807503133</v>
      </c>
      <c r="H934" s="149">
        <f>SUM($H$494)</f>
        <v>18230325</v>
      </c>
      <c r="I934" s="149"/>
      <c r="J934" s="149"/>
      <c r="K934" s="149"/>
      <c r="L934" s="149"/>
      <c r="M934" s="149"/>
      <c r="N934" s="160"/>
      <c r="O934" s="160"/>
      <c r="P934" s="160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56"/>
      <c r="N935" s="160"/>
      <c r="O935" s="160"/>
      <c r="P935" s="160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47880000</v>
      </c>
      <c r="I936" s="149"/>
      <c r="J936" s="149"/>
      <c r="K936" s="149"/>
      <c r="L936" s="149"/>
      <c r="M936" s="149"/>
      <c r="N936" s="160"/>
      <c r="O936" s="160"/>
      <c r="P936" s="160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49"/>
      <c r="N937" s="160"/>
      <c r="O937" s="160"/>
      <c r="P937" s="160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0.5711254699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13">
        <v>0.1</v>
      </c>
      <c r="N938" s="200">
        <f>SUM(H938:M938)</f>
        <v>0.84</v>
      </c>
      <c r="O938" s="200"/>
      <c r="P938" s="200"/>
      <c r="Q938" s="200"/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27345487.5</v>
      </c>
      <c r="H939" s="19"/>
      <c r="I939" s="19"/>
      <c r="J939" s="19"/>
      <c r="K939" s="19"/>
      <c r="L939" s="19"/>
      <c r="M939" s="19"/>
      <c r="N939" s="16"/>
      <c r="O939" s="16"/>
      <c r="P939" s="16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18230325</v>
      </c>
      <c r="I940" s="149">
        <f t="shared" ref="I940:M940" si="265">H940+I949</f>
        <v>21150325</v>
      </c>
      <c r="J940" s="149">
        <f t="shared" si="265"/>
        <v>22706325</v>
      </c>
      <c r="K940" s="149">
        <f t="shared" si="265"/>
        <v>24078325</v>
      </c>
      <c r="L940" s="149">
        <f t="shared" si="265"/>
        <v>24992325</v>
      </c>
      <c r="M940" s="149">
        <f t="shared" si="265"/>
        <v>25906325</v>
      </c>
      <c r="N940" s="199" t="str">
        <f>#REF!</f>
        <v>#REF!</v>
      </c>
      <c r="O940" s="199"/>
      <c r="P940" s="199"/>
      <c r="Q940" s="199"/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9115162.5</v>
      </c>
      <c r="H941" s="149">
        <f t="shared" ref="H941:M941" si="266">$G$941*H938</f>
        <v>0</v>
      </c>
      <c r="I941" s="149">
        <f t="shared" si="266"/>
        <v>2916852</v>
      </c>
      <c r="J941" s="149">
        <f t="shared" si="266"/>
        <v>1549577.625</v>
      </c>
      <c r="K941" s="149">
        <f t="shared" si="266"/>
        <v>1367274.375</v>
      </c>
      <c r="L941" s="149">
        <f t="shared" si="266"/>
        <v>911516.25</v>
      </c>
      <c r="M941" s="149">
        <f t="shared" si="266"/>
        <v>911516.25</v>
      </c>
      <c r="N941" s="199">
        <f>SUM(H941:M941)</f>
        <v>7656736.5</v>
      </c>
      <c r="O941" s="199"/>
      <c r="P941" s="199"/>
      <c r="Q941" s="199"/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49"/>
      <c r="N942" s="160"/>
      <c r="O942" s="160"/>
      <c r="P942" s="160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M943" si="267">$H$936-H940</f>
        <v>29649675</v>
      </c>
      <c r="I943" s="149">
        <f t="shared" si="267"/>
        <v>26729675</v>
      </c>
      <c r="J943" s="149">
        <f t="shared" si="267"/>
        <v>25173675</v>
      </c>
      <c r="K943" s="149">
        <f t="shared" si="267"/>
        <v>23801675</v>
      </c>
      <c r="L943" s="149">
        <f t="shared" si="267"/>
        <v>22887675</v>
      </c>
      <c r="M943" s="149">
        <f t="shared" si="267"/>
        <v>21973675</v>
      </c>
      <c r="N943" s="160"/>
      <c r="O943" s="160"/>
      <c r="P943" s="160"/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N944" si="268">IFERROR(H940/$H$936,0)</f>
        <v>0.3807503133</v>
      </c>
      <c r="I944" s="142">
        <f t="shared" si="268"/>
        <v>0.4417361111</v>
      </c>
      <c r="J944" s="142">
        <f t="shared" si="268"/>
        <v>0.4742340226</v>
      </c>
      <c r="K944" s="142">
        <f t="shared" si="268"/>
        <v>0.5028889933</v>
      </c>
      <c r="L944" s="142">
        <f t="shared" si="268"/>
        <v>0.5219783835</v>
      </c>
      <c r="M944" s="142">
        <f t="shared" si="268"/>
        <v>0.5410677736</v>
      </c>
      <c r="N944" s="200">
        <f t="shared" si="268"/>
        <v>0</v>
      </c>
      <c r="O944" s="200"/>
      <c r="P944" s="200"/>
      <c r="Q944" s="200"/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N945" si="269">IFERROR(1-(H940/$H$936),0)</f>
        <v>0.6192496867</v>
      </c>
      <c r="I945" s="142">
        <f t="shared" si="269"/>
        <v>0.5582638889</v>
      </c>
      <c r="J945" s="142">
        <f t="shared" si="269"/>
        <v>0.5257659774</v>
      </c>
      <c r="K945" s="142">
        <f t="shared" si="269"/>
        <v>0.4971110067</v>
      </c>
      <c r="L945" s="142">
        <f t="shared" si="269"/>
        <v>0.4780216165</v>
      </c>
      <c r="M945" s="142">
        <f t="shared" si="269"/>
        <v>0.4589322264</v>
      </c>
      <c r="N945" s="200">
        <f t="shared" si="269"/>
        <v>0</v>
      </c>
      <c r="O945" s="200"/>
      <c r="P945" s="200"/>
      <c r="Q945" s="200"/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58"/>
      <c r="N946" s="198"/>
      <c r="O946" s="198"/>
      <c r="P946" s="19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0">ROUNDUP(H941/H948,0)</f>
        <v>0</v>
      </c>
      <c r="I947" s="190">
        <f t="shared" si="270"/>
        <v>332</v>
      </c>
      <c r="J947" s="190">
        <f t="shared" si="270"/>
        <v>177</v>
      </c>
      <c r="K947" s="190">
        <f t="shared" si="270"/>
        <v>156</v>
      </c>
      <c r="L947" s="190">
        <f t="shared" si="270"/>
        <v>104</v>
      </c>
      <c r="M947" s="190">
        <f>ROUND(M941/M948,0)</f>
        <v>104</v>
      </c>
      <c r="N947" s="201">
        <f>SUM(H947:M947)</f>
        <v>873</v>
      </c>
      <c r="O947" s="201"/>
      <c r="P947" s="201"/>
      <c r="Q947" s="201"/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56">
        <v>8800.0</v>
      </c>
      <c r="N948" s="198"/>
      <c r="O948" s="198"/>
      <c r="P948" s="198"/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M949" si="271">SUM(H963,H966,H969,H972,H975)</f>
        <v>0</v>
      </c>
      <c r="I949" s="188">
        <f t="shared" si="271"/>
        <v>2920000</v>
      </c>
      <c r="J949" s="188">
        <f t="shared" si="271"/>
        <v>1556000</v>
      </c>
      <c r="K949" s="188">
        <f t="shared" si="271"/>
        <v>1372000</v>
      </c>
      <c r="L949" s="188">
        <f t="shared" si="271"/>
        <v>914000</v>
      </c>
      <c r="M949" s="188">
        <f t="shared" si="271"/>
        <v>914000</v>
      </c>
      <c r="N949" s="196">
        <f>SUM(H949:M949)</f>
        <v>7676000</v>
      </c>
      <c r="O949" s="160"/>
      <c r="P949" s="160"/>
      <c r="Q949" s="160"/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203">
        <v>0.6</v>
      </c>
      <c r="N950" s="198"/>
      <c r="O950" s="198"/>
      <c r="P950" s="198"/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203">
        <v>0.4</v>
      </c>
      <c r="N951" s="198"/>
      <c r="O951" s="198"/>
      <c r="P951" s="198"/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203">
        <v>0.0</v>
      </c>
      <c r="N952" s="198"/>
      <c r="O952" s="198"/>
      <c r="P952" s="198"/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203">
        <v>0.0</v>
      </c>
      <c r="N953" s="198"/>
      <c r="O953" s="198"/>
      <c r="P953" s="198"/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203">
        <v>0.0</v>
      </c>
      <c r="N954" s="198"/>
      <c r="O954" s="198"/>
      <c r="P954" s="198"/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204">
        <v>8000.0</v>
      </c>
      <c r="N955" s="225"/>
      <c r="O955" s="225"/>
      <c r="P955" s="225"/>
      <c r="Q955" s="225"/>
      <c r="R955" s="225"/>
      <c r="S955" s="225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204">
        <v>10000.0</v>
      </c>
      <c r="N956" s="198"/>
      <c r="O956" s="198"/>
      <c r="P956" s="198"/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204">
        <v>0.0</v>
      </c>
      <c r="N957" s="198"/>
      <c r="O957" s="198"/>
      <c r="P957" s="198"/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204">
        <v>0.0</v>
      </c>
      <c r="N958" s="198"/>
      <c r="O958" s="198"/>
      <c r="P958" s="198"/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204">
        <v>0.0</v>
      </c>
      <c r="N959" s="198"/>
      <c r="O959" s="198"/>
      <c r="P959" s="198"/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62">
        <f>IFERROR(__xludf.DUMMYFUNCTION("MATCH(
  MIN(FILTER(M955:M959,M955:M959&gt;0)),
  M955:M959,
  0
)
"),1.0)</f>
        <v>1</v>
      </c>
      <c r="N960" s="198"/>
      <c r="O960" s="198"/>
      <c r="P960" s="198"/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48"/>
      <c r="N961" s="198"/>
      <c r="O961" s="198"/>
      <c r="P961" s="19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M962" si="272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2"/>
        <v>200</v>
      </c>
      <c r="J962" s="148">
        <f t="shared" si="272"/>
        <v>107</v>
      </c>
      <c r="K962" s="148">
        <f t="shared" si="272"/>
        <v>94</v>
      </c>
      <c r="L962" s="148">
        <f t="shared" si="272"/>
        <v>63</v>
      </c>
      <c r="M962" s="148">
        <f t="shared" si="272"/>
        <v>63</v>
      </c>
      <c r="N962" s="198"/>
      <c r="O962" s="198"/>
      <c r="P962" s="198"/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M963" si="273">(H962*H955)</f>
        <v>0</v>
      </c>
      <c r="I963" s="150">
        <f t="shared" si="273"/>
        <v>1600000</v>
      </c>
      <c r="J963" s="150">
        <f t="shared" si="273"/>
        <v>856000</v>
      </c>
      <c r="K963" s="150">
        <f t="shared" si="273"/>
        <v>752000</v>
      </c>
      <c r="L963" s="150">
        <f t="shared" si="273"/>
        <v>504000</v>
      </c>
      <c r="M963" s="150">
        <f t="shared" si="273"/>
        <v>504000</v>
      </c>
      <c r="N963" s="198"/>
      <c r="O963" s="198"/>
      <c r="P963" s="198"/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48"/>
      <c r="N964" s="198"/>
      <c r="O964" s="198"/>
      <c r="P964" s="19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M965" si="274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4"/>
        <v>132</v>
      </c>
      <c r="J965" s="148">
        <f t="shared" si="274"/>
        <v>70</v>
      </c>
      <c r="K965" s="148">
        <f t="shared" si="274"/>
        <v>62</v>
      </c>
      <c r="L965" s="148">
        <f t="shared" si="274"/>
        <v>41</v>
      </c>
      <c r="M965" s="148">
        <f t="shared" si="274"/>
        <v>41</v>
      </c>
      <c r="N965" s="198"/>
      <c r="O965" s="198"/>
      <c r="P965" s="198"/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M966" si="275">(H956*H965)</f>
        <v>0</v>
      </c>
      <c r="I966" s="150">
        <f t="shared" si="275"/>
        <v>1320000</v>
      </c>
      <c r="J966" s="150">
        <f t="shared" si="275"/>
        <v>700000</v>
      </c>
      <c r="K966" s="150">
        <f t="shared" si="275"/>
        <v>620000</v>
      </c>
      <c r="L966" s="150">
        <f t="shared" si="275"/>
        <v>410000</v>
      </c>
      <c r="M966" s="150">
        <f t="shared" si="275"/>
        <v>410000</v>
      </c>
      <c r="N966" s="198"/>
      <c r="O966" s="198"/>
      <c r="P966" s="198"/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48"/>
      <c r="N967" s="198"/>
      <c r="O967" s="198"/>
      <c r="P967" s="19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M968" si="276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76"/>
        <v>0</v>
      </c>
      <c r="J968" s="148">
        <f t="shared" si="276"/>
        <v>0</v>
      </c>
      <c r="K968" s="148">
        <f t="shared" si="276"/>
        <v>0</v>
      </c>
      <c r="L968" s="148">
        <f t="shared" si="276"/>
        <v>0</v>
      </c>
      <c r="M968" s="148">
        <f t="shared" si="276"/>
        <v>0</v>
      </c>
      <c r="N968" s="198"/>
      <c r="O968" s="198"/>
      <c r="P968" s="198"/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M969" si="277">(H957*H968)</f>
        <v>0</v>
      </c>
      <c r="I969" s="150">
        <f t="shared" si="277"/>
        <v>0</v>
      </c>
      <c r="J969" s="150">
        <f t="shared" si="277"/>
        <v>0</v>
      </c>
      <c r="K969" s="150">
        <f t="shared" si="277"/>
        <v>0</v>
      </c>
      <c r="L969" s="150">
        <f t="shared" si="277"/>
        <v>0</v>
      </c>
      <c r="M969" s="150">
        <f t="shared" si="277"/>
        <v>0</v>
      </c>
      <c r="N969" s="198"/>
      <c r="O969" s="198"/>
      <c r="P969" s="198"/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48"/>
      <c r="N970" s="198"/>
      <c r="O970" s="198"/>
      <c r="P970" s="19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M971" si="278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78"/>
        <v>0</v>
      </c>
      <c r="J971" s="148">
        <f t="shared" si="278"/>
        <v>0</v>
      </c>
      <c r="K971" s="148">
        <f t="shared" si="278"/>
        <v>0</v>
      </c>
      <c r="L971" s="148">
        <f t="shared" si="278"/>
        <v>0</v>
      </c>
      <c r="M971" s="148">
        <f t="shared" si="278"/>
        <v>0</v>
      </c>
      <c r="N971" s="198"/>
      <c r="O971" s="198"/>
      <c r="P971" s="198"/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M972" si="279">(H958*H971)</f>
        <v>0</v>
      </c>
      <c r="I972" s="150">
        <f t="shared" si="279"/>
        <v>0</v>
      </c>
      <c r="J972" s="150">
        <f t="shared" si="279"/>
        <v>0</v>
      </c>
      <c r="K972" s="150">
        <f t="shared" si="279"/>
        <v>0</v>
      </c>
      <c r="L972" s="150">
        <f t="shared" si="279"/>
        <v>0</v>
      </c>
      <c r="M972" s="150">
        <f t="shared" si="279"/>
        <v>0</v>
      </c>
      <c r="N972" s="198"/>
      <c r="O972" s="198"/>
      <c r="P972" s="198"/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48"/>
      <c r="N973" s="198"/>
      <c r="O973" s="198"/>
      <c r="P973" s="19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M974" si="280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0"/>
        <v>0</v>
      </c>
      <c r="J974" s="148">
        <f t="shared" si="280"/>
        <v>0</v>
      </c>
      <c r="K974" s="148">
        <f t="shared" si="280"/>
        <v>0</v>
      </c>
      <c r="L974" s="148">
        <f t="shared" si="280"/>
        <v>0</v>
      </c>
      <c r="M974" s="148">
        <f t="shared" si="280"/>
        <v>0</v>
      </c>
      <c r="N974" s="198"/>
      <c r="O974" s="198"/>
      <c r="P974" s="198"/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M975" si="281">(H959*H974)</f>
        <v>0</v>
      </c>
      <c r="I975" s="150">
        <f t="shared" si="281"/>
        <v>0</v>
      </c>
      <c r="J975" s="150">
        <f t="shared" si="281"/>
        <v>0</v>
      </c>
      <c r="K975" s="150">
        <f t="shared" si="281"/>
        <v>0</v>
      </c>
      <c r="L975" s="150">
        <f t="shared" si="281"/>
        <v>0</v>
      </c>
      <c r="M975" s="150">
        <f t="shared" si="281"/>
        <v>0</v>
      </c>
      <c r="N975" s="198"/>
      <c r="O975" s="198"/>
      <c r="P975" s="198"/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60"/>
      <c r="N976" s="198"/>
      <c r="O976" s="198"/>
      <c r="P976" s="198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251</v>
      </c>
      <c r="I978" s="206"/>
      <c r="J978" s="206"/>
      <c r="K978" s="206"/>
      <c r="L978" s="206"/>
      <c r="M978" s="206"/>
      <c r="N978" s="198"/>
      <c r="O978" s="198"/>
      <c r="P978" s="198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0.5102031873</v>
      </c>
      <c r="H979" s="149">
        <f>SUM($H$520)</f>
        <v>6403050</v>
      </c>
      <c r="I979" s="149"/>
      <c r="J979" s="149"/>
      <c r="K979" s="149"/>
      <c r="L979" s="149"/>
      <c r="M979" s="149"/>
      <c r="N979" s="160"/>
      <c r="O979" s="160"/>
      <c r="P979" s="160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56"/>
      <c r="N980" s="160"/>
      <c r="O980" s="160"/>
      <c r="P980" s="160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12550000</v>
      </c>
      <c r="I981" s="149"/>
      <c r="J981" s="149"/>
      <c r="K981" s="149"/>
      <c r="L981" s="149"/>
      <c r="M981" s="149"/>
      <c r="N981" s="160"/>
      <c r="O981" s="160"/>
      <c r="P981" s="160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49"/>
      <c r="N982" s="160"/>
      <c r="O982" s="160"/>
      <c r="P982" s="160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0.7653047809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213">
        <v>0.1</v>
      </c>
      <c r="N983" s="160"/>
      <c r="O983" s="160"/>
      <c r="P983" s="160"/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9604575</v>
      </c>
      <c r="H984" s="19"/>
      <c r="I984" s="19"/>
      <c r="J984" s="19"/>
      <c r="K984" s="19"/>
      <c r="L984" s="19"/>
      <c r="M984" s="19"/>
      <c r="N984" s="16"/>
      <c r="O984" s="16"/>
      <c r="P984" s="16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6403050</v>
      </c>
      <c r="I985" s="149">
        <f t="shared" ref="I985:M985" si="282">H985+I994</f>
        <v>7431050</v>
      </c>
      <c r="J985" s="149">
        <f t="shared" si="282"/>
        <v>7977050</v>
      </c>
      <c r="K985" s="149">
        <f t="shared" si="282"/>
        <v>8459050</v>
      </c>
      <c r="L985" s="149">
        <f t="shared" si="282"/>
        <v>8783050</v>
      </c>
      <c r="M985" s="149">
        <f t="shared" si="282"/>
        <v>9099050</v>
      </c>
      <c r="N985" s="199" t="str">
        <f>#REF!</f>
        <v>#REF!</v>
      </c>
      <c r="O985" s="199"/>
      <c r="P985" s="199"/>
      <c r="Q985" s="199"/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3201525</v>
      </c>
      <c r="H986" s="149">
        <f t="shared" ref="H986:M986" si="283">$G$986*H983</f>
        <v>0</v>
      </c>
      <c r="I986" s="149">
        <f t="shared" si="283"/>
        <v>1024488</v>
      </c>
      <c r="J986" s="149">
        <f t="shared" si="283"/>
        <v>544259.25</v>
      </c>
      <c r="K986" s="149">
        <f t="shared" si="283"/>
        <v>480228.75</v>
      </c>
      <c r="L986" s="149">
        <f t="shared" si="283"/>
        <v>320152.5</v>
      </c>
      <c r="M986" s="149">
        <f t="shared" si="283"/>
        <v>320152.5</v>
      </c>
      <c r="N986" s="199">
        <f>SUM(H986:M986)</f>
        <v>2689281</v>
      </c>
      <c r="O986" s="199"/>
      <c r="P986" s="199"/>
      <c r="Q986" s="199"/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49"/>
      <c r="N987" s="160"/>
      <c r="O987" s="160"/>
      <c r="P987" s="160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M988" si="284">$H$981-H985</f>
        <v>6146950</v>
      </c>
      <c r="I988" s="149">
        <f t="shared" si="284"/>
        <v>5118950</v>
      </c>
      <c r="J988" s="149">
        <f t="shared" si="284"/>
        <v>4572950</v>
      </c>
      <c r="K988" s="149">
        <f t="shared" si="284"/>
        <v>4090950</v>
      </c>
      <c r="L988" s="149">
        <f t="shared" si="284"/>
        <v>3766950</v>
      </c>
      <c r="M988" s="149">
        <f t="shared" si="284"/>
        <v>3450950</v>
      </c>
      <c r="N988" s="160"/>
      <c r="O988" s="160"/>
      <c r="P988" s="160"/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M989" si="285">IFERROR(SUM(H994,H979)/$H$981,0)</f>
        <v>0.5102031873</v>
      </c>
      <c r="I989" s="142">
        <f t="shared" si="285"/>
        <v>0.0819123506</v>
      </c>
      <c r="J989" s="142">
        <f t="shared" si="285"/>
        <v>0.0435059761</v>
      </c>
      <c r="K989" s="142">
        <f t="shared" si="285"/>
        <v>0.0384063745</v>
      </c>
      <c r="L989" s="142">
        <f t="shared" si="285"/>
        <v>0.02581673307</v>
      </c>
      <c r="M989" s="142">
        <f t="shared" si="285"/>
        <v>0.02517928287</v>
      </c>
      <c r="N989" s="200">
        <f>IFERROR(N985/$H$981,0)</f>
        <v>0</v>
      </c>
      <c r="O989" s="200"/>
      <c r="P989" s="200"/>
      <c r="Q989" s="200"/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M990" si="286">IFERROR(1-(H979/$H$981),0)</f>
        <v>0.4897968127</v>
      </c>
      <c r="I990" s="216">
        <f t="shared" si="286"/>
        <v>1</v>
      </c>
      <c r="J990" s="216">
        <f t="shared" si="286"/>
        <v>1</v>
      </c>
      <c r="K990" s="216">
        <f t="shared" si="286"/>
        <v>1</v>
      </c>
      <c r="L990" s="216">
        <f t="shared" si="286"/>
        <v>1</v>
      </c>
      <c r="M990" s="216">
        <f t="shared" si="286"/>
        <v>1</v>
      </c>
      <c r="N990" s="200">
        <f>IFERROR(1-(N985/$H$981),0)</f>
        <v>0</v>
      </c>
      <c r="O990" s="200"/>
      <c r="P990" s="200"/>
      <c r="Q990" s="200"/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207"/>
      <c r="N991" s="198"/>
      <c r="O991" s="198"/>
      <c r="P991" s="198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87">ROUNDUP(H986/H993,0)</f>
        <v>0</v>
      </c>
      <c r="I992" s="190">
        <f t="shared" si="287"/>
        <v>143</v>
      </c>
      <c r="J992" s="190">
        <f t="shared" si="287"/>
        <v>76</v>
      </c>
      <c r="K992" s="190">
        <f t="shared" si="287"/>
        <v>67</v>
      </c>
      <c r="L992" s="190">
        <f t="shared" si="287"/>
        <v>45</v>
      </c>
      <c r="M992" s="190">
        <f>ROUND(M986/M993,0)</f>
        <v>44</v>
      </c>
      <c r="N992" s="201">
        <f>SUM(H992:M992)</f>
        <v>375</v>
      </c>
      <c r="O992" s="201"/>
      <c r="P992" s="201"/>
      <c r="Q992" s="201"/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56">
        <v>7200.0</v>
      </c>
      <c r="N993" s="198"/>
      <c r="O993" s="198"/>
      <c r="P993" s="198"/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M994" si="288">SUM(H1008,H1011,H1014,H1017,H1020)</f>
        <v>0</v>
      </c>
      <c r="I994" s="188">
        <f t="shared" si="288"/>
        <v>1028000</v>
      </c>
      <c r="J994" s="188">
        <f t="shared" si="288"/>
        <v>546000</v>
      </c>
      <c r="K994" s="188">
        <f t="shared" si="288"/>
        <v>482000</v>
      </c>
      <c r="L994" s="188">
        <f t="shared" si="288"/>
        <v>324000</v>
      </c>
      <c r="M994" s="188">
        <f t="shared" si="288"/>
        <v>316000</v>
      </c>
      <c r="N994" s="196">
        <f>SUM(H994:M994)</f>
        <v>2696000</v>
      </c>
      <c r="O994" s="160"/>
      <c r="P994" s="160"/>
      <c r="Q994" s="160"/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203">
        <v>0.6</v>
      </c>
      <c r="N995" s="198"/>
      <c r="O995" s="198"/>
      <c r="P995" s="198"/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203">
        <v>0.4</v>
      </c>
      <c r="N996" s="198"/>
      <c r="O996" s="198"/>
      <c r="P996" s="198"/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203">
        <v>0.0</v>
      </c>
      <c r="N997" s="198"/>
      <c r="O997" s="198"/>
      <c r="P997" s="198"/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203">
        <v>0.0</v>
      </c>
      <c r="N998" s="198"/>
      <c r="O998" s="198"/>
      <c r="P998" s="198"/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203">
        <v>0.0</v>
      </c>
      <c r="N999" s="198"/>
      <c r="O999" s="198"/>
      <c r="P999" s="198"/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04">
        <v>8000.0</v>
      </c>
      <c r="N1000" s="225">
        <v>30000.0</v>
      </c>
      <c r="O1000" s="225"/>
      <c r="P1000" s="225"/>
      <c r="Q1000" s="225"/>
      <c r="R1000" s="225"/>
      <c r="S1000" s="225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204">
        <v>6000.0</v>
      </c>
      <c r="N1001" s="198"/>
      <c r="O1001" s="198"/>
      <c r="P1001" s="198"/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204">
        <v>0.0</v>
      </c>
      <c r="N1002" s="198"/>
      <c r="O1002" s="198"/>
      <c r="P1002" s="198"/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204">
        <v>0.0</v>
      </c>
      <c r="N1003" s="198"/>
      <c r="O1003" s="198"/>
      <c r="P1003" s="198"/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204">
        <v>0.0</v>
      </c>
      <c r="N1004" s="198"/>
      <c r="O1004" s="198"/>
      <c r="P1004" s="198"/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62">
        <f>IFERROR(__xludf.DUMMYFUNCTION("MATCH(
  MIN(FILTER(M1000:M1004,M1000:M1004&gt;0)),
  M1000:M1004,
  0
)
"),2.0)</f>
        <v>2</v>
      </c>
      <c r="N1005" s="198"/>
      <c r="O1005" s="198"/>
      <c r="P1005" s="198"/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48"/>
      <c r="N1006" s="198"/>
      <c r="O1006" s="198"/>
      <c r="P1006" s="19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M1007" si="289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89"/>
        <v>85</v>
      </c>
      <c r="J1007" s="148">
        <f t="shared" si="289"/>
        <v>45</v>
      </c>
      <c r="K1007" s="148">
        <f t="shared" si="289"/>
        <v>40</v>
      </c>
      <c r="L1007" s="148">
        <f t="shared" si="289"/>
        <v>27</v>
      </c>
      <c r="M1007" s="148">
        <f t="shared" si="289"/>
        <v>26</v>
      </c>
      <c r="N1007" s="198"/>
      <c r="O1007" s="198"/>
      <c r="P1007" s="198"/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M1008" si="290">(H1007*H1000)</f>
        <v>0</v>
      </c>
      <c r="I1008" s="150">
        <f t="shared" si="290"/>
        <v>680000</v>
      </c>
      <c r="J1008" s="150">
        <f t="shared" si="290"/>
        <v>360000</v>
      </c>
      <c r="K1008" s="150">
        <f t="shared" si="290"/>
        <v>320000</v>
      </c>
      <c r="L1008" s="150">
        <f t="shared" si="290"/>
        <v>216000</v>
      </c>
      <c r="M1008" s="150">
        <f t="shared" si="290"/>
        <v>208000</v>
      </c>
      <c r="N1008" s="198"/>
      <c r="O1008" s="198"/>
      <c r="P1008" s="198"/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48"/>
      <c r="N1009" s="198"/>
      <c r="O1009" s="198"/>
      <c r="P1009" s="19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M1010" si="291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1"/>
        <v>58</v>
      </c>
      <c r="J1010" s="148">
        <f t="shared" si="291"/>
        <v>31</v>
      </c>
      <c r="K1010" s="148">
        <f t="shared" si="291"/>
        <v>27</v>
      </c>
      <c r="L1010" s="148">
        <f t="shared" si="291"/>
        <v>18</v>
      </c>
      <c r="M1010" s="148">
        <f t="shared" si="291"/>
        <v>18</v>
      </c>
      <c r="N1010" s="198"/>
      <c r="O1010" s="198"/>
      <c r="P1010" s="198"/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M1011" si="292">(H1001*H1010)</f>
        <v>0</v>
      </c>
      <c r="I1011" s="150">
        <f t="shared" si="292"/>
        <v>348000</v>
      </c>
      <c r="J1011" s="150">
        <f t="shared" si="292"/>
        <v>186000</v>
      </c>
      <c r="K1011" s="150">
        <f t="shared" si="292"/>
        <v>162000</v>
      </c>
      <c r="L1011" s="150">
        <f t="shared" si="292"/>
        <v>108000</v>
      </c>
      <c r="M1011" s="150">
        <f t="shared" si="292"/>
        <v>108000</v>
      </c>
      <c r="N1011" s="198"/>
      <c r="O1011" s="198"/>
      <c r="P1011" s="198"/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48"/>
      <c r="N1012" s="198"/>
      <c r="O1012" s="198"/>
      <c r="P1012" s="19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M1013" si="293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3"/>
        <v>0</v>
      </c>
      <c r="J1013" s="148">
        <f t="shared" si="293"/>
        <v>0</v>
      </c>
      <c r="K1013" s="148">
        <f t="shared" si="293"/>
        <v>0</v>
      </c>
      <c r="L1013" s="148">
        <f t="shared" si="293"/>
        <v>0</v>
      </c>
      <c r="M1013" s="148">
        <f t="shared" si="293"/>
        <v>0</v>
      </c>
      <c r="N1013" s="198"/>
      <c r="O1013" s="198"/>
      <c r="P1013" s="198"/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M1014" si="294">(H1002*H1013)</f>
        <v>0</v>
      </c>
      <c r="I1014" s="150">
        <f t="shared" si="294"/>
        <v>0</v>
      </c>
      <c r="J1014" s="150">
        <f t="shared" si="294"/>
        <v>0</v>
      </c>
      <c r="K1014" s="150">
        <f t="shared" si="294"/>
        <v>0</v>
      </c>
      <c r="L1014" s="150">
        <f t="shared" si="294"/>
        <v>0</v>
      </c>
      <c r="M1014" s="150">
        <f t="shared" si="294"/>
        <v>0</v>
      </c>
      <c r="N1014" s="198"/>
      <c r="O1014" s="198"/>
      <c r="P1014" s="198"/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48"/>
      <c r="N1015" s="198"/>
      <c r="O1015" s="198"/>
      <c r="P1015" s="19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M1016" si="295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295"/>
        <v>0</v>
      </c>
      <c r="J1016" s="148">
        <f t="shared" si="295"/>
        <v>0</v>
      </c>
      <c r="K1016" s="148">
        <f t="shared" si="295"/>
        <v>0</v>
      </c>
      <c r="L1016" s="148">
        <f t="shared" si="295"/>
        <v>0</v>
      </c>
      <c r="M1016" s="148">
        <f t="shared" si="295"/>
        <v>0</v>
      </c>
      <c r="N1016" s="198"/>
      <c r="O1016" s="198"/>
      <c r="P1016" s="198"/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M1017" si="296">(H1003*H1016)</f>
        <v>0</v>
      </c>
      <c r="I1017" s="150">
        <f t="shared" si="296"/>
        <v>0</v>
      </c>
      <c r="J1017" s="150">
        <f t="shared" si="296"/>
        <v>0</v>
      </c>
      <c r="K1017" s="150">
        <f t="shared" si="296"/>
        <v>0</v>
      </c>
      <c r="L1017" s="150">
        <f t="shared" si="296"/>
        <v>0</v>
      </c>
      <c r="M1017" s="150">
        <f t="shared" si="296"/>
        <v>0</v>
      </c>
      <c r="N1017" s="198"/>
      <c r="O1017" s="198"/>
      <c r="P1017" s="198"/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48"/>
      <c r="N1018" s="198"/>
      <c r="O1018" s="198"/>
      <c r="P1018" s="19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M1019" si="297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297"/>
        <v>0</v>
      </c>
      <c r="J1019" s="148">
        <f t="shared" si="297"/>
        <v>0</v>
      </c>
      <c r="K1019" s="148">
        <f t="shared" si="297"/>
        <v>0</v>
      </c>
      <c r="L1019" s="148">
        <f t="shared" si="297"/>
        <v>0</v>
      </c>
      <c r="M1019" s="148">
        <f t="shared" si="297"/>
        <v>0</v>
      </c>
      <c r="N1019" s="198"/>
      <c r="O1019" s="198"/>
      <c r="P1019" s="198"/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M1020" si="298">(H1004*H1019)</f>
        <v>0</v>
      </c>
      <c r="I1020" s="150">
        <f t="shared" si="298"/>
        <v>0</v>
      </c>
      <c r="J1020" s="150">
        <f t="shared" si="298"/>
        <v>0</v>
      </c>
      <c r="K1020" s="150">
        <f t="shared" si="298"/>
        <v>0</v>
      </c>
      <c r="L1020" s="150">
        <f t="shared" si="298"/>
        <v>0</v>
      </c>
      <c r="M1020" s="150">
        <f t="shared" si="298"/>
        <v>0</v>
      </c>
      <c r="N1020" s="198"/>
      <c r="O1020" s="198"/>
      <c r="P1020" s="198"/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60"/>
      <c r="N1021" s="198"/>
      <c r="O1021" s="198"/>
      <c r="P1021" s="198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4"/>
      <c r="N1022" s="1"/>
      <c r="O1022" s="1"/>
      <c r="P1022" s="1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78"/>
      <c r="N1023" s="1"/>
      <c r="O1023" s="1"/>
      <c r="P1023" s="1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M1024" si="299">SUM(H1027,H1064,H1081,)</f>
        <v>48912500</v>
      </c>
      <c r="I1024" s="173">
        <f t="shared" si="299"/>
        <v>8611600</v>
      </c>
      <c r="J1024" s="173">
        <f t="shared" si="299"/>
        <v>5577560</v>
      </c>
      <c r="K1024" s="173">
        <f t="shared" si="299"/>
        <v>4323516</v>
      </c>
      <c r="L1024" s="173">
        <f t="shared" si="299"/>
        <v>2892307.6</v>
      </c>
      <c r="M1024" s="173">
        <f t="shared" si="299"/>
        <v>5839858.36</v>
      </c>
      <c r="N1024" s="223">
        <f>SUM(H1024:M1024)</f>
        <v>76157341.96</v>
      </c>
      <c r="O1024" s="223"/>
      <c r="P1024" s="223"/>
      <c r="Q1024" s="223"/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63"/>
      <c r="N1025" s="1"/>
      <c r="O1025" s="1"/>
      <c r="P1025" s="1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63"/>
      <c r="N1026" s="1"/>
      <c r="O1026" s="1"/>
      <c r="P1026" s="1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M1027" si="300">SUM(H1029,H1036,H1043,H1050,H1057,)</f>
        <v>48876500</v>
      </c>
      <c r="I1027" s="178">
        <f t="shared" si="300"/>
        <v>0</v>
      </c>
      <c r="J1027" s="178">
        <f t="shared" si="300"/>
        <v>0</v>
      </c>
      <c r="K1027" s="178">
        <f t="shared" si="300"/>
        <v>0</v>
      </c>
      <c r="L1027" s="178">
        <f t="shared" si="300"/>
        <v>0</v>
      </c>
      <c r="M1027" s="178">
        <f t="shared" si="300"/>
        <v>0</v>
      </c>
      <c r="N1027" s="223">
        <f>SUM(H1027:M1027)</f>
        <v>48876500</v>
      </c>
      <c r="O1027" s="223"/>
      <c r="P1027" s="223"/>
      <c r="Q1027" s="223"/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178"/>
      <c r="N1028" s="223"/>
      <c r="O1028" s="223"/>
      <c r="P1028" s="223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M1029" si="301">SUM(H1030:H1034)</f>
        <v>3373000</v>
      </c>
      <c r="I1029" s="178">
        <f t="shared" si="301"/>
        <v>0</v>
      </c>
      <c r="J1029" s="178">
        <f t="shared" si="301"/>
        <v>0</v>
      </c>
      <c r="K1029" s="178">
        <f t="shared" si="301"/>
        <v>0</v>
      </c>
      <c r="L1029" s="178">
        <f t="shared" si="301"/>
        <v>0</v>
      </c>
      <c r="M1029" s="178">
        <f t="shared" si="301"/>
        <v>0</v>
      </c>
      <c r="N1029" s="1"/>
      <c r="O1029" s="1"/>
      <c r="P1029" s="1"/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2200000</v>
      </c>
      <c r="I1030" s="178" t="str">
        <f t="shared" ref="I1030:M1030" si="302">I428</f>
        <v/>
      </c>
      <c r="J1030" s="178" t="str">
        <f t="shared" si="302"/>
        <v/>
      </c>
      <c r="K1030" s="178" t="str">
        <f t="shared" si="302"/>
        <v/>
      </c>
      <c r="L1030" s="178" t="str">
        <f t="shared" si="302"/>
        <v/>
      </c>
      <c r="M1030" s="178" t="str">
        <f t="shared" si="302"/>
        <v/>
      </c>
      <c r="N1030" s="1"/>
      <c r="O1030" s="1"/>
      <c r="P1030" s="1"/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158000</v>
      </c>
      <c r="I1031" s="178" t="str">
        <f t="shared" ref="I1031:M1031" si="303">I430</f>
        <v/>
      </c>
      <c r="J1031" s="178" t="str">
        <f t="shared" si="303"/>
        <v/>
      </c>
      <c r="K1031" s="178" t="str">
        <f t="shared" si="303"/>
        <v/>
      </c>
      <c r="L1031" s="178" t="str">
        <f t="shared" si="303"/>
        <v/>
      </c>
      <c r="M1031" s="178" t="str">
        <f t="shared" si="303"/>
        <v/>
      </c>
      <c r="N1031" s="1"/>
      <c r="O1031" s="1"/>
      <c r="P1031" s="1"/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M1032" si="304">I432</f>
        <v/>
      </c>
      <c r="J1032" s="178" t="str">
        <f t="shared" si="304"/>
        <v/>
      </c>
      <c r="K1032" s="178" t="str">
        <f t="shared" si="304"/>
        <v/>
      </c>
      <c r="L1032" s="178" t="str">
        <f t="shared" si="304"/>
        <v/>
      </c>
      <c r="M1032" s="178" t="str">
        <f t="shared" si="304"/>
        <v/>
      </c>
      <c r="N1032" s="1"/>
      <c r="O1032" s="1"/>
      <c r="P1032" s="1"/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1015000</v>
      </c>
      <c r="I1033" s="178" t="str">
        <f t="shared" ref="I1033:M1033" si="305">I434</f>
        <v/>
      </c>
      <c r="J1033" s="178" t="str">
        <f t="shared" si="305"/>
        <v/>
      </c>
      <c r="K1033" s="178" t="str">
        <f t="shared" si="305"/>
        <v/>
      </c>
      <c r="L1033" s="178" t="str">
        <f t="shared" si="305"/>
        <v/>
      </c>
      <c r="M1033" s="178" t="str">
        <f t="shared" si="305"/>
        <v/>
      </c>
      <c r="N1033" s="1"/>
      <c r="O1033" s="1"/>
      <c r="P1033" s="1"/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M1034" si="306">I436</f>
        <v/>
      </c>
      <c r="J1034" s="178" t="str">
        <f t="shared" si="306"/>
        <v/>
      </c>
      <c r="K1034" s="178" t="str">
        <f t="shared" si="306"/>
        <v/>
      </c>
      <c r="L1034" s="178" t="str">
        <f t="shared" si="306"/>
        <v/>
      </c>
      <c r="M1034" s="178" t="str">
        <f t="shared" si="306"/>
        <v/>
      </c>
      <c r="N1034" s="1"/>
      <c r="O1034" s="1"/>
      <c r="P1034" s="1"/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78"/>
      <c r="N1035" s="1"/>
      <c r="O1035" s="1"/>
      <c r="P1035" s="1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M1036" si="307">SUM(H1037:H1041)</f>
        <v>3498000</v>
      </c>
      <c r="I1036" s="178">
        <f t="shared" si="307"/>
        <v>0</v>
      </c>
      <c r="J1036" s="178">
        <f t="shared" si="307"/>
        <v>0</v>
      </c>
      <c r="K1036" s="178">
        <f t="shared" si="307"/>
        <v>0</v>
      </c>
      <c r="L1036" s="178">
        <f t="shared" si="307"/>
        <v>0</v>
      </c>
      <c r="M1036" s="178">
        <f t="shared" si="307"/>
        <v>0</v>
      </c>
      <c r="N1036" s="1"/>
      <c r="O1036" s="1"/>
      <c r="P1036" s="1"/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2400000</v>
      </c>
      <c r="I1037" s="178" t="str">
        <f t="shared" ref="I1037:M1037" si="308">I454</f>
        <v/>
      </c>
      <c r="J1037" s="178" t="str">
        <f t="shared" si="308"/>
        <v/>
      </c>
      <c r="K1037" s="178" t="str">
        <f t="shared" si="308"/>
        <v/>
      </c>
      <c r="L1037" s="178" t="str">
        <f t="shared" si="308"/>
        <v/>
      </c>
      <c r="M1037" s="178" t="str">
        <f t="shared" si="308"/>
        <v/>
      </c>
      <c r="N1037" s="1"/>
      <c r="O1037" s="1"/>
      <c r="P1037" s="1"/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108000</v>
      </c>
      <c r="I1038" s="178" t="str">
        <f t="shared" ref="I1038:M1038" si="309">I456</f>
        <v/>
      </c>
      <c r="J1038" s="178" t="str">
        <f t="shared" si="309"/>
        <v/>
      </c>
      <c r="K1038" s="178" t="str">
        <f t="shared" si="309"/>
        <v/>
      </c>
      <c r="L1038" s="178" t="str">
        <f t="shared" si="309"/>
        <v/>
      </c>
      <c r="M1038" s="178" t="str">
        <f t="shared" si="309"/>
        <v/>
      </c>
      <c r="N1038" s="1"/>
      <c r="O1038" s="1"/>
      <c r="P1038" s="1"/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M1039" si="310">I458</f>
        <v/>
      </c>
      <c r="J1039" s="178" t="str">
        <f t="shared" si="310"/>
        <v/>
      </c>
      <c r="K1039" s="178" t="str">
        <f t="shared" si="310"/>
        <v/>
      </c>
      <c r="L1039" s="178" t="str">
        <f t="shared" si="310"/>
        <v/>
      </c>
      <c r="M1039" s="178" t="str">
        <f t="shared" si="310"/>
        <v/>
      </c>
      <c r="N1039" s="1"/>
      <c r="O1039" s="1"/>
      <c r="P1039" s="1"/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990000</v>
      </c>
      <c r="I1040" s="178" t="str">
        <f t="shared" ref="I1040:M1040" si="311">I460</f>
        <v/>
      </c>
      <c r="J1040" s="178" t="str">
        <f t="shared" si="311"/>
        <v/>
      </c>
      <c r="K1040" s="178" t="str">
        <f t="shared" si="311"/>
        <v/>
      </c>
      <c r="L1040" s="178" t="str">
        <f t="shared" si="311"/>
        <v/>
      </c>
      <c r="M1040" s="178" t="str">
        <f t="shared" si="311"/>
        <v/>
      </c>
      <c r="N1040" s="1"/>
      <c r="O1040" s="1"/>
      <c r="P1040" s="1"/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M1041" si="312">I462</f>
        <v/>
      </c>
      <c r="J1041" s="178" t="str">
        <f t="shared" si="312"/>
        <v/>
      </c>
      <c r="K1041" s="178" t="str">
        <f t="shared" si="312"/>
        <v/>
      </c>
      <c r="L1041" s="178" t="str">
        <f t="shared" si="312"/>
        <v/>
      </c>
      <c r="M1041" s="178" t="str">
        <f t="shared" si="312"/>
        <v/>
      </c>
      <c r="N1041" s="1"/>
      <c r="O1041" s="1"/>
      <c r="P1041" s="1"/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78"/>
      <c r="N1042" s="1"/>
      <c r="O1042" s="1"/>
      <c r="P1042" s="1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M1043" si="313">SUM(H1044:H1048)</f>
        <v>15518000</v>
      </c>
      <c r="I1043" s="178">
        <f t="shared" si="313"/>
        <v>0</v>
      </c>
      <c r="J1043" s="178">
        <f t="shared" si="313"/>
        <v>0</v>
      </c>
      <c r="K1043" s="178">
        <f t="shared" si="313"/>
        <v>0</v>
      </c>
      <c r="L1043" s="178">
        <f t="shared" si="313"/>
        <v>0</v>
      </c>
      <c r="M1043" s="178">
        <f t="shared" si="313"/>
        <v>0</v>
      </c>
      <c r="N1043" s="1"/>
      <c r="O1043" s="1"/>
      <c r="P1043" s="1"/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11600000</v>
      </c>
      <c r="I1044" s="178"/>
      <c r="J1044" s="178"/>
      <c r="K1044" s="178"/>
      <c r="L1044" s="178"/>
      <c r="M1044" s="178"/>
      <c r="N1044" s="1"/>
      <c r="O1044" s="1"/>
      <c r="P1044" s="1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390000</v>
      </c>
      <c r="I1045" s="178"/>
      <c r="J1045" s="178"/>
      <c r="K1045" s="178"/>
      <c r="L1045" s="178"/>
      <c r="M1045" s="178"/>
      <c r="N1045" s="1"/>
      <c r="O1045" s="1"/>
      <c r="P1045" s="1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78"/>
      <c r="N1046" s="1"/>
      <c r="O1046" s="1"/>
      <c r="P1046" s="1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3528000</v>
      </c>
      <c r="I1047" s="178"/>
      <c r="J1047" s="178"/>
      <c r="K1047" s="178"/>
      <c r="L1047" s="178"/>
      <c r="M1047" s="178"/>
      <c r="N1047" s="1"/>
      <c r="O1047" s="1"/>
      <c r="P1047" s="1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78"/>
      <c r="N1048" s="1"/>
      <c r="O1048" s="1"/>
      <c r="P1048" s="1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78"/>
      <c r="N1049" s="1"/>
      <c r="O1049" s="1"/>
      <c r="P1049" s="1"/>
      <c r="Q1049" s="1"/>
      <c r="R1049" s="1"/>
      <c r="S1049" s="1"/>
    </row>
    <row r="1050" collapsed="1">
      <c r="A1050" s="1"/>
      <c r="B1050" s="1"/>
      <c r="C1050" s="1"/>
      <c r="D1050" s="1"/>
      <c r="E1050" s="13" t="s">
        <v>49</v>
      </c>
      <c r="G1050" s="178"/>
      <c r="H1050" s="188">
        <f t="shared" ref="H1050:M1050" si="314">SUM(H1051:H1055)</f>
        <v>19602500</v>
      </c>
      <c r="I1050" s="178">
        <f t="shared" si="314"/>
        <v>0</v>
      </c>
      <c r="J1050" s="178">
        <f t="shared" si="314"/>
        <v>0</v>
      </c>
      <c r="K1050" s="178">
        <f t="shared" si="314"/>
        <v>0</v>
      </c>
      <c r="L1050" s="178">
        <f t="shared" si="314"/>
        <v>0</v>
      </c>
      <c r="M1050" s="178">
        <f t="shared" si="314"/>
        <v>0</v>
      </c>
      <c r="N1050" s="1"/>
      <c r="O1050" s="1"/>
      <c r="P1050" s="1"/>
      <c r="Q1050" s="1"/>
      <c r="R1050" s="1"/>
      <c r="S1050" s="1"/>
    </row>
    <row r="1051" hidden="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18280000</v>
      </c>
      <c r="I1051" s="178"/>
      <c r="J1051" s="178"/>
      <c r="K1051" s="178"/>
      <c r="L1051" s="178"/>
      <c r="M1051" s="178"/>
      <c r="N1051" s="1"/>
      <c r="O1051" s="1"/>
      <c r="P1051" s="1"/>
      <c r="Q1051" s="1"/>
      <c r="R1051" s="1"/>
      <c r="S1051" s="1"/>
    </row>
    <row r="1052" hidden="1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1322500</v>
      </c>
      <c r="I1052" s="178"/>
      <c r="J1052" s="178"/>
      <c r="K1052" s="178"/>
      <c r="L1052" s="178"/>
      <c r="M1052" s="178"/>
      <c r="N1052" s="1"/>
      <c r="O1052" s="1"/>
      <c r="P1052" s="1"/>
      <c r="Q1052" s="1"/>
      <c r="R1052" s="1"/>
      <c r="S1052" s="1"/>
    </row>
    <row r="1053" hidden="1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78"/>
      <c r="N1053" s="1"/>
      <c r="O1053" s="1"/>
      <c r="P1053" s="1"/>
      <c r="Q1053" s="1"/>
      <c r="R1053" s="1"/>
      <c r="S1053" s="1"/>
    </row>
    <row r="1054" hidden="1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78"/>
      <c r="N1054" s="1"/>
      <c r="O1054" s="1"/>
      <c r="P1054" s="1"/>
      <c r="Q1054" s="1"/>
      <c r="R1054" s="1"/>
      <c r="S1054" s="1"/>
    </row>
    <row r="1055" hidden="1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78"/>
      <c r="N1055" s="1"/>
      <c r="O1055" s="1"/>
      <c r="P1055" s="1"/>
      <c r="Q1055" s="1"/>
      <c r="R1055" s="1"/>
      <c r="S1055" s="1"/>
    </row>
    <row r="1056" hidden="1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78"/>
      <c r="N1056" s="1"/>
      <c r="O1056" s="1"/>
      <c r="P1056" s="1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M1057" si="315">SUM(H1058:H1062)</f>
        <v>6885000</v>
      </c>
      <c r="I1057" s="178">
        <f t="shared" si="315"/>
        <v>0</v>
      </c>
      <c r="J1057" s="178">
        <f t="shared" si="315"/>
        <v>0</v>
      </c>
      <c r="K1057" s="178">
        <f t="shared" si="315"/>
        <v>0</v>
      </c>
      <c r="L1057" s="178">
        <f t="shared" si="315"/>
        <v>0</v>
      </c>
      <c r="M1057" s="178">
        <f t="shared" si="315"/>
        <v>0</v>
      </c>
      <c r="N1057" s="1"/>
      <c r="O1057" s="1"/>
      <c r="P1057" s="1"/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6480000</v>
      </c>
      <c r="I1058" s="178"/>
      <c r="J1058" s="178"/>
      <c r="K1058" s="178"/>
      <c r="L1058" s="178"/>
      <c r="M1058" s="178"/>
      <c r="N1058" s="1"/>
      <c r="O1058" s="1"/>
      <c r="P1058" s="1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405000</v>
      </c>
      <c r="I1059" s="178"/>
      <c r="J1059" s="178"/>
      <c r="K1059" s="178"/>
      <c r="L1059" s="178"/>
      <c r="M1059" s="178"/>
      <c r="N1059" s="1"/>
      <c r="O1059" s="1"/>
      <c r="P1059" s="1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78"/>
      <c r="N1060" s="1"/>
      <c r="O1060" s="1"/>
      <c r="P1060" s="1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78"/>
      <c r="N1061" s="1"/>
      <c r="O1061" s="1"/>
      <c r="P1061" s="1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78"/>
      <c r="N1062" s="1"/>
      <c r="O1062" s="1"/>
      <c r="P1062" s="1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78"/>
      <c r="N1063" s="1"/>
      <c r="O1063" s="1"/>
      <c r="P1063" s="1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M1064" si="316">SUM(H1066,H1071,H1076,)</f>
        <v>36000</v>
      </c>
      <c r="I1064" s="178">
        <f t="shared" si="316"/>
        <v>39600</v>
      </c>
      <c r="J1064" s="178">
        <f t="shared" si="316"/>
        <v>43560</v>
      </c>
      <c r="K1064" s="178">
        <f t="shared" si="316"/>
        <v>297516</v>
      </c>
      <c r="L1064" s="178">
        <f t="shared" si="316"/>
        <v>206307.6</v>
      </c>
      <c r="M1064" s="178">
        <f t="shared" si="316"/>
        <v>372858.36</v>
      </c>
      <c r="N1064" s="223">
        <f>SUM(H1064:M1064)</f>
        <v>995841.96</v>
      </c>
      <c r="O1064" s="223"/>
      <c r="P1064" s="223"/>
      <c r="Q1064" s="223"/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178"/>
      <c r="N1065" s="223"/>
      <c r="O1065" s="223"/>
      <c r="P1065" s="223"/>
      <c r="Q1065" s="223"/>
      <c r="R1065" s="223"/>
      <c r="S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M1066" si="317">SUM(H1067:H1069)</f>
        <v>13500</v>
      </c>
      <c r="I1066" s="178">
        <f t="shared" si="317"/>
        <v>14850</v>
      </c>
      <c r="J1066" s="178">
        <f t="shared" si="317"/>
        <v>16335</v>
      </c>
      <c r="K1066" s="178">
        <f t="shared" si="317"/>
        <v>17968.5</v>
      </c>
      <c r="L1066" s="178">
        <f t="shared" si="317"/>
        <v>19765.35</v>
      </c>
      <c r="M1066" s="178">
        <f t="shared" si="317"/>
        <v>21741.885</v>
      </c>
      <c r="N1066" s="1"/>
      <c r="O1066" s="1"/>
      <c r="P1066" s="1"/>
      <c r="Q1066" s="1"/>
      <c r="R1066" s="1"/>
      <c r="S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M1067" si="318">H571</f>
        <v>0</v>
      </c>
      <c r="I1067" s="178">
        <f t="shared" si="318"/>
        <v>0</v>
      </c>
      <c r="J1067" s="178">
        <f t="shared" si="318"/>
        <v>0</v>
      </c>
      <c r="K1067" s="178">
        <f t="shared" si="318"/>
        <v>0</v>
      </c>
      <c r="L1067" s="178">
        <f t="shared" si="318"/>
        <v>0</v>
      </c>
      <c r="M1067" s="178">
        <f t="shared" si="318"/>
        <v>0</v>
      </c>
      <c r="N1067" s="1"/>
      <c r="O1067" s="1"/>
      <c r="P1067" s="1"/>
      <c r="Q1067" s="1"/>
      <c r="R1067" s="1"/>
      <c r="S1067" s="1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M1068" si="319">H605</f>
        <v>0</v>
      </c>
      <c r="I1068" s="178">
        <f t="shared" si="319"/>
        <v>0</v>
      </c>
      <c r="J1068" s="178">
        <f t="shared" si="319"/>
        <v>0</v>
      </c>
      <c r="K1068" s="178">
        <f t="shared" si="319"/>
        <v>0</v>
      </c>
      <c r="L1068" s="178">
        <f t="shared" si="319"/>
        <v>0</v>
      </c>
      <c r="M1068" s="178">
        <f t="shared" si="319"/>
        <v>0</v>
      </c>
      <c r="N1068" s="1"/>
      <c r="O1068" s="1"/>
      <c r="P1068" s="1"/>
      <c r="Q1068" s="1"/>
      <c r="R1068" s="1"/>
      <c r="S1068" s="1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M1069" si="320">H624</f>
        <v>13500</v>
      </c>
      <c r="I1069" s="178">
        <f t="shared" si="320"/>
        <v>14850</v>
      </c>
      <c r="J1069" s="178">
        <f t="shared" si="320"/>
        <v>16335</v>
      </c>
      <c r="K1069" s="178">
        <f t="shared" si="320"/>
        <v>17968.5</v>
      </c>
      <c r="L1069" s="178">
        <f t="shared" si="320"/>
        <v>19765.35</v>
      </c>
      <c r="M1069" s="178">
        <f t="shared" si="320"/>
        <v>21741.885</v>
      </c>
      <c r="N1069" s="1"/>
      <c r="O1069" s="1"/>
      <c r="P1069" s="1"/>
      <c r="Q1069" s="1"/>
      <c r="R1069" s="1"/>
      <c r="S1069" s="1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78"/>
      <c r="N1070" s="1"/>
      <c r="O1070" s="1"/>
      <c r="P1070" s="1"/>
      <c r="Q1070" s="1"/>
      <c r="R1070" s="1"/>
      <c r="S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 t="shared" ref="H1071:M1071" si="321">SUM(H1072:H1074)</f>
        <v>22500</v>
      </c>
      <c r="I1071" s="178">
        <f t="shared" si="321"/>
        <v>24750</v>
      </c>
      <c r="J1071" s="178">
        <f t="shared" si="321"/>
        <v>27225</v>
      </c>
      <c r="K1071" s="178">
        <f t="shared" si="321"/>
        <v>29947.5</v>
      </c>
      <c r="L1071" s="178">
        <f t="shared" si="321"/>
        <v>52142.25</v>
      </c>
      <c r="M1071" s="178">
        <f t="shared" si="321"/>
        <v>36236.475</v>
      </c>
      <c r="N1071" s="1"/>
      <c r="O1071" s="1"/>
      <c r="P1071" s="1"/>
      <c r="Q1071" s="1"/>
      <c r="R1071" s="1"/>
      <c r="S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M1072" si="322">H646</f>
        <v>0</v>
      </c>
      <c r="I1072" s="178">
        <f t="shared" si="322"/>
        <v>0</v>
      </c>
      <c r="J1072" s="178">
        <f t="shared" si="322"/>
        <v>0</v>
      </c>
      <c r="K1072" s="178">
        <f t="shared" si="322"/>
        <v>0</v>
      </c>
      <c r="L1072" s="178">
        <f t="shared" si="322"/>
        <v>19200</v>
      </c>
      <c r="M1072" s="178">
        <f t="shared" si="322"/>
        <v>0</v>
      </c>
      <c r="N1072" s="1"/>
      <c r="O1072" s="1"/>
      <c r="P1072" s="1"/>
      <c r="Q1072" s="1"/>
      <c r="R1072" s="1"/>
      <c r="S1072" s="1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M1073" si="323">H679</f>
        <v>0</v>
      </c>
      <c r="I1073" s="178">
        <f t="shared" si="323"/>
        <v>0</v>
      </c>
      <c r="J1073" s="178">
        <f t="shared" si="323"/>
        <v>0</v>
      </c>
      <c r="K1073" s="178">
        <f t="shared" si="323"/>
        <v>0</v>
      </c>
      <c r="L1073" s="178">
        <f t="shared" si="323"/>
        <v>0</v>
      </c>
      <c r="M1073" s="178">
        <f t="shared" si="323"/>
        <v>0</v>
      </c>
      <c r="N1073" s="1"/>
      <c r="O1073" s="1"/>
      <c r="P1073" s="1"/>
      <c r="Q1073" s="1"/>
      <c r="R1073" s="1"/>
      <c r="S1073" s="1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M1074" si="324">H698</f>
        <v>22500</v>
      </c>
      <c r="I1074" s="178">
        <f t="shared" si="324"/>
        <v>24750</v>
      </c>
      <c r="J1074" s="178">
        <f t="shared" si="324"/>
        <v>27225</v>
      </c>
      <c r="K1074" s="178">
        <f t="shared" si="324"/>
        <v>29947.5</v>
      </c>
      <c r="L1074" s="178">
        <f t="shared" si="324"/>
        <v>32942.25</v>
      </c>
      <c r="M1074" s="178">
        <f t="shared" si="324"/>
        <v>36236.475</v>
      </c>
      <c r="N1074" s="1"/>
      <c r="O1074" s="1"/>
      <c r="P1074" s="1"/>
      <c r="Q1074" s="1"/>
      <c r="R1074" s="1"/>
      <c r="S1074" s="1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78"/>
      <c r="N1075" s="1"/>
      <c r="O1075" s="1"/>
      <c r="P1075" s="1"/>
      <c r="Q1075" s="1"/>
      <c r="R1075" s="1"/>
      <c r="S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 t="shared" ref="H1076:M1076" si="325">SUM(H1077:H1079)</f>
        <v>0</v>
      </c>
      <c r="I1076" s="178">
        <f t="shared" si="325"/>
        <v>0</v>
      </c>
      <c r="J1076" s="178">
        <f t="shared" si="325"/>
        <v>0</v>
      </c>
      <c r="K1076" s="178">
        <f t="shared" si="325"/>
        <v>249600</v>
      </c>
      <c r="L1076" s="178">
        <f t="shared" si="325"/>
        <v>134400</v>
      </c>
      <c r="M1076" s="178">
        <f t="shared" si="325"/>
        <v>314880</v>
      </c>
      <c r="N1076" s="1"/>
      <c r="O1076" s="1"/>
      <c r="P1076" s="1"/>
      <c r="Q1076" s="1"/>
      <c r="R1076" s="1"/>
      <c r="S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M1077" si="326">H720</f>
        <v>0</v>
      </c>
      <c r="I1077" s="178">
        <f t="shared" si="326"/>
        <v>0</v>
      </c>
      <c r="J1077" s="178">
        <f t="shared" si="326"/>
        <v>0</v>
      </c>
      <c r="K1077" s="178">
        <f t="shared" si="326"/>
        <v>249600</v>
      </c>
      <c r="L1077" s="178">
        <f t="shared" si="326"/>
        <v>134400</v>
      </c>
      <c r="M1077" s="178">
        <f t="shared" si="326"/>
        <v>314880</v>
      </c>
      <c r="N1077" s="1"/>
      <c r="O1077" s="1"/>
      <c r="P1077" s="1"/>
      <c r="Q1077" s="1"/>
      <c r="R1077" s="1"/>
      <c r="S1077" s="1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M1078" si="327">H754</f>
        <v>0</v>
      </c>
      <c r="I1078" s="178">
        <f t="shared" si="327"/>
        <v>0</v>
      </c>
      <c r="J1078" s="178">
        <f t="shared" si="327"/>
        <v>0</v>
      </c>
      <c r="K1078" s="178">
        <f t="shared" si="327"/>
        <v>0</v>
      </c>
      <c r="L1078" s="178">
        <f t="shared" si="327"/>
        <v>0</v>
      </c>
      <c r="M1078" s="178">
        <f t="shared" si="327"/>
        <v>0</v>
      </c>
      <c r="N1078" s="1"/>
      <c r="O1078" s="1"/>
      <c r="P1078" s="1"/>
      <c r="Q1078" s="1"/>
      <c r="R1078" s="1"/>
      <c r="S1078" s="1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M1079" si="328">H774</f>
        <v>0</v>
      </c>
      <c r="I1079" s="178">
        <f t="shared" si="328"/>
        <v>0</v>
      </c>
      <c r="J1079" s="178">
        <f t="shared" si="328"/>
        <v>0</v>
      </c>
      <c r="K1079" s="178">
        <f t="shared" si="328"/>
        <v>0</v>
      </c>
      <c r="L1079" s="178">
        <f t="shared" si="328"/>
        <v>0</v>
      </c>
      <c r="M1079" s="178">
        <f t="shared" si="328"/>
        <v>0</v>
      </c>
      <c r="N1079" s="1"/>
      <c r="O1079" s="1"/>
      <c r="P1079" s="1"/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78"/>
      <c r="N1080" s="1"/>
      <c r="O1080" s="1"/>
      <c r="P1080" s="1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M1081" si="329">SUM(H1083,H1090,H1097,H1104,H1111,)</f>
        <v>0</v>
      </c>
      <c r="I1081" s="178">
        <f t="shared" si="329"/>
        <v>8572000</v>
      </c>
      <c r="J1081" s="178">
        <f t="shared" si="329"/>
        <v>5534000</v>
      </c>
      <c r="K1081" s="178">
        <f t="shared" si="329"/>
        <v>4026000</v>
      </c>
      <c r="L1081" s="178">
        <f t="shared" si="329"/>
        <v>2686000</v>
      </c>
      <c r="M1081" s="178">
        <f t="shared" si="329"/>
        <v>5467000</v>
      </c>
      <c r="N1081" s="223">
        <f>SUM(H1081:M1081)</f>
        <v>26285000</v>
      </c>
      <c r="O1081" s="223"/>
      <c r="P1081" s="223"/>
      <c r="Q1081" s="223"/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178"/>
      <c r="N1082" s="223"/>
      <c r="O1082" s="223"/>
      <c r="P1082" s="223"/>
      <c r="Q1082" s="223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M1083" si="330">SUM(H1084:H1088)</f>
        <v>0</v>
      </c>
      <c r="I1083" s="178">
        <f t="shared" si="330"/>
        <v>0</v>
      </c>
      <c r="J1083" s="178">
        <f t="shared" si="330"/>
        <v>320000</v>
      </c>
      <c r="K1083" s="178">
        <f t="shared" si="330"/>
        <v>0</v>
      </c>
      <c r="L1083" s="178">
        <f t="shared" si="330"/>
        <v>0</v>
      </c>
      <c r="M1083" s="178">
        <f t="shared" si="330"/>
        <v>900000</v>
      </c>
      <c r="N1083" s="1"/>
      <c r="O1083" s="1"/>
      <c r="P1083" s="1"/>
      <c r="Q1083" s="1"/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M1084" si="331">H827</f>
        <v>0</v>
      </c>
      <c r="I1084" s="179">
        <f t="shared" si="331"/>
        <v>0</v>
      </c>
      <c r="J1084" s="179">
        <f t="shared" si="331"/>
        <v>280000</v>
      </c>
      <c r="K1084" s="179">
        <f t="shared" si="331"/>
        <v>0</v>
      </c>
      <c r="L1084" s="179">
        <f t="shared" si="331"/>
        <v>0</v>
      </c>
      <c r="M1084" s="179">
        <f t="shared" si="331"/>
        <v>700000</v>
      </c>
      <c r="N1084" s="1"/>
      <c r="O1084" s="1"/>
      <c r="P1084" s="1"/>
      <c r="Q1084" s="1"/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M1085" si="332">H830</f>
        <v>0</v>
      </c>
      <c r="I1085" s="179">
        <f t="shared" si="332"/>
        <v>0</v>
      </c>
      <c r="J1085" s="179">
        <f t="shared" si="332"/>
        <v>40000</v>
      </c>
      <c r="K1085" s="179">
        <f t="shared" si="332"/>
        <v>0</v>
      </c>
      <c r="L1085" s="179">
        <f t="shared" si="332"/>
        <v>0</v>
      </c>
      <c r="M1085" s="179">
        <f t="shared" si="332"/>
        <v>90000</v>
      </c>
      <c r="N1085" s="1"/>
      <c r="O1085" s="1"/>
      <c r="P1085" s="1"/>
      <c r="Q1085" s="1"/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M1086" si="333">H833</f>
        <v>0</v>
      </c>
      <c r="I1086" s="179">
        <f t="shared" si="333"/>
        <v>0</v>
      </c>
      <c r="J1086" s="179">
        <f t="shared" si="333"/>
        <v>0</v>
      </c>
      <c r="K1086" s="179">
        <f t="shared" si="333"/>
        <v>0</v>
      </c>
      <c r="L1086" s="179">
        <f t="shared" si="333"/>
        <v>0</v>
      </c>
      <c r="M1086" s="179">
        <f t="shared" si="333"/>
        <v>10000</v>
      </c>
      <c r="N1086" s="1"/>
      <c r="O1086" s="1"/>
      <c r="P1086" s="1"/>
      <c r="Q1086" s="1"/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M1087" si="334">H836</f>
        <v>0</v>
      </c>
      <c r="I1087" s="179">
        <f t="shared" si="334"/>
        <v>0</v>
      </c>
      <c r="J1087" s="179">
        <f t="shared" si="334"/>
        <v>0</v>
      </c>
      <c r="K1087" s="179">
        <f t="shared" si="334"/>
        <v>0</v>
      </c>
      <c r="L1087" s="179">
        <f t="shared" si="334"/>
        <v>0</v>
      </c>
      <c r="M1087" s="179">
        <f t="shared" si="334"/>
        <v>100000</v>
      </c>
      <c r="N1087" s="1"/>
      <c r="O1087" s="1"/>
      <c r="P1087" s="1"/>
      <c r="Q1087" s="1"/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M1088" si="335">H839</f>
        <v>0</v>
      </c>
      <c r="I1088" s="179">
        <f t="shared" si="335"/>
        <v>0</v>
      </c>
      <c r="J1088" s="179">
        <f t="shared" si="335"/>
        <v>0</v>
      </c>
      <c r="K1088" s="179">
        <f t="shared" si="335"/>
        <v>0</v>
      </c>
      <c r="L1088" s="179">
        <f t="shared" si="335"/>
        <v>0</v>
      </c>
      <c r="M1088" s="179">
        <f t="shared" si="335"/>
        <v>0</v>
      </c>
      <c r="N1088" s="1"/>
      <c r="O1088" s="1"/>
      <c r="P1088" s="1"/>
      <c r="Q1088" s="1"/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78"/>
      <c r="N1089" s="1"/>
      <c r="O1089" s="1"/>
      <c r="P1089" s="1"/>
      <c r="Q1089" s="1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M1090" si="336">SUM(H1091:H1095)</f>
        <v>0</v>
      </c>
      <c r="I1090" s="178">
        <f t="shared" si="336"/>
        <v>0</v>
      </c>
      <c r="J1090" s="178">
        <f t="shared" si="336"/>
        <v>660000</v>
      </c>
      <c r="K1090" s="178">
        <f t="shared" si="336"/>
        <v>0</v>
      </c>
      <c r="L1090" s="178">
        <f t="shared" si="336"/>
        <v>0</v>
      </c>
      <c r="M1090" s="178">
        <f t="shared" si="336"/>
        <v>1889000</v>
      </c>
      <c r="N1090" s="1"/>
      <c r="O1090" s="1"/>
      <c r="P1090" s="1"/>
      <c r="Q1090" s="1"/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M1091" si="337">H872</f>
        <v>0</v>
      </c>
      <c r="I1091" s="179">
        <f t="shared" si="337"/>
        <v>0</v>
      </c>
      <c r="J1091" s="179">
        <f t="shared" si="337"/>
        <v>300000</v>
      </c>
      <c r="K1091" s="179">
        <f t="shared" si="337"/>
        <v>0</v>
      </c>
      <c r="L1091" s="179">
        <f t="shared" si="337"/>
        <v>0</v>
      </c>
      <c r="M1091" s="179">
        <f t="shared" si="337"/>
        <v>875000</v>
      </c>
      <c r="N1091" s="1"/>
      <c r="O1091" s="1"/>
      <c r="P1091" s="1"/>
      <c r="Q1091" s="1"/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M1092" si="338">H875</f>
        <v>0</v>
      </c>
      <c r="I1092" s="179">
        <f t="shared" si="338"/>
        <v>0</v>
      </c>
      <c r="J1092" s="179">
        <f t="shared" si="338"/>
        <v>120000</v>
      </c>
      <c r="K1092" s="179">
        <f t="shared" si="338"/>
        <v>0</v>
      </c>
      <c r="L1092" s="179">
        <f t="shared" si="338"/>
        <v>0</v>
      </c>
      <c r="M1092" s="179">
        <f t="shared" si="338"/>
        <v>350000</v>
      </c>
      <c r="N1092" s="1"/>
      <c r="O1092" s="1"/>
      <c r="P1092" s="1"/>
      <c r="Q1092" s="1"/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M1093" si="339">H878</f>
        <v>0</v>
      </c>
      <c r="I1093" s="179">
        <f t="shared" si="339"/>
        <v>0</v>
      </c>
      <c r="J1093" s="179">
        <f t="shared" si="339"/>
        <v>24000</v>
      </c>
      <c r="K1093" s="179">
        <f t="shared" si="339"/>
        <v>0</v>
      </c>
      <c r="L1093" s="179">
        <f t="shared" si="339"/>
        <v>0</v>
      </c>
      <c r="M1093" s="179">
        <f t="shared" si="339"/>
        <v>88000</v>
      </c>
      <c r="N1093" s="1"/>
      <c r="O1093" s="1"/>
      <c r="P1093" s="1"/>
      <c r="Q1093" s="1"/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M1094" si="340">H881</f>
        <v>0</v>
      </c>
      <c r="I1094" s="179">
        <f t="shared" si="340"/>
        <v>0</v>
      </c>
      <c r="J1094" s="179">
        <f t="shared" si="340"/>
        <v>216000</v>
      </c>
      <c r="K1094" s="179">
        <f t="shared" si="340"/>
        <v>0</v>
      </c>
      <c r="L1094" s="179">
        <f t="shared" si="340"/>
        <v>0</v>
      </c>
      <c r="M1094" s="179">
        <f t="shared" si="340"/>
        <v>576000</v>
      </c>
      <c r="N1094" s="1"/>
      <c r="O1094" s="1"/>
      <c r="P1094" s="1"/>
      <c r="Q1094" s="1"/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M1095" si="341">H884</f>
        <v>0</v>
      </c>
      <c r="I1095" s="179">
        <f t="shared" si="341"/>
        <v>0</v>
      </c>
      <c r="J1095" s="179">
        <f t="shared" si="341"/>
        <v>0</v>
      </c>
      <c r="K1095" s="179">
        <f t="shared" si="341"/>
        <v>0</v>
      </c>
      <c r="L1095" s="179">
        <f t="shared" si="341"/>
        <v>0</v>
      </c>
      <c r="M1095" s="179">
        <f t="shared" si="341"/>
        <v>0</v>
      </c>
      <c r="N1095" s="1"/>
      <c r="O1095" s="1"/>
      <c r="P1095" s="1"/>
      <c r="Q1095" s="1"/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M1097" si="342">SUM(H1098:H1102)</f>
        <v>0</v>
      </c>
      <c r="I1097" s="178">
        <f t="shared" si="342"/>
        <v>4624000</v>
      </c>
      <c r="J1097" s="178">
        <f t="shared" si="342"/>
        <v>2452000</v>
      </c>
      <c r="K1097" s="178">
        <f t="shared" si="342"/>
        <v>2172000</v>
      </c>
      <c r="L1097" s="178">
        <f t="shared" si="342"/>
        <v>1448000</v>
      </c>
      <c r="M1097" s="178">
        <f t="shared" si="342"/>
        <v>1448000</v>
      </c>
      <c r="N1097" s="1"/>
      <c r="O1097" s="1"/>
      <c r="P1097" s="1"/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M1098" si="343">H917</f>
        <v>0</v>
      </c>
      <c r="I1098" s="180">
        <f t="shared" si="343"/>
        <v>1280000</v>
      </c>
      <c r="J1098" s="180">
        <f t="shared" si="343"/>
        <v>680000</v>
      </c>
      <c r="K1098" s="180">
        <f t="shared" si="343"/>
        <v>600000</v>
      </c>
      <c r="L1098" s="180">
        <f t="shared" si="343"/>
        <v>400000</v>
      </c>
      <c r="M1098" s="180">
        <f t="shared" si="343"/>
        <v>400000</v>
      </c>
      <c r="N1098" s="1"/>
      <c r="O1098" s="1"/>
      <c r="P1098" s="1"/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M1099" si="344">H920</f>
        <v>0</v>
      </c>
      <c r="I1099" s="170">
        <f t="shared" si="344"/>
        <v>890000</v>
      </c>
      <c r="J1099" s="170">
        <f t="shared" si="344"/>
        <v>470000</v>
      </c>
      <c r="K1099" s="170">
        <f t="shared" si="344"/>
        <v>420000</v>
      </c>
      <c r="L1099" s="170">
        <f t="shared" si="344"/>
        <v>280000</v>
      </c>
      <c r="M1099" s="170">
        <f t="shared" si="344"/>
        <v>280000</v>
      </c>
      <c r="N1099" s="1"/>
      <c r="O1099" s="1"/>
      <c r="P1099" s="1"/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M1100" si="345">H923</f>
        <v>0</v>
      </c>
      <c r="I1100" s="170">
        <f t="shared" si="345"/>
        <v>312000</v>
      </c>
      <c r="J1100" s="170">
        <f t="shared" si="345"/>
        <v>168000</v>
      </c>
      <c r="K1100" s="170">
        <f t="shared" si="345"/>
        <v>144000</v>
      </c>
      <c r="L1100" s="170">
        <f t="shared" si="345"/>
        <v>96000</v>
      </c>
      <c r="M1100" s="170">
        <f t="shared" si="345"/>
        <v>96000</v>
      </c>
      <c r="N1100" s="1"/>
      <c r="O1100" s="1"/>
      <c r="P1100" s="1"/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M1101" si="346">H926</f>
        <v>0</v>
      </c>
      <c r="I1101" s="170">
        <f t="shared" si="346"/>
        <v>2142000</v>
      </c>
      <c r="J1101" s="170">
        <f t="shared" si="346"/>
        <v>1134000</v>
      </c>
      <c r="K1101" s="170">
        <f t="shared" si="346"/>
        <v>1008000</v>
      </c>
      <c r="L1101" s="170">
        <f t="shared" si="346"/>
        <v>672000</v>
      </c>
      <c r="M1101" s="170">
        <f t="shared" si="346"/>
        <v>672000</v>
      </c>
      <c r="N1101" s="1"/>
      <c r="O1101" s="1"/>
      <c r="P1101" s="1"/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M1102" si="347">H929</f>
        <v>0</v>
      </c>
      <c r="I1102" s="170">
        <f t="shared" si="347"/>
        <v>0</v>
      </c>
      <c r="J1102" s="170">
        <f t="shared" si="347"/>
        <v>0</v>
      </c>
      <c r="K1102" s="170">
        <f t="shared" si="347"/>
        <v>0</v>
      </c>
      <c r="L1102" s="170">
        <f t="shared" si="347"/>
        <v>0</v>
      </c>
      <c r="M1102" s="170">
        <f t="shared" si="347"/>
        <v>0</v>
      </c>
      <c r="N1102" s="1"/>
      <c r="O1102" s="1"/>
      <c r="P1102" s="1"/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M1104" si="348">SUM(H1105:H1109)</f>
        <v>0</v>
      </c>
      <c r="I1104" s="178">
        <f t="shared" si="348"/>
        <v>2920000</v>
      </c>
      <c r="J1104" s="178">
        <f t="shared" si="348"/>
        <v>1556000</v>
      </c>
      <c r="K1104" s="178">
        <f t="shared" si="348"/>
        <v>1372000</v>
      </c>
      <c r="L1104" s="178">
        <f t="shared" si="348"/>
        <v>914000</v>
      </c>
      <c r="M1104" s="178">
        <f t="shared" si="348"/>
        <v>914000</v>
      </c>
      <c r="N1104" s="1"/>
      <c r="O1104" s="1"/>
      <c r="P1104" s="1"/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M1105" si="349">H963</f>
        <v>0</v>
      </c>
      <c r="I1105" s="170">
        <f t="shared" si="349"/>
        <v>1600000</v>
      </c>
      <c r="J1105" s="170">
        <f t="shared" si="349"/>
        <v>856000</v>
      </c>
      <c r="K1105" s="170">
        <f t="shared" si="349"/>
        <v>752000</v>
      </c>
      <c r="L1105" s="170">
        <f t="shared" si="349"/>
        <v>504000</v>
      </c>
      <c r="M1105" s="170">
        <f t="shared" si="349"/>
        <v>504000</v>
      </c>
      <c r="N1105" s="1"/>
      <c r="O1105" s="1"/>
      <c r="P1105" s="1"/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M1106" si="350">H966</f>
        <v>0</v>
      </c>
      <c r="I1106" s="170">
        <f t="shared" si="350"/>
        <v>1320000</v>
      </c>
      <c r="J1106" s="170">
        <f t="shared" si="350"/>
        <v>700000</v>
      </c>
      <c r="K1106" s="170">
        <f t="shared" si="350"/>
        <v>620000</v>
      </c>
      <c r="L1106" s="170">
        <f t="shared" si="350"/>
        <v>410000</v>
      </c>
      <c r="M1106" s="170">
        <f t="shared" si="350"/>
        <v>410000</v>
      </c>
      <c r="N1106" s="1"/>
      <c r="O1106" s="1"/>
      <c r="P1106" s="1"/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M1107" si="351">H969</f>
        <v>0</v>
      </c>
      <c r="I1107" s="170">
        <f t="shared" si="351"/>
        <v>0</v>
      </c>
      <c r="J1107" s="170">
        <f t="shared" si="351"/>
        <v>0</v>
      </c>
      <c r="K1107" s="170">
        <f t="shared" si="351"/>
        <v>0</v>
      </c>
      <c r="L1107" s="170">
        <f t="shared" si="351"/>
        <v>0</v>
      </c>
      <c r="M1107" s="170">
        <f t="shared" si="351"/>
        <v>0</v>
      </c>
      <c r="N1107" s="1"/>
      <c r="O1107" s="1"/>
      <c r="P1107" s="1"/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M1108" si="352">H972</f>
        <v>0</v>
      </c>
      <c r="I1108" s="170">
        <f t="shared" si="352"/>
        <v>0</v>
      </c>
      <c r="J1108" s="170">
        <f t="shared" si="352"/>
        <v>0</v>
      </c>
      <c r="K1108" s="170">
        <f t="shared" si="352"/>
        <v>0</v>
      </c>
      <c r="L1108" s="170">
        <f t="shared" si="352"/>
        <v>0</v>
      </c>
      <c r="M1108" s="170">
        <f t="shared" si="352"/>
        <v>0</v>
      </c>
      <c r="N1108" s="1"/>
      <c r="O1108" s="1"/>
      <c r="P1108" s="1"/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M1109" si="353">H975</f>
        <v>0</v>
      </c>
      <c r="I1109" s="170">
        <f t="shared" si="353"/>
        <v>0</v>
      </c>
      <c r="J1109" s="170">
        <f t="shared" si="353"/>
        <v>0</v>
      </c>
      <c r="K1109" s="170">
        <f t="shared" si="353"/>
        <v>0</v>
      </c>
      <c r="L1109" s="170">
        <f t="shared" si="353"/>
        <v>0</v>
      </c>
      <c r="M1109" s="170">
        <f t="shared" si="353"/>
        <v>0</v>
      </c>
      <c r="N1109" s="1"/>
      <c r="O1109" s="1"/>
      <c r="P1109" s="1"/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M1111" si="354">SUM(H1112:H1116)</f>
        <v>0</v>
      </c>
      <c r="I1111" s="178">
        <f t="shared" si="354"/>
        <v>1028000</v>
      </c>
      <c r="J1111" s="178">
        <f t="shared" si="354"/>
        <v>546000</v>
      </c>
      <c r="K1111" s="178">
        <f t="shared" si="354"/>
        <v>482000</v>
      </c>
      <c r="L1111" s="178">
        <f t="shared" si="354"/>
        <v>324000</v>
      </c>
      <c r="M1111" s="178">
        <f t="shared" si="354"/>
        <v>316000</v>
      </c>
      <c r="N1111" s="1"/>
      <c r="O1111" s="1"/>
      <c r="P1111" s="1"/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M1112" si="355">H1008</f>
        <v>0</v>
      </c>
      <c r="I1112" s="170">
        <f t="shared" si="355"/>
        <v>680000</v>
      </c>
      <c r="J1112" s="170">
        <f t="shared" si="355"/>
        <v>360000</v>
      </c>
      <c r="K1112" s="170">
        <f t="shared" si="355"/>
        <v>320000</v>
      </c>
      <c r="L1112" s="170">
        <f t="shared" si="355"/>
        <v>216000</v>
      </c>
      <c r="M1112" s="170">
        <f t="shared" si="355"/>
        <v>208000</v>
      </c>
      <c r="N1112" s="223"/>
      <c r="O1112" s="223"/>
      <c r="P1112" s="223"/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M1113" si="356">H1011</f>
        <v>0</v>
      </c>
      <c r="I1113" s="170">
        <f t="shared" si="356"/>
        <v>348000</v>
      </c>
      <c r="J1113" s="170">
        <f t="shared" si="356"/>
        <v>186000</v>
      </c>
      <c r="K1113" s="170">
        <f t="shared" si="356"/>
        <v>162000</v>
      </c>
      <c r="L1113" s="170">
        <f t="shared" si="356"/>
        <v>108000</v>
      </c>
      <c r="M1113" s="170">
        <f t="shared" si="356"/>
        <v>108000</v>
      </c>
      <c r="N1113" s="1"/>
      <c r="O1113" s="1"/>
      <c r="P1113" s="1"/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M1114" si="357">H1014</f>
        <v>0</v>
      </c>
      <c r="I1114" s="170">
        <f t="shared" si="357"/>
        <v>0</v>
      </c>
      <c r="J1114" s="170">
        <f t="shared" si="357"/>
        <v>0</v>
      </c>
      <c r="K1114" s="170">
        <f t="shared" si="357"/>
        <v>0</v>
      </c>
      <c r="L1114" s="170">
        <f t="shared" si="357"/>
        <v>0</v>
      </c>
      <c r="M1114" s="170">
        <f t="shared" si="357"/>
        <v>0</v>
      </c>
      <c r="N1114" s="1"/>
      <c r="O1114" s="1"/>
      <c r="P1114" s="1"/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M1115" si="358">H1017</f>
        <v>0</v>
      </c>
      <c r="I1115" s="170">
        <f t="shared" si="358"/>
        <v>0</v>
      </c>
      <c r="J1115" s="170">
        <f t="shared" si="358"/>
        <v>0</v>
      </c>
      <c r="K1115" s="170">
        <f t="shared" si="358"/>
        <v>0</v>
      </c>
      <c r="L1115" s="170">
        <f t="shared" si="358"/>
        <v>0</v>
      </c>
      <c r="M1115" s="170">
        <f t="shared" si="358"/>
        <v>0</v>
      </c>
      <c r="N1115" s="1"/>
      <c r="O1115" s="1"/>
      <c r="P1115" s="1"/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M1116" si="359">H1020</f>
        <v>0</v>
      </c>
      <c r="I1116" s="170">
        <f t="shared" si="359"/>
        <v>0</v>
      </c>
      <c r="J1116" s="170">
        <f t="shared" si="359"/>
        <v>0</v>
      </c>
      <c r="K1116" s="170">
        <f t="shared" si="359"/>
        <v>0</v>
      </c>
      <c r="L1116" s="170">
        <f t="shared" si="359"/>
        <v>0</v>
      </c>
      <c r="M1116" s="170">
        <f t="shared" si="359"/>
        <v>0</v>
      </c>
      <c r="N1116" s="1"/>
      <c r="O1116" s="1"/>
      <c r="P1116" s="1"/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3.0"/>
    <col customWidth="1" min="8" max="12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5" t="s">
        <v>1</v>
      </c>
      <c r="N1" s="6"/>
      <c r="O1" s="6"/>
      <c r="P1" s="6"/>
      <c r="Q1" s="6"/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390</v>
      </c>
      <c r="I2" s="9">
        <f t="shared" ref="I2:L2" si="1">H2+1</f>
        <v>9</v>
      </c>
      <c r="J2" s="9">
        <f t="shared" si="1"/>
        <v>10</v>
      </c>
      <c r="K2" s="9">
        <f t="shared" si="1"/>
        <v>11</v>
      </c>
      <c r="L2" s="9">
        <f t="shared" si="1"/>
        <v>12</v>
      </c>
      <c r="M2" s="10"/>
      <c r="N2" s="6"/>
      <c r="O2" s="6"/>
      <c r="P2" s="6"/>
      <c r="Q2" s="6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15"/>
      <c r="M5" s="124"/>
      <c r="N5" s="124"/>
      <c r="O5" s="124"/>
      <c r="P5" s="124"/>
      <c r="Q5" s="124"/>
      <c r="R5" s="124"/>
      <c r="S5" s="124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15"/>
      <c r="M6" s="125"/>
      <c r="N6" s="125"/>
      <c r="O6" s="125"/>
      <c r="P6" s="125"/>
      <c r="Q6" s="125"/>
      <c r="R6" s="125"/>
      <c r="S6" s="125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18"/>
      <c r="M7" s="123"/>
      <c r="N7" s="123"/>
      <c r="O7" s="123"/>
      <c r="P7" s="123"/>
      <c r="Q7" s="123"/>
      <c r="R7" s="123"/>
      <c r="S7" s="123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- 2026'!O6</f>
        <v>6778080.706</v>
      </c>
      <c r="I8" s="120"/>
      <c r="J8" s="120"/>
      <c r="K8" s="120"/>
      <c r="L8" s="120"/>
      <c r="M8" s="130"/>
      <c r="N8" s="130"/>
      <c r="O8" s="130"/>
      <c r="P8" s="130"/>
      <c r="Q8" s="130"/>
      <c r="R8" s="130"/>
      <c r="S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- 2026'!O9</f>
        <v>436.3224284</v>
      </c>
      <c r="I9" s="122"/>
      <c r="J9" s="122"/>
      <c r="K9" s="122"/>
      <c r="L9" s="122"/>
      <c r="M9" s="130"/>
      <c r="N9" s="130"/>
      <c r="O9" s="130"/>
      <c r="P9" s="130"/>
      <c r="Q9" s="130"/>
      <c r="R9" s="130"/>
      <c r="S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15534.56862</v>
      </c>
      <c r="I10" s="123"/>
      <c r="J10" s="123"/>
      <c r="K10" s="123"/>
      <c r="L10" s="123"/>
      <c r="M10" s="130"/>
      <c r="N10" s="130"/>
      <c r="O10" s="130"/>
      <c r="P10" s="130"/>
      <c r="Q10" s="130"/>
      <c r="R10" s="130"/>
      <c r="S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3108.568624</v>
      </c>
      <c r="I11" s="124"/>
      <c r="J11" s="124"/>
      <c r="K11" s="124"/>
      <c r="L11" s="124"/>
      <c r="M11" s="130"/>
      <c r="N11" s="130"/>
      <c r="O11" s="130"/>
      <c r="P11" s="130"/>
      <c r="Q11" s="130"/>
      <c r="R11" s="130"/>
      <c r="S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12426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571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635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2514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5915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2791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545.4756725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18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15"/>
      <c r="M28" s="1"/>
      <c r="N28" s="1"/>
      <c r="O28" s="1"/>
      <c r="P28" s="1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12426</v>
      </c>
      <c r="I29" s="115"/>
      <c r="J29" s="115"/>
      <c r="K29" s="115"/>
      <c r="L29" s="115"/>
      <c r="M29" s="1"/>
      <c r="N29" s="1"/>
      <c r="O29" s="1"/>
      <c r="P29" s="1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0.292692741</v>
      </c>
      <c r="I30" s="134"/>
      <c r="J30" s="134"/>
      <c r="K30" s="134"/>
      <c r="L30" s="134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3637</v>
      </c>
      <c r="I31" s="115"/>
      <c r="J31" s="115"/>
      <c r="K31" s="115"/>
      <c r="L31" s="115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35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15"/>
      <c r="M33" s="1"/>
      <c r="N33" s="1"/>
      <c r="O33" s="1"/>
      <c r="P33" s="1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571</v>
      </c>
      <c r="I34" s="115"/>
      <c r="J34" s="115"/>
      <c r="K34" s="115"/>
      <c r="L34" s="115"/>
      <c r="M34" s="1"/>
      <c r="N34" s="1"/>
      <c r="O34" s="1"/>
      <c r="P34" s="1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26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114</v>
      </c>
      <c r="I36" s="115"/>
      <c r="J36" s="115"/>
      <c r="K36" s="115"/>
      <c r="L36" s="115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15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15"/>
      <c r="M38" s="1"/>
      <c r="N38" s="1"/>
      <c r="O38" s="1"/>
      <c r="P38" s="1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635</v>
      </c>
      <c r="I39" s="115"/>
      <c r="J39" s="115"/>
      <c r="K39" s="115"/>
      <c r="L39" s="115"/>
      <c r="M39" s="1"/>
      <c r="N39" s="1"/>
      <c r="O39" s="1"/>
      <c r="P39" s="1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26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158</v>
      </c>
      <c r="I41" s="115"/>
      <c r="J41" s="115"/>
      <c r="K41" s="115"/>
      <c r="L41" s="115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15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15"/>
      <c r="M43" s="1"/>
      <c r="N43" s="1"/>
      <c r="O43" s="1"/>
      <c r="P43" s="1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2514</v>
      </c>
      <c r="I44" s="115"/>
      <c r="J44" s="115"/>
      <c r="K44" s="115"/>
      <c r="L44" s="115"/>
      <c r="M44" s="1"/>
      <c r="N44" s="1"/>
      <c r="O44" s="1"/>
      <c r="P44" s="1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26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754</v>
      </c>
      <c r="I46" s="115"/>
      <c r="J46" s="115"/>
      <c r="K46" s="115"/>
      <c r="L46" s="115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15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15"/>
      <c r="M48" s="1"/>
      <c r="N48" s="1"/>
      <c r="O48" s="1"/>
      <c r="P48" s="1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5915</v>
      </c>
      <c r="I49" s="115"/>
      <c r="J49" s="115"/>
      <c r="K49" s="115"/>
      <c r="L49" s="115"/>
      <c r="M49" s="1"/>
      <c r="N49" s="1"/>
      <c r="O49" s="1"/>
      <c r="P49" s="1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26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1774</v>
      </c>
      <c r="I51" s="115"/>
      <c r="J51" s="115"/>
      <c r="K51" s="115"/>
      <c r="L51" s="115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15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15"/>
      <c r="M53" s="1"/>
      <c r="N53" s="1"/>
      <c r="O53" s="1"/>
      <c r="P53" s="1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2791</v>
      </c>
      <c r="I54" s="115"/>
      <c r="J54" s="115"/>
      <c r="K54" s="115"/>
      <c r="L54" s="115"/>
      <c r="M54" s="1"/>
      <c r="N54" s="1"/>
      <c r="O54" s="1"/>
      <c r="P54" s="1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26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837</v>
      </c>
      <c r="I56" s="115"/>
      <c r="J56" s="115"/>
      <c r="K56" s="115"/>
      <c r="L56" s="115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15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15"/>
      <c r="M58" s="1"/>
      <c r="N58" s="1"/>
      <c r="O58" s="1"/>
      <c r="P58" s="1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18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15"/>
      <c r="M60" s="1"/>
      <c r="N60" s="1"/>
      <c r="O60" s="1"/>
      <c r="P60" s="1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3637</v>
      </c>
      <c r="I61" s="115"/>
      <c r="J61" s="115"/>
      <c r="K61" s="115"/>
      <c r="L61" s="115"/>
      <c r="M61" s="1"/>
      <c r="N61" s="1"/>
      <c r="O61" s="1"/>
      <c r="P61" s="1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1.074030795</v>
      </c>
      <c r="I62" s="138"/>
      <c r="J62" s="138"/>
      <c r="K62" s="138"/>
      <c r="L62" s="138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3906.25</v>
      </c>
      <c r="I63" s="115"/>
      <c r="J63" s="115"/>
      <c r="K63" s="115"/>
      <c r="L63" s="115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15"/>
      <c r="M64" s="1"/>
      <c r="N64" s="1"/>
      <c r="O64" s="1"/>
      <c r="P64" s="1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15"/>
      <c r="M65" s="1"/>
      <c r="N65" s="1"/>
      <c r="O65" s="1"/>
      <c r="P65" s="1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114</v>
      </c>
      <c r="I66" s="115"/>
      <c r="J66" s="115"/>
      <c r="K66" s="115"/>
      <c r="L66" s="115"/>
      <c r="M66" s="1"/>
      <c r="N66" s="1"/>
      <c r="O66" s="1"/>
      <c r="P66" s="1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26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122.5</v>
      </c>
      <c r="I68" s="115"/>
      <c r="J68" s="115"/>
      <c r="K68" s="115"/>
      <c r="L68" s="115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98</v>
      </c>
      <c r="I69" s="115"/>
      <c r="J69" s="115"/>
      <c r="K69" s="115"/>
      <c r="L69" s="115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24.5</v>
      </c>
      <c r="I70" s="115"/>
      <c r="J70" s="115"/>
      <c r="K70" s="115"/>
      <c r="L70" s="115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15"/>
      <c r="M71" s="1"/>
      <c r="N71" s="1"/>
      <c r="O71" s="1"/>
      <c r="P71" s="1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26"/>
      <c r="M72" s="1"/>
      <c r="N72" s="1"/>
      <c r="O72" s="1"/>
      <c r="P72" s="1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158</v>
      </c>
      <c r="I73" s="115"/>
      <c r="J73" s="115"/>
      <c r="K73" s="115"/>
      <c r="L73" s="115"/>
      <c r="M73" s="1"/>
      <c r="N73" s="1"/>
      <c r="O73" s="1"/>
      <c r="P73" s="1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15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168.75</v>
      </c>
      <c r="I75" s="115"/>
      <c r="J75" s="115"/>
      <c r="K75" s="115"/>
      <c r="L75" s="115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135</v>
      </c>
      <c r="I76" s="115"/>
      <c r="J76" s="115"/>
      <c r="K76" s="115"/>
      <c r="L76" s="115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33.75</v>
      </c>
      <c r="I77" s="126"/>
      <c r="J77" s="126"/>
      <c r="K77" s="126"/>
      <c r="L77" s="126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15"/>
      <c r="M78" s="1"/>
      <c r="N78" s="1"/>
      <c r="O78" s="1"/>
      <c r="P78" s="1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15"/>
      <c r="M79" s="1"/>
      <c r="N79" s="1"/>
      <c r="O79" s="1"/>
      <c r="P79" s="1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754</v>
      </c>
      <c r="I80" s="115"/>
      <c r="J80" s="115"/>
      <c r="K80" s="115"/>
      <c r="L80" s="115"/>
      <c r="M80" s="1"/>
      <c r="N80" s="1"/>
      <c r="O80" s="1"/>
      <c r="P80" s="1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15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810</v>
      </c>
      <c r="I82" s="126"/>
      <c r="J82" s="126"/>
      <c r="K82" s="126"/>
      <c r="L82" s="126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648</v>
      </c>
      <c r="I83" s="115"/>
      <c r="J83" s="115"/>
      <c r="K83" s="115"/>
      <c r="L83" s="115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162</v>
      </c>
      <c r="I84" s="115"/>
      <c r="J84" s="115"/>
      <c r="K84" s="115"/>
      <c r="L84" s="115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15"/>
      <c r="M85" s="1"/>
      <c r="N85" s="1"/>
      <c r="O85" s="1"/>
      <c r="P85" s="1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15"/>
      <c r="M86" s="1"/>
      <c r="N86" s="1"/>
      <c r="O86" s="1"/>
      <c r="P86" s="1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1774</v>
      </c>
      <c r="I87" s="126"/>
      <c r="J87" s="126"/>
      <c r="K87" s="126"/>
      <c r="L87" s="126"/>
      <c r="M87" s="1"/>
      <c r="N87" s="1"/>
      <c r="O87" s="1"/>
      <c r="P87" s="1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15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1906.25</v>
      </c>
      <c r="I89" s="115"/>
      <c r="J89" s="115"/>
      <c r="K89" s="115"/>
      <c r="L89" s="115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1525</v>
      </c>
      <c r="I90" s="115"/>
      <c r="J90" s="115"/>
      <c r="K90" s="115"/>
      <c r="L90" s="115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381.25</v>
      </c>
      <c r="I91" s="115"/>
      <c r="J91" s="115"/>
      <c r="K91" s="115"/>
      <c r="L91" s="115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15"/>
      <c r="M92" s="1"/>
      <c r="N92" s="1"/>
      <c r="O92" s="1"/>
      <c r="P92" s="1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15"/>
      <c r="M93" s="1"/>
      <c r="N93" s="1"/>
      <c r="O93" s="1"/>
      <c r="P93" s="1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837</v>
      </c>
      <c r="I94" s="115"/>
      <c r="J94" s="115"/>
      <c r="K94" s="115"/>
      <c r="L94" s="115"/>
      <c r="M94" s="1"/>
      <c r="N94" s="1"/>
      <c r="O94" s="1"/>
      <c r="P94" s="1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15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898.75</v>
      </c>
      <c r="I96" s="115"/>
      <c r="J96" s="115"/>
      <c r="K96" s="115"/>
      <c r="L96" s="115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719</v>
      </c>
      <c r="I97" s="115"/>
      <c r="J97" s="115"/>
      <c r="K97" s="115"/>
      <c r="L97" s="115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179.75</v>
      </c>
      <c r="I98" s="115"/>
      <c r="J98" s="115"/>
      <c r="K98" s="115"/>
      <c r="L98" s="115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15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15"/>
      <c r="M100" s="1"/>
      <c r="N100" s="1"/>
      <c r="O100" s="1"/>
      <c r="P100" s="1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18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15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3906.25</v>
      </c>
      <c r="I103" s="115"/>
      <c r="J103" s="115"/>
      <c r="K103" s="115"/>
      <c r="L103" s="115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0.300288</v>
      </c>
      <c r="I104" s="143"/>
      <c r="J104" s="143"/>
      <c r="K104" s="143"/>
      <c r="L104" s="143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0.09439884114</v>
      </c>
      <c r="I105" s="143"/>
      <c r="J105" s="143"/>
      <c r="K105" s="143"/>
      <c r="L105" s="143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1173</v>
      </c>
      <c r="I106" s="115"/>
      <c r="J106" s="115"/>
      <c r="K106" s="115"/>
      <c r="L106" s="115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41667.94544</v>
      </c>
      <c r="I107" s="115"/>
      <c r="J107" s="115"/>
      <c r="K107" s="115"/>
      <c r="L107" s="115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48876500</v>
      </c>
      <c r="I108" s="115"/>
      <c r="J108" s="115"/>
      <c r="K108" s="115"/>
      <c r="L108" s="115"/>
      <c r="M108" s="1"/>
      <c r="N108" s="1"/>
      <c r="O108" s="1"/>
      <c r="P108" s="1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15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43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122.5</v>
      </c>
      <c r="I111" s="135"/>
      <c r="J111" s="135"/>
      <c r="K111" s="135"/>
      <c r="L111" s="135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29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0.06479859895</v>
      </c>
      <c r="I113" s="143"/>
      <c r="J113" s="143"/>
      <c r="K113" s="143"/>
      <c r="L113" s="143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37</v>
      </c>
      <c r="I114" s="148"/>
      <c r="J114" s="148"/>
      <c r="K114" s="148"/>
      <c r="L114" s="148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91162.16216</v>
      </c>
      <c r="I115" s="150"/>
      <c r="J115" s="150"/>
      <c r="K115" s="150"/>
      <c r="L115" s="150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3373000</v>
      </c>
      <c r="I116" s="150"/>
      <c r="J116" s="150"/>
      <c r="K116" s="150"/>
      <c r="L116" s="150"/>
      <c r="M116" s="1"/>
      <c r="N116" s="1"/>
      <c r="O116" s="1"/>
      <c r="P116" s="1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53"/>
      <c r="M117" s="1"/>
      <c r="N117" s="1"/>
      <c r="O117" s="1"/>
      <c r="P117" s="1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53"/>
      <c r="M118" s="1"/>
      <c r="N118" s="1"/>
      <c r="O118" s="1"/>
      <c r="P118" s="1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55"/>
      <c r="M119" s="1"/>
      <c r="N119" s="1"/>
      <c r="O119" s="1"/>
      <c r="P119" s="1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55"/>
      <c r="M120" s="1"/>
      <c r="N120" s="1"/>
      <c r="O120" s="1"/>
      <c r="P120" s="1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55"/>
      <c r="M121" s="1"/>
      <c r="N121" s="1"/>
      <c r="O121" s="1"/>
      <c r="P121" s="1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100000.0</v>
      </c>
      <c r="I122" s="157"/>
      <c r="J122" s="157"/>
      <c r="K122" s="157"/>
      <c r="L122" s="157"/>
      <c r="M122" s="1"/>
      <c r="N122" s="1"/>
      <c r="O122" s="1"/>
      <c r="P122" s="1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57"/>
      <c r="M123" s="1"/>
      <c r="N123" s="1"/>
      <c r="O123" s="1"/>
      <c r="P123" s="1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57"/>
      <c r="M124" s="1"/>
      <c r="N124" s="1"/>
      <c r="O124" s="1"/>
      <c r="P124" s="1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57"/>
      <c r="M125" s="1"/>
      <c r="N125" s="1"/>
      <c r="O125" s="1"/>
      <c r="P125" s="1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59"/>
      <c r="M126" s="1"/>
      <c r="N126" s="1"/>
      <c r="O126" s="1"/>
      <c r="P126" s="1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62"/>
      <c r="K127" s="162"/>
      <c r="L127" s="162"/>
      <c r="M127" s="1"/>
      <c r="N127" s="1"/>
      <c r="O127" s="1"/>
      <c r="P127" s="1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22</v>
      </c>
      <c r="I128" s="148"/>
      <c r="J128" s="148"/>
      <c r="K128" s="148"/>
      <c r="L128" s="148"/>
      <c r="M128" s="1"/>
      <c r="N128" s="1"/>
      <c r="O128" s="1"/>
      <c r="P128" s="1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2200000</v>
      </c>
      <c r="I129" s="150"/>
      <c r="J129" s="150"/>
      <c r="K129" s="150"/>
      <c r="L129" s="150"/>
      <c r="M129" s="1"/>
      <c r="N129" s="1"/>
      <c r="O129" s="1"/>
      <c r="P129" s="1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5</v>
      </c>
      <c r="I130" s="148"/>
      <c r="J130" s="148"/>
      <c r="K130" s="148"/>
      <c r="L130" s="148"/>
      <c r="M130" s="1"/>
      <c r="N130" s="1"/>
      <c r="O130" s="1"/>
      <c r="P130" s="1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158000</v>
      </c>
      <c r="I131" s="150"/>
      <c r="J131" s="150"/>
      <c r="K131" s="150"/>
      <c r="L131" s="150"/>
      <c r="M131" s="1"/>
      <c r="N131" s="1"/>
      <c r="O131" s="1"/>
      <c r="P131" s="1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48"/>
      <c r="M132" s="1"/>
      <c r="N132" s="1"/>
      <c r="O132" s="1"/>
      <c r="P132" s="1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50"/>
      <c r="M133" s="1"/>
      <c r="N133" s="1"/>
      <c r="O133" s="1"/>
      <c r="P133" s="1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7</v>
      </c>
      <c r="I134" s="148"/>
      <c r="J134" s="148"/>
      <c r="K134" s="148"/>
      <c r="L134" s="148"/>
      <c r="M134" s="1"/>
      <c r="N134" s="1"/>
      <c r="O134" s="1"/>
      <c r="P134" s="1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1015000</v>
      </c>
      <c r="I135" s="150"/>
      <c r="J135" s="150"/>
      <c r="K135" s="150"/>
      <c r="L135" s="150"/>
      <c r="M135" s="1"/>
      <c r="N135" s="1"/>
      <c r="O135" s="1"/>
      <c r="P135" s="1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48"/>
      <c r="M136" s="1"/>
      <c r="N136" s="1"/>
      <c r="O136" s="1"/>
      <c r="P136" s="1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50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63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43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168.75</v>
      </c>
      <c r="I140" s="148"/>
      <c r="J140" s="148"/>
      <c r="K140" s="148"/>
      <c r="L140" s="148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29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0.08031496063</v>
      </c>
      <c r="I142" s="143"/>
      <c r="J142" s="143"/>
      <c r="K142" s="143"/>
      <c r="L142" s="143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51</v>
      </c>
      <c r="I143" s="148"/>
      <c r="J143" s="148"/>
      <c r="K143" s="148"/>
      <c r="L143" s="148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68588.23529</v>
      </c>
      <c r="I144" s="150"/>
      <c r="J144" s="150"/>
      <c r="K144" s="150"/>
      <c r="L144" s="150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3498000</v>
      </c>
      <c r="I145" s="150"/>
      <c r="J145" s="150"/>
      <c r="K145" s="150"/>
      <c r="L145" s="150"/>
      <c r="M145" s="1"/>
      <c r="N145" s="1"/>
      <c r="O145" s="1"/>
      <c r="P145" s="1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55"/>
      <c r="M146" s="1"/>
      <c r="N146" s="1"/>
      <c r="O146" s="1"/>
      <c r="P146" s="1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53"/>
      <c r="M147" s="1"/>
      <c r="N147" s="1"/>
      <c r="O147" s="1"/>
      <c r="P147" s="1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55"/>
      <c r="M148" s="1"/>
      <c r="N148" s="1"/>
      <c r="O148" s="1"/>
      <c r="P148" s="1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55"/>
      <c r="M149" s="1"/>
      <c r="N149" s="1"/>
      <c r="O149" s="1"/>
      <c r="P149" s="1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55"/>
      <c r="M150" s="1"/>
      <c r="N150" s="1"/>
      <c r="O150" s="1"/>
      <c r="P150" s="1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80000.0</v>
      </c>
      <c r="I151" s="159"/>
      <c r="J151" s="159"/>
      <c r="K151" s="159"/>
      <c r="L151" s="159"/>
      <c r="M151" s="1"/>
      <c r="N151" s="1"/>
      <c r="O151" s="1"/>
      <c r="P151" s="1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57"/>
      <c r="M152" s="1"/>
      <c r="N152" s="1"/>
      <c r="O152" s="1"/>
      <c r="P152" s="1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57"/>
      <c r="M153" s="1"/>
      <c r="N153" s="1"/>
      <c r="O153" s="1"/>
      <c r="P153" s="1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59"/>
      <c r="M154" s="1"/>
      <c r="N154" s="1"/>
      <c r="O154" s="1"/>
      <c r="P154" s="1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59"/>
      <c r="M155" s="1"/>
      <c r="N155" s="1"/>
      <c r="O155" s="1"/>
      <c r="P155" s="1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62"/>
      <c r="M156" s="1"/>
      <c r="N156" s="1"/>
      <c r="O156" s="1"/>
      <c r="P156" s="1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30</v>
      </c>
      <c r="I157" s="148"/>
      <c r="J157" s="148"/>
      <c r="K157" s="148"/>
      <c r="L157" s="148"/>
      <c r="M157" s="1"/>
      <c r="N157" s="1"/>
      <c r="O157" s="1"/>
      <c r="P157" s="1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2400000</v>
      </c>
      <c r="I158" s="150"/>
      <c r="J158" s="150"/>
      <c r="K158" s="150"/>
      <c r="L158" s="150"/>
      <c r="M158" s="1"/>
      <c r="N158" s="1"/>
      <c r="O158" s="1"/>
      <c r="P158" s="1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6</v>
      </c>
      <c r="I159" s="148"/>
      <c r="J159" s="148"/>
      <c r="K159" s="148"/>
      <c r="L159" s="148"/>
      <c r="M159" s="1"/>
      <c r="N159" s="1"/>
      <c r="O159" s="1"/>
      <c r="P159" s="1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108000</v>
      </c>
      <c r="I160" s="150"/>
      <c r="J160" s="150"/>
      <c r="K160" s="150"/>
      <c r="L160" s="150"/>
      <c r="M160" s="1"/>
      <c r="N160" s="1"/>
      <c r="O160" s="1"/>
      <c r="P160" s="1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48"/>
      <c r="M161" s="1"/>
      <c r="N161" s="1"/>
      <c r="O161" s="1"/>
      <c r="P161" s="1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50"/>
      <c r="M162" s="1"/>
      <c r="N162" s="1"/>
      <c r="O162" s="1"/>
      <c r="P162" s="1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10</v>
      </c>
      <c r="I163" s="148"/>
      <c r="J163" s="148"/>
      <c r="K163" s="148"/>
      <c r="L163" s="148"/>
      <c r="M163" s="1"/>
      <c r="N163" s="1"/>
      <c r="O163" s="1"/>
      <c r="P163" s="1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990000</v>
      </c>
      <c r="I164" s="150"/>
      <c r="J164" s="150"/>
      <c r="K164" s="150"/>
      <c r="L164" s="150"/>
      <c r="M164" s="1"/>
      <c r="N164" s="1"/>
      <c r="O164" s="1"/>
      <c r="P164" s="1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5</v>
      </c>
      <c r="I165" s="148"/>
      <c r="J165" s="148"/>
      <c r="K165" s="148"/>
      <c r="L165" s="148"/>
      <c r="M165" s="1"/>
      <c r="N165" s="1"/>
      <c r="O165" s="1"/>
      <c r="P165" s="1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50"/>
      <c r="M166" s="1"/>
      <c r="N166" s="1"/>
      <c r="O166" s="1"/>
      <c r="P166" s="1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50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43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43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810</v>
      </c>
      <c r="I170" s="148"/>
      <c r="J170" s="148"/>
      <c r="K170" s="148"/>
      <c r="L170" s="148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29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0.09665871122</v>
      </c>
      <c r="I172" s="143"/>
      <c r="J172" s="143"/>
      <c r="K172" s="143"/>
      <c r="L172" s="143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243</v>
      </c>
      <c r="I173" s="166"/>
      <c r="J173" s="166"/>
      <c r="K173" s="166"/>
      <c r="L173" s="166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63860.0823</v>
      </c>
      <c r="I174" s="150"/>
      <c r="J174" s="150"/>
      <c r="K174" s="150"/>
      <c r="L174" s="150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15518000</v>
      </c>
      <c r="I175" s="150"/>
      <c r="J175" s="150"/>
      <c r="K175" s="150"/>
      <c r="L175" s="150"/>
      <c r="M175" s="1"/>
      <c r="N175" s="1"/>
      <c r="O175" s="1"/>
      <c r="P175" s="1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53"/>
      <c r="M176" s="1"/>
      <c r="N176" s="1"/>
      <c r="O176" s="1"/>
      <c r="P176" s="1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53"/>
      <c r="M177" s="1"/>
      <c r="N177" s="1"/>
      <c r="O177" s="1"/>
      <c r="P177" s="1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55"/>
      <c r="M178" s="1"/>
      <c r="N178" s="1"/>
      <c r="O178" s="1"/>
      <c r="P178" s="1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55"/>
      <c r="M179" s="1"/>
      <c r="N179" s="1"/>
      <c r="O179" s="1"/>
      <c r="P179" s="1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55"/>
      <c r="M180" s="1"/>
      <c r="N180" s="1"/>
      <c r="O180" s="1"/>
      <c r="P180" s="1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80000.0</v>
      </c>
      <c r="I181" s="157"/>
      <c r="J181" s="157"/>
      <c r="K181" s="157"/>
      <c r="L181" s="157"/>
      <c r="M181" s="1"/>
      <c r="N181" s="1"/>
      <c r="O181" s="1"/>
      <c r="P181" s="1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57"/>
      <c r="M182" s="1"/>
      <c r="N182" s="1"/>
      <c r="O182" s="1"/>
      <c r="P182" s="1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57"/>
      <c r="M183" s="1"/>
      <c r="N183" s="1"/>
      <c r="O183" s="1"/>
      <c r="P183" s="1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59"/>
      <c r="M184" s="1"/>
      <c r="N184" s="1"/>
      <c r="O184" s="1"/>
      <c r="P184" s="1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59"/>
      <c r="M185" s="1"/>
      <c r="N185" s="1"/>
      <c r="O185" s="1"/>
      <c r="P185" s="1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62"/>
      <c r="M186" s="1"/>
      <c r="N186" s="1"/>
      <c r="O186" s="1"/>
      <c r="P186" s="1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145</v>
      </c>
      <c r="I187" s="148"/>
      <c r="J187" s="148"/>
      <c r="K187" s="148"/>
      <c r="L187" s="148"/>
      <c r="M187" s="1"/>
      <c r="N187" s="1"/>
      <c r="O187" s="1"/>
      <c r="P187" s="1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11600000</v>
      </c>
      <c r="I188" s="150"/>
      <c r="J188" s="150"/>
      <c r="K188" s="150"/>
      <c r="L188" s="150"/>
      <c r="M188" s="1"/>
      <c r="N188" s="1"/>
      <c r="O188" s="1"/>
      <c r="P188" s="1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26</v>
      </c>
      <c r="I189" s="148"/>
      <c r="J189" s="148"/>
      <c r="K189" s="148"/>
      <c r="L189" s="148"/>
      <c r="M189" s="1"/>
      <c r="N189" s="1"/>
      <c r="O189" s="1"/>
      <c r="P189" s="1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390000</v>
      </c>
      <c r="I190" s="150"/>
      <c r="J190" s="150"/>
      <c r="K190" s="150"/>
      <c r="L190" s="150"/>
      <c r="M190" s="1"/>
      <c r="N190" s="1"/>
      <c r="O190" s="1"/>
      <c r="P190" s="1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48"/>
      <c r="M191" s="1"/>
      <c r="N191" s="1"/>
      <c r="O191" s="1"/>
      <c r="P191" s="1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50"/>
      <c r="M192" s="1"/>
      <c r="N192" s="1"/>
      <c r="O192" s="1"/>
      <c r="P192" s="1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72</v>
      </c>
      <c r="I193" s="148"/>
      <c r="J193" s="148"/>
      <c r="K193" s="148"/>
      <c r="L193" s="148"/>
      <c r="M193" s="1"/>
      <c r="N193" s="1"/>
      <c r="O193" s="1"/>
      <c r="P193" s="1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3528000</v>
      </c>
      <c r="I194" s="150"/>
      <c r="J194" s="150"/>
      <c r="K194" s="150"/>
      <c r="L194" s="150"/>
      <c r="M194" s="1"/>
      <c r="N194" s="1"/>
      <c r="O194" s="1"/>
      <c r="P194" s="1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48"/>
      <c r="M195" s="1"/>
      <c r="N195" s="1"/>
      <c r="O195" s="1"/>
      <c r="P195" s="1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50"/>
      <c r="M196" s="1"/>
      <c r="N196" s="1"/>
      <c r="O196" s="1"/>
      <c r="P196" s="1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50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43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43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1906.25</v>
      </c>
      <c r="I200" s="148"/>
      <c r="J200" s="148"/>
      <c r="K200" s="148"/>
      <c r="L200" s="148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26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0.0967032967</v>
      </c>
      <c r="I202" s="143"/>
      <c r="J202" s="143"/>
      <c r="K202" s="143"/>
      <c r="L202" s="143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572</v>
      </c>
      <c r="I203" s="148"/>
      <c r="J203" s="148"/>
      <c r="K203" s="148"/>
      <c r="L203" s="148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34270.1049</v>
      </c>
      <c r="I204" s="150"/>
      <c r="J204" s="150"/>
      <c r="K204" s="150"/>
      <c r="L204" s="150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19602500</v>
      </c>
      <c r="I205" s="150"/>
      <c r="J205" s="150"/>
      <c r="K205" s="150"/>
      <c r="L205" s="150"/>
      <c r="M205" s="1"/>
      <c r="N205" s="1"/>
      <c r="O205" s="1"/>
      <c r="P205" s="1"/>
      <c r="Q205" s="1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55"/>
      <c r="M206" s="1"/>
      <c r="N206" s="1"/>
      <c r="O206" s="1"/>
      <c r="P206" s="1"/>
      <c r="Q206" s="1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55"/>
      <c r="M207" s="1"/>
      <c r="N207" s="1"/>
      <c r="O207" s="1"/>
      <c r="P207" s="1"/>
      <c r="Q207" s="1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55"/>
      <c r="M208" s="1"/>
      <c r="N208" s="1"/>
      <c r="O208" s="1"/>
      <c r="P208" s="1"/>
      <c r="Q208" s="1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53"/>
      <c r="M209" s="1"/>
      <c r="N209" s="1"/>
      <c r="O209" s="1"/>
      <c r="P209" s="1"/>
      <c r="Q209" s="1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55"/>
      <c r="M210" s="1"/>
      <c r="N210" s="1"/>
      <c r="O210" s="1"/>
      <c r="P210" s="1"/>
      <c r="Q210" s="1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40000.0</v>
      </c>
      <c r="I211" s="157"/>
      <c r="J211" s="157"/>
      <c r="K211" s="157"/>
      <c r="L211" s="157"/>
      <c r="M211" s="1"/>
      <c r="N211" s="1"/>
      <c r="O211" s="1"/>
      <c r="P211" s="1"/>
      <c r="Q211" s="1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57"/>
      <c r="M212" s="1"/>
      <c r="N212" s="1"/>
      <c r="O212" s="1"/>
      <c r="P212" s="1"/>
      <c r="Q212" s="1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59"/>
      <c r="M213" s="1"/>
      <c r="N213" s="1"/>
      <c r="O213" s="1"/>
      <c r="P213" s="1"/>
      <c r="Q213" s="1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59"/>
      <c r="M214" s="1"/>
      <c r="N214" s="1"/>
      <c r="O214" s="1"/>
      <c r="P214" s="1"/>
      <c r="Q214" s="1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59"/>
      <c r="M215" s="1"/>
      <c r="N215" s="1"/>
      <c r="O215" s="1"/>
      <c r="P215" s="1"/>
      <c r="Q215" s="1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62"/>
      <c r="M216" s="1"/>
      <c r="N216" s="1"/>
      <c r="O216" s="1"/>
      <c r="P216" s="1"/>
      <c r="Q216" s="1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457</v>
      </c>
      <c r="I217" s="148"/>
      <c r="J217" s="148"/>
      <c r="K217" s="148"/>
      <c r="L217" s="148"/>
      <c r="M217" s="1"/>
      <c r="N217" s="1"/>
      <c r="O217" s="1"/>
      <c r="P217" s="1"/>
      <c r="Q217" s="1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18280000</v>
      </c>
      <c r="I218" s="150"/>
      <c r="J218" s="150"/>
      <c r="K218" s="150"/>
      <c r="L218" s="150"/>
      <c r="M218" s="1"/>
      <c r="N218" s="1"/>
      <c r="O218" s="1"/>
      <c r="P218" s="1"/>
      <c r="Q218" s="1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115</v>
      </c>
      <c r="I219" s="148"/>
      <c r="J219" s="148"/>
      <c r="K219" s="148"/>
      <c r="L219" s="148"/>
      <c r="M219" s="1"/>
      <c r="N219" s="1"/>
      <c r="O219" s="1"/>
      <c r="P219" s="1"/>
      <c r="Q219" s="1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1322500</v>
      </c>
      <c r="I220" s="150"/>
      <c r="J220" s="150"/>
      <c r="K220" s="150"/>
      <c r="L220" s="150"/>
      <c r="M220" s="1"/>
      <c r="N220" s="1"/>
      <c r="O220" s="1"/>
      <c r="P220" s="1"/>
      <c r="Q220" s="1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48"/>
      <c r="M221" s="1"/>
      <c r="N221" s="1"/>
      <c r="O221" s="1"/>
      <c r="P221" s="1"/>
      <c r="Q221" s="1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50"/>
      <c r="M222" s="1"/>
      <c r="N222" s="1"/>
      <c r="O222" s="1"/>
      <c r="P222" s="1"/>
      <c r="Q222" s="1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48"/>
      <c r="M223" s="1"/>
      <c r="N223" s="1"/>
      <c r="O223" s="1"/>
      <c r="P223" s="1"/>
      <c r="Q223" s="1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50"/>
      <c r="M224" s="1"/>
      <c r="N224" s="1"/>
      <c r="O224" s="1"/>
      <c r="P224" s="1"/>
      <c r="Q224" s="1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48"/>
      <c r="M225" s="1"/>
      <c r="N225" s="1"/>
      <c r="O225" s="1"/>
      <c r="P225" s="1"/>
      <c r="Q225" s="1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50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15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43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898.75</v>
      </c>
      <c r="I229" s="148"/>
      <c r="J229" s="148"/>
      <c r="K229" s="148"/>
      <c r="L229" s="148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29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0.09673951989</v>
      </c>
      <c r="I231" s="143"/>
      <c r="J231" s="143"/>
      <c r="K231" s="143"/>
      <c r="L231" s="143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270</v>
      </c>
      <c r="I232" s="148"/>
      <c r="J232" s="148"/>
      <c r="K232" s="148"/>
      <c r="L232" s="148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25500</v>
      </c>
      <c r="I233" s="150"/>
      <c r="J233" s="150"/>
      <c r="K233" s="150"/>
      <c r="L233" s="150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6885000</v>
      </c>
      <c r="I234" s="150"/>
      <c r="J234" s="150"/>
      <c r="K234" s="150"/>
      <c r="L234" s="150"/>
      <c r="M234" s="1"/>
      <c r="N234" s="1"/>
      <c r="O234" s="1"/>
      <c r="P234" s="1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55"/>
      <c r="M235" s="1"/>
      <c r="N235" s="1"/>
      <c r="O235" s="1"/>
      <c r="P235" s="1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55"/>
      <c r="M236" s="1"/>
      <c r="N236" s="1"/>
      <c r="O236" s="1"/>
      <c r="P236" s="1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55"/>
      <c r="M237" s="1"/>
      <c r="N237" s="1"/>
      <c r="O237" s="1"/>
      <c r="P237" s="1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53"/>
      <c r="M238" s="1"/>
      <c r="N238" s="1"/>
      <c r="O238" s="1"/>
      <c r="P238" s="1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55"/>
      <c r="M239" s="1"/>
      <c r="N239" s="1"/>
      <c r="O239" s="1"/>
      <c r="P239" s="1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30000.0</v>
      </c>
      <c r="I240" s="157"/>
      <c r="J240" s="157"/>
      <c r="K240" s="157"/>
      <c r="L240" s="157"/>
      <c r="M240" s="1"/>
      <c r="N240" s="1"/>
      <c r="O240" s="1"/>
      <c r="P240" s="1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57"/>
      <c r="M241" s="1"/>
      <c r="N241" s="1"/>
      <c r="O241" s="1"/>
      <c r="P241" s="1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59"/>
      <c r="M242" s="1"/>
      <c r="N242" s="1"/>
      <c r="O242" s="1"/>
      <c r="P242" s="1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59"/>
      <c r="M243" s="1"/>
      <c r="N243" s="1"/>
      <c r="O243" s="1"/>
      <c r="P243" s="1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59"/>
      <c r="M244" s="1"/>
      <c r="N244" s="1"/>
      <c r="O244" s="1"/>
      <c r="P244" s="1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62"/>
      <c r="M245" s="1"/>
      <c r="N245" s="1"/>
      <c r="O245" s="1"/>
      <c r="P245" s="1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216</v>
      </c>
      <c r="I246" s="148"/>
      <c r="J246" s="148"/>
      <c r="K246" s="148"/>
      <c r="L246" s="148"/>
      <c r="M246" s="1"/>
      <c r="N246" s="1"/>
      <c r="O246" s="1"/>
      <c r="P246" s="1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6480000</v>
      </c>
      <c r="I247" s="150"/>
      <c r="J247" s="150"/>
      <c r="K247" s="150"/>
      <c r="L247" s="150"/>
      <c r="M247" s="1"/>
      <c r="N247" s="1"/>
      <c r="O247" s="1"/>
      <c r="P247" s="1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54</v>
      </c>
      <c r="I248" s="148"/>
      <c r="J248" s="148"/>
      <c r="K248" s="148"/>
      <c r="L248" s="148"/>
      <c r="M248" s="1"/>
      <c r="N248" s="1"/>
      <c r="O248" s="1"/>
      <c r="P248" s="1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405000</v>
      </c>
      <c r="I249" s="150"/>
      <c r="J249" s="150"/>
      <c r="K249" s="150"/>
      <c r="L249" s="150"/>
      <c r="M249" s="1"/>
      <c r="N249" s="1"/>
      <c r="O249" s="1"/>
      <c r="P249" s="1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48"/>
      <c r="M250" s="1"/>
      <c r="N250" s="1"/>
      <c r="O250" s="1"/>
      <c r="P250" s="1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50"/>
      <c r="M251" s="1"/>
      <c r="N251" s="1"/>
      <c r="O251" s="1"/>
      <c r="P251" s="1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48"/>
      <c r="M252" s="1"/>
      <c r="N252" s="1"/>
      <c r="O252" s="1"/>
      <c r="P252" s="1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50"/>
      <c r="M253" s="1"/>
      <c r="N253" s="1"/>
      <c r="O253" s="1"/>
      <c r="P253" s="1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48"/>
      <c r="M254" s="1"/>
      <c r="N254" s="1"/>
      <c r="O254" s="1"/>
      <c r="P254" s="1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50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63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15"/>
      <c r="M257" s="1"/>
      <c r="N257" s="1"/>
      <c r="O257" s="1"/>
      <c r="P257" s="1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18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1173</v>
      </c>
      <c r="I259" s="115"/>
      <c r="J259" s="115"/>
      <c r="K259" s="115"/>
      <c r="L259" s="115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0.9241261722</v>
      </c>
      <c r="I260" s="168"/>
      <c r="J260" s="168"/>
      <c r="K260" s="168"/>
      <c r="L260" s="168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1084</v>
      </c>
      <c r="I261" s="169"/>
      <c r="J261" s="169"/>
      <c r="K261" s="169"/>
      <c r="L261" s="169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15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48876500</v>
      </c>
      <c r="I263" s="170"/>
      <c r="J263" s="170"/>
      <c r="K263" s="170"/>
      <c r="L263" s="170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68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45455145</v>
      </c>
      <c r="I265" s="150"/>
      <c r="J265" s="150"/>
      <c r="K265" s="150"/>
      <c r="L265" s="150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15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38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37</v>
      </c>
      <c r="I268" s="13"/>
      <c r="J268" s="13"/>
      <c r="K268" s="13"/>
      <c r="L268" s="13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0.8648648649</v>
      </c>
      <c r="I269" s="168"/>
      <c r="J269" s="168"/>
      <c r="K269" s="168"/>
      <c r="L269" s="168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32</v>
      </c>
      <c r="I270" s="166"/>
      <c r="J270" s="166"/>
      <c r="K270" s="166"/>
      <c r="L270" s="166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68"/>
      <c r="M271" s="1"/>
      <c r="N271" s="1"/>
      <c r="O271" s="1"/>
      <c r="P271" s="1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3136890</v>
      </c>
      <c r="I272" s="150"/>
      <c r="J272" s="150"/>
      <c r="K272" s="150"/>
      <c r="L272" s="150"/>
      <c r="M272" s="1"/>
      <c r="N272" s="1"/>
      <c r="O272" s="1"/>
      <c r="P272" s="1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55"/>
      <c r="M273" s="1"/>
      <c r="N273" s="1"/>
      <c r="O273" s="1"/>
      <c r="P273" s="1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55"/>
      <c r="M274" s="1"/>
      <c r="N274" s="1"/>
      <c r="O274" s="1"/>
      <c r="P274" s="1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55"/>
      <c r="M275" s="1"/>
      <c r="N275" s="1"/>
      <c r="O275" s="1"/>
      <c r="P275" s="1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55"/>
      <c r="M276" s="1"/>
      <c r="N276" s="1"/>
      <c r="O276" s="1"/>
      <c r="P276" s="1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55"/>
      <c r="M277" s="1"/>
      <c r="N277" s="1"/>
      <c r="O277" s="1"/>
      <c r="P277" s="1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55"/>
      <c r="M278" s="1"/>
      <c r="N278" s="1"/>
      <c r="O278" s="1"/>
      <c r="P278" s="1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55"/>
      <c r="M279" s="1"/>
      <c r="N279" s="1"/>
      <c r="O279" s="1"/>
      <c r="P279" s="1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55"/>
      <c r="M280" s="1"/>
      <c r="N280" s="1"/>
      <c r="O280" s="1"/>
      <c r="P280" s="1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52"/>
      <c r="M281" s="160"/>
      <c r="N281" s="160"/>
      <c r="O281" s="160"/>
      <c r="P281" s="160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52"/>
      <c r="M282" s="160"/>
      <c r="N282" s="160"/>
      <c r="O282" s="160"/>
      <c r="P282" s="160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20</v>
      </c>
      <c r="I283" s="166"/>
      <c r="J283" s="166"/>
      <c r="K283" s="166"/>
      <c r="L283" s="166"/>
      <c r="M283" s="1"/>
      <c r="N283" s="1"/>
      <c r="O283" s="1"/>
      <c r="P283" s="1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2046000</v>
      </c>
      <c r="I284" s="150"/>
      <c r="J284" s="150"/>
      <c r="K284" s="150"/>
      <c r="L284" s="150"/>
      <c r="M284" s="1"/>
      <c r="N284" s="1"/>
      <c r="O284" s="1"/>
      <c r="P284" s="1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5</v>
      </c>
      <c r="I285" s="166"/>
      <c r="J285" s="166"/>
      <c r="K285" s="166"/>
      <c r="L285" s="166"/>
      <c r="M285" s="1"/>
      <c r="N285" s="1"/>
      <c r="O285" s="1"/>
      <c r="P285" s="1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146940</v>
      </c>
      <c r="I286" s="150"/>
      <c r="J286" s="150"/>
      <c r="K286" s="150"/>
      <c r="L286" s="150"/>
      <c r="M286" s="1"/>
      <c r="N286" s="1"/>
      <c r="O286" s="1"/>
      <c r="P286" s="1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66"/>
      <c r="M287" s="1"/>
      <c r="N287" s="1"/>
      <c r="O287" s="1"/>
      <c r="P287" s="1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50"/>
      <c r="M288" s="1"/>
      <c r="N288" s="1"/>
      <c r="O288" s="1"/>
      <c r="P288" s="1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7</v>
      </c>
      <c r="I289" s="166"/>
      <c r="J289" s="166"/>
      <c r="K289" s="166"/>
      <c r="L289" s="166"/>
      <c r="M289" s="1"/>
      <c r="N289" s="1"/>
      <c r="O289" s="1"/>
      <c r="P289" s="1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943950</v>
      </c>
      <c r="I290" s="150"/>
      <c r="J290" s="150"/>
      <c r="K290" s="150"/>
      <c r="L290" s="150"/>
      <c r="M290" s="1"/>
      <c r="N290" s="1"/>
      <c r="O290" s="1"/>
      <c r="P290" s="1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66"/>
      <c r="M291" s="1"/>
      <c r="N291" s="1"/>
      <c r="O291" s="1"/>
      <c r="P291" s="1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50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38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51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0.8431372549</v>
      </c>
      <c r="I296" s="168"/>
      <c r="J296" s="168"/>
      <c r="K296" s="168"/>
      <c r="L296" s="168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43</v>
      </c>
      <c r="I297" s="148"/>
      <c r="J297" s="148"/>
      <c r="K297" s="148"/>
      <c r="L297" s="148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68"/>
      <c r="M298" s="1"/>
      <c r="N298" s="1"/>
      <c r="O298" s="1"/>
      <c r="P298" s="1"/>
      <c r="Q298" s="1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3253140</v>
      </c>
      <c r="I299" s="173"/>
      <c r="J299" s="173"/>
      <c r="K299" s="173"/>
      <c r="L299" s="173"/>
      <c r="M299" s="1"/>
      <c r="N299" s="1"/>
      <c r="O299" s="1"/>
      <c r="P299" s="1"/>
      <c r="Q299" s="1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55"/>
      <c r="M300" s="1"/>
      <c r="N300" s="1"/>
      <c r="O300" s="1"/>
      <c r="P300" s="1"/>
      <c r="Q300" s="1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55"/>
      <c r="M301" s="1"/>
      <c r="N301" s="1"/>
      <c r="O301" s="1"/>
      <c r="P301" s="1"/>
      <c r="Q301" s="1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55"/>
      <c r="M302" s="1"/>
      <c r="N302" s="1"/>
      <c r="O302" s="1"/>
      <c r="P302" s="1"/>
      <c r="Q302" s="1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55"/>
      <c r="M303" s="1"/>
      <c r="N303" s="1"/>
      <c r="O303" s="1"/>
      <c r="P303" s="1"/>
      <c r="Q303" s="1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55"/>
      <c r="M304" s="1"/>
      <c r="N304" s="1"/>
      <c r="O304" s="1"/>
      <c r="P304" s="1"/>
      <c r="Q304" s="1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55"/>
      <c r="M305" s="1"/>
      <c r="N305" s="1"/>
      <c r="O305" s="1"/>
      <c r="P305" s="1"/>
      <c r="Q305" s="1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55"/>
      <c r="M306" s="1"/>
      <c r="N306" s="1"/>
      <c r="O306" s="1"/>
      <c r="P306" s="1"/>
      <c r="Q306" s="1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55"/>
      <c r="M307" s="1"/>
      <c r="N307" s="1"/>
      <c r="O307" s="1"/>
      <c r="P307" s="1"/>
      <c r="Q307" s="1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55"/>
      <c r="M308" s="1"/>
      <c r="N308" s="1"/>
      <c r="O308" s="1"/>
      <c r="P308" s="1"/>
      <c r="Q308" s="1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55"/>
      <c r="M309" s="1"/>
      <c r="N309" s="1"/>
      <c r="O309" s="1"/>
      <c r="P309" s="1"/>
      <c r="Q309" s="1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28</v>
      </c>
      <c r="I310" s="148"/>
      <c r="J310" s="148"/>
      <c r="K310" s="148"/>
      <c r="L310" s="148"/>
      <c r="M310" s="1"/>
      <c r="N310" s="1"/>
      <c r="O310" s="1"/>
      <c r="P310" s="1"/>
      <c r="Q310" s="1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2232000</v>
      </c>
      <c r="I311" s="150"/>
      <c r="J311" s="150"/>
      <c r="K311" s="150"/>
      <c r="L311" s="150"/>
      <c r="M311" s="1"/>
      <c r="N311" s="1"/>
      <c r="O311" s="1"/>
      <c r="P311" s="1"/>
      <c r="Q311" s="1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6</v>
      </c>
      <c r="I312" s="148"/>
      <c r="J312" s="148"/>
      <c r="K312" s="148"/>
      <c r="L312" s="148"/>
      <c r="M312" s="1"/>
      <c r="N312" s="1"/>
      <c r="O312" s="1"/>
      <c r="P312" s="1"/>
      <c r="Q312" s="1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100440</v>
      </c>
      <c r="I313" s="150"/>
      <c r="J313" s="150"/>
      <c r="K313" s="150"/>
      <c r="L313" s="150"/>
      <c r="M313" s="1"/>
      <c r="N313" s="1"/>
      <c r="O313" s="1"/>
      <c r="P313" s="1"/>
      <c r="Q313" s="1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48"/>
      <c r="M314" s="1"/>
      <c r="N314" s="1"/>
      <c r="O314" s="1"/>
      <c r="P314" s="1"/>
      <c r="Q314" s="1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50"/>
      <c r="M315" s="1"/>
      <c r="N315" s="1"/>
      <c r="O315" s="1"/>
      <c r="P315" s="1"/>
      <c r="Q315" s="1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9</v>
      </c>
      <c r="I316" s="148"/>
      <c r="J316" s="148"/>
      <c r="K316" s="148"/>
      <c r="L316" s="148"/>
      <c r="M316" s="1"/>
      <c r="N316" s="1"/>
      <c r="O316" s="1"/>
      <c r="P316" s="1"/>
      <c r="Q316" s="1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920700</v>
      </c>
      <c r="I317" s="150"/>
      <c r="J317" s="150"/>
      <c r="K317" s="150"/>
      <c r="L317" s="150"/>
      <c r="M317" s="1"/>
      <c r="N317" s="1"/>
      <c r="O317" s="1"/>
      <c r="P317" s="1"/>
      <c r="Q317" s="1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5</v>
      </c>
      <c r="I318" s="166"/>
      <c r="J318" s="166"/>
      <c r="K318" s="166"/>
      <c r="L318" s="166"/>
      <c r="M318" s="1"/>
      <c r="N318" s="1"/>
      <c r="O318" s="1"/>
      <c r="P318" s="1"/>
      <c r="Q318" s="1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50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38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243</v>
      </c>
      <c r="I322" s="163"/>
      <c r="J322" s="163"/>
      <c r="K322" s="163"/>
      <c r="L322" s="163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0.9300411523</v>
      </c>
      <c r="I323" s="168"/>
      <c r="J323" s="168"/>
      <c r="K323" s="168"/>
      <c r="L323" s="168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226</v>
      </c>
      <c r="I324" s="148"/>
      <c r="J324" s="148"/>
      <c r="K324" s="148"/>
      <c r="L324" s="148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68"/>
      <c r="M325" s="1"/>
      <c r="N325" s="1"/>
      <c r="O325" s="1"/>
      <c r="P325" s="1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14431740</v>
      </c>
      <c r="I326" s="150"/>
      <c r="J326" s="150"/>
      <c r="K326" s="150"/>
      <c r="L326" s="150"/>
      <c r="M326" s="1"/>
      <c r="N326" s="1"/>
      <c r="O326" s="1"/>
      <c r="P326" s="1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55"/>
      <c r="M327" s="1"/>
      <c r="N327" s="1"/>
      <c r="O327" s="1"/>
      <c r="P327" s="1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55"/>
      <c r="M328" s="1"/>
      <c r="N328" s="1"/>
      <c r="O328" s="1"/>
      <c r="P328" s="1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55"/>
      <c r="M329" s="1"/>
      <c r="N329" s="1"/>
      <c r="O329" s="1"/>
      <c r="P329" s="1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55"/>
      <c r="M330" s="1"/>
      <c r="N330" s="1"/>
      <c r="O330" s="1"/>
      <c r="P330" s="1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55"/>
      <c r="M331" s="1"/>
      <c r="N331" s="1"/>
      <c r="O331" s="1"/>
      <c r="P331" s="1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55"/>
      <c r="M332" s="1"/>
      <c r="N332" s="1"/>
      <c r="O332" s="1"/>
      <c r="P332" s="1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55"/>
      <c r="M333" s="1"/>
      <c r="N333" s="1"/>
      <c r="O333" s="1"/>
      <c r="P333" s="1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55"/>
      <c r="M334" s="1"/>
      <c r="N334" s="1"/>
      <c r="O334" s="1"/>
      <c r="P334" s="1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55"/>
      <c r="M335" s="1"/>
      <c r="N335" s="1"/>
      <c r="O335" s="1"/>
      <c r="P335" s="1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55"/>
      <c r="M336" s="1"/>
      <c r="N336" s="1"/>
      <c r="O336" s="1"/>
      <c r="P336" s="1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135</v>
      </c>
      <c r="I337" s="148"/>
      <c r="J337" s="148"/>
      <c r="K337" s="148"/>
      <c r="L337" s="148"/>
      <c r="M337" s="1"/>
      <c r="N337" s="1"/>
      <c r="O337" s="1"/>
      <c r="P337" s="1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10788000</v>
      </c>
      <c r="I338" s="150"/>
      <c r="J338" s="150"/>
      <c r="K338" s="150"/>
      <c r="L338" s="150"/>
      <c r="M338" s="1"/>
      <c r="N338" s="1"/>
      <c r="O338" s="1"/>
      <c r="P338" s="1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24</v>
      </c>
      <c r="I339" s="148"/>
      <c r="J339" s="148"/>
      <c r="K339" s="148"/>
      <c r="L339" s="148"/>
      <c r="M339" s="1"/>
      <c r="N339" s="1"/>
      <c r="O339" s="1"/>
      <c r="P339" s="1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362700</v>
      </c>
      <c r="I340" s="150"/>
      <c r="J340" s="150"/>
      <c r="K340" s="150"/>
      <c r="L340" s="150"/>
      <c r="M340" s="1"/>
      <c r="N340" s="1"/>
      <c r="O340" s="1"/>
      <c r="P340" s="1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48"/>
      <c r="M341" s="1"/>
      <c r="N341" s="1"/>
      <c r="O341" s="1"/>
      <c r="P341" s="1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50"/>
      <c r="M342" s="1"/>
      <c r="N342" s="1"/>
      <c r="O342" s="1"/>
      <c r="P342" s="1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67</v>
      </c>
      <c r="I343" s="148"/>
      <c r="J343" s="148"/>
      <c r="K343" s="148"/>
      <c r="L343" s="148"/>
      <c r="M343" s="1"/>
      <c r="N343" s="1"/>
      <c r="O343" s="1"/>
      <c r="P343" s="1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3281040</v>
      </c>
      <c r="I344" s="150"/>
      <c r="J344" s="150"/>
      <c r="K344" s="150"/>
      <c r="L344" s="150"/>
      <c r="M344" s="1"/>
      <c r="N344" s="1"/>
      <c r="O344" s="1"/>
      <c r="P344" s="1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66"/>
      <c r="M345" s="1"/>
      <c r="N345" s="1"/>
      <c r="O345" s="1"/>
      <c r="P345" s="1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50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38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572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0.9300699301</v>
      </c>
      <c r="I350" s="168"/>
      <c r="J350" s="168"/>
      <c r="K350" s="168"/>
      <c r="L350" s="168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532</v>
      </c>
      <c r="I351" s="148"/>
      <c r="J351" s="148"/>
      <c r="K351" s="148"/>
      <c r="L351" s="148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68"/>
      <c r="M352" s="1"/>
      <c r="N352" s="1"/>
      <c r="O352" s="1"/>
      <c r="P352" s="1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18230325</v>
      </c>
      <c r="I353" s="150"/>
      <c r="J353" s="150"/>
      <c r="K353" s="150"/>
      <c r="L353" s="150"/>
      <c r="M353" s="1"/>
      <c r="N353" s="1"/>
      <c r="O353" s="1"/>
      <c r="P353" s="1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55"/>
      <c r="M354" s="1"/>
      <c r="N354" s="1"/>
      <c r="O354" s="1"/>
      <c r="P354" s="1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55"/>
      <c r="M355" s="1"/>
      <c r="N355" s="1"/>
      <c r="O355" s="1"/>
      <c r="P355" s="1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55"/>
      <c r="M356" s="1"/>
      <c r="N356" s="1"/>
      <c r="O356" s="1"/>
      <c r="P356" s="1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55"/>
      <c r="M357" s="1"/>
      <c r="N357" s="1"/>
      <c r="O357" s="1"/>
      <c r="P357" s="1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53"/>
      <c r="M358" s="1"/>
      <c r="N358" s="1"/>
      <c r="O358" s="1"/>
      <c r="P358" s="1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53"/>
      <c r="M359" s="1"/>
      <c r="N359" s="1"/>
      <c r="O359" s="1"/>
      <c r="P359" s="1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53"/>
      <c r="M360" s="1"/>
      <c r="N360" s="1"/>
      <c r="O360" s="1"/>
      <c r="P360" s="1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53"/>
      <c r="M361" s="1"/>
      <c r="N361" s="1"/>
      <c r="O361" s="1"/>
      <c r="P361" s="1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55"/>
      <c r="M362" s="1"/>
      <c r="N362" s="1"/>
      <c r="O362" s="1"/>
      <c r="P362" s="1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55"/>
      <c r="M363" s="1"/>
      <c r="N363" s="1"/>
      <c r="O363" s="1"/>
      <c r="P363" s="1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425</v>
      </c>
      <c r="I364" s="148"/>
      <c r="J364" s="148"/>
      <c r="K364" s="148"/>
      <c r="L364" s="148"/>
      <c r="M364" s="1"/>
      <c r="N364" s="1"/>
      <c r="O364" s="1"/>
      <c r="P364" s="1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17000400</v>
      </c>
      <c r="I365" s="150"/>
      <c r="J365" s="150"/>
      <c r="K365" s="150"/>
      <c r="L365" s="150"/>
      <c r="M365" s="1"/>
      <c r="N365" s="1"/>
      <c r="O365" s="1"/>
      <c r="P365" s="1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107</v>
      </c>
      <c r="I366" s="148"/>
      <c r="J366" s="148"/>
      <c r="K366" s="148"/>
      <c r="L366" s="148"/>
      <c r="M366" s="1"/>
      <c r="N366" s="1"/>
      <c r="O366" s="1"/>
      <c r="P366" s="1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1229925</v>
      </c>
      <c r="I367" s="150"/>
      <c r="J367" s="150"/>
      <c r="K367" s="150"/>
      <c r="L367" s="150"/>
      <c r="M367" s="1"/>
      <c r="N367" s="1"/>
      <c r="O367" s="1"/>
      <c r="P367" s="1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48"/>
      <c r="M368" s="1"/>
      <c r="N368" s="1"/>
      <c r="O368" s="1"/>
      <c r="P368" s="1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50"/>
      <c r="M369" s="1"/>
      <c r="N369" s="1"/>
      <c r="O369" s="1"/>
      <c r="P369" s="1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48"/>
      <c r="M370" s="1"/>
      <c r="N370" s="1"/>
      <c r="O370" s="1"/>
      <c r="P370" s="1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50"/>
      <c r="M371" s="1"/>
      <c r="N371" s="1"/>
      <c r="O371" s="1"/>
      <c r="P371" s="1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66"/>
      <c r="M372" s="1"/>
      <c r="N372" s="1"/>
      <c r="O372" s="1"/>
      <c r="P372" s="1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50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38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270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0.9296296296</v>
      </c>
      <c r="I377" s="168"/>
      <c r="J377" s="168"/>
      <c r="K377" s="168"/>
      <c r="L377" s="168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251</v>
      </c>
      <c r="I378" s="148"/>
      <c r="J378" s="148"/>
      <c r="K378" s="148"/>
      <c r="L378" s="148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34"/>
      <c r="M379" s="1"/>
      <c r="N379" s="1"/>
      <c r="O379" s="1"/>
      <c r="P379" s="1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6403050</v>
      </c>
      <c r="I380" s="150"/>
      <c r="J380" s="150"/>
      <c r="K380" s="150"/>
      <c r="L380" s="150"/>
      <c r="M380" s="1"/>
      <c r="N380" s="1"/>
      <c r="O380" s="1"/>
      <c r="P380" s="1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55"/>
      <c r="M381" s="1"/>
      <c r="N381" s="1"/>
      <c r="O381" s="1"/>
      <c r="P381" s="1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55"/>
      <c r="M382" s="1"/>
      <c r="N382" s="1"/>
      <c r="O382" s="1"/>
      <c r="P382" s="1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55"/>
      <c r="M383" s="1"/>
      <c r="N383" s="1"/>
      <c r="O383" s="1"/>
      <c r="P383" s="1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55"/>
      <c r="M384" s="1"/>
      <c r="N384" s="1"/>
      <c r="O384" s="1"/>
      <c r="P384" s="1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53"/>
      <c r="M385" s="1"/>
      <c r="N385" s="1"/>
      <c r="O385" s="1"/>
      <c r="P385" s="1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53"/>
      <c r="M386" s="1"/>
      <c r="N386" s="1"/>
      <c r="O386" s="1"/>
      <c r="P386" s="1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53"/>
      <c r="M387" s="1"/>
      <c r="N387" s="1"/>
      <c r="O387" s="1"/>
      <c r="P387" s="1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53"/>
      <c r="M388" s="1"/>
      <c r="N388" s="1"/>
      <c r="O388" s="1"/>
      <c r="P388" s="1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55"/>
      <c r="M389" s="1"/>
      <c r="N389" s="1"/>
      <c r="O389" s="1"/>
      <c r="P389" s="1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55"/>
      <c r="M390" s="1"/>
      <c r="N390" s="1"/>
      <c r="O390" s="1"/>
      <c r="P390" s="1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201</v>
      </c>
      <c r="I391" s="148"/>
      <c r="J391" s="148"/>
      <c r="K391" s="148"/>
      <c r="L391" s="148"/>
      <c r="M391" s="1"/>
      <c r="N391" s="1"/>
      <c r="O391" s="1"/>
      <c r="P391" s="1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6026400</v>
      </c>
      <c r="I392" s="150"/>
      <c r="J392" s="150"/>
      <c r="K392" s="150"/>
      <c r="L392" s="150"/>
      <c r="M392" s="1"/>
      <c r="N392" s="1"/>
      <c r="O392" s="1"/>
      <c r="P392" s="1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50</v>
      </c>
      <c r="I393" s="148"/>
      <c r="J393" s="148"/>
      <c r="K393" s="148"/>
      <c r="L393" s="148"/>
      <c r="M393" s="1"/>
      <c r="N393" s="1"/>
      <c r="O393" s="1"/>
      <c r="P393" s="1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376650</v>
      </c>
      <c r="I394" s="150"/>
      <c r="J394" s="150"/>
      <c r="K394" s="150"/>
      <c r="L394" s="150"/>
      <c r="M394" s="1"/>
      <c r="N394" s="1"/>
      <c r="O394" s="1"/>
      <c r="P394" s="1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48"/>
      <c r="M395" s="1"/>
      <c r="N395" s="1"/>
      <c r="O395" s="1"/>
      <c r="P395" s="1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50"/>
      <c r="M396" s="1"/>
      <c r="N396" s="1"/>
      <c r="O396" s="1"/>
      <c r="P396" s="1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48"/>
      <c r="M397" s="1"/>
      <c r="N397" s="1"/>
      <c r="O397" s="1"/>
      <c r="P397" s="1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50"/>
      <c r="M398" s="1"/>
      <c r="N398" s="1"/>
      <c r="O398" s="1"/>
      <c r="P398" s="1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48"/>
      <c r="M399" s="1"/>
      <c r="N399" s="1"/>
      <c r="O399" s="1"/>
      <c r="P399" s="1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50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18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1084</v>
      </c>
      <c r="I404" s="123"/>
      <c r="J404" s="123"/>
      <c r="K404" s="123"/>
      <c r="L404" s="123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68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1084</v>
      </c>
      <c r="I406" s="148"/>
      <c r="J406" s="148"/>
      <c r="K406" s="148"/>
      <c r="L406" s="148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45455145</v>
      </c>
      <c r="I408" s="150"/>
      <c r="J408" s="150"/>
      <c r="K408" s="150"/>
      <c r="L408" s="150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68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45455145</v>
      </c>
      <c r="I410" s="150"/>
      <c r="J410" s="150"/>
      <c r="K410" s="150"/>
      <c r="L410" s="150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15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38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68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32</v>
      </c>
      <c r="I414" s="148"/>
      <c r="J414" s="148"/>
      <c r="K414" s="148"/>
      <c r="L414" s="148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68"/>
      <c r="M415" s="1"/>
      <c r="N415" s="1"/>
      <c r="O415" s="1"/>
      <c r="P415" s="1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3136890</v>
      </c>
      <c r="I416" s="150"/>
      <c r="J416" s="150"/>
      <c r="K416" s="150"/>
      <c r="L416" s="150"/>
      <c r="M416" s="1"/>
      <c r="N416" s="1"/>
      <c r="O416" s="1"/>
      <c r="P416" s="1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53"/>
      <c r="M417" s="1"/>
      <c r="N417" s="1"/>
      <c r="O417" s="1"/>
      <c r="P417" s="1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53"/>
      <c r="M418" s="1"/>
      <c r="N418" s="1"/>
      <c r="O418" s="1"/>
      <c r="P418" s="1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53"/>
      <c r="M419" s="1"/>
      <c r="N419" s="1"/>
      <c r="O419" s="1"/>
      <c r="P419" s="1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53"/>
      <c r="M420" s="1"/>
      <c r="N420" s="1"/>
      <c r="O420" s="1"/>
      <c r="P420" s="1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53"/>
      <c r="M421" s="1"/>
      <c r="N421" s="1"/>
      <c r="O421" s="1"/>
      <c r="P421" s="1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53"/>
      <c r="M422" s="1"/>
      <c r="N422" s="1"/>
      <c r="O422" s="1"/>
      <c r="P422" s="1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53"/>
      <c r="M423" s="1"/>
      <c r="N423" s="1"/>
      <c r="O423" s="1"/>
      <c r="P423" s="1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53"/>
      <c r="M424" s="1"/>
      <c r="N424" s="1"/>
      <c r="O424" s="1"/>
      <c r="P424" s="1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53"/>
      <c r="M425" s="1"/>
      <c r="N425" s="1"/>
      <c r="O425" s="1"/>
      <c r="P425" s="1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53"/>
      <c r="M426" s="1"/>
      <c r="N426" s="1"/>
      <c r="O426" s="1"/>
      <c r="P426" s="1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20</v>
      </c>
      <c r="I427" s="148"/>
      <c r="J427" s="148"/>
      <c r="K427" s="148"/>
      <c r="L427" s="148"/>
      <c r="M427" s="1"/>
      <c r="N427" s="1"/>
      <c r="O427" s="1"/>
      <c r="P427" s="1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2046000</v>
      </c>
      <c r="I428" s="173"/>
      <c r="J428" s="173"/>
      <c r="K428" s="173"/>
      <c r="L428" s="173"/>
      <c r="M428" s="1"/>
      <c r="N428" s="1"/>
      <c r="O428" s="1"/>
      <c r="P428" s="1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5</v>
      </c>
      <c r="I429" s="148"/>
      <c r="J429" s="148"/>
      <c r="K429" s="148"/>
      <c r="L429" s="148"/>
      <c r="M429" s="1"/>
      <c r="N429" s="1"/>
      <c r="O429" s="1"/>
      <c r="P429" s="1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146940</v>
      </c>
      <c r="I430" s="148"/>
      <c r="J430" s="148"/>
      <c r="K430" s="148"/>
      <c r="L430" s="148"/>
      <c r="M430" s="1"/>
      <c r="N430" s="1"/>
      <c r="O430" s="1"/>
      <c r="P430" s="1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74"/>
      <c r="M431" s="1"/>
      <c r="N431" s="1"/>
      <c r="O431" s="1"/>
      <c r="P431" s="1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74"/>
      <c r="M432" s="1"/>
      <c r="N432" s="1"/>
      <c r="O432" s="1"/>
      <c r="P432" s="1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7</v>
      </c>
      <c r="I433" s="174"/>
      <c r="J433" s="174"/>
      <c r="K433" s="174"/>
      <c r="L433" s="174"/>
      <c r="M433" s="1"/>
      <c r="N433" s="1"/>
      <c r="O433" s="1"/>
      <c r="P433" s="1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943950</v>
      </c>
      <c r="I434" s="174"/>
      <c r="J434" s="174"/>
      <c r="K434" s="174"/>
      <c r="L434" s="174"/>
      <c r="M434" s="1"/>
      <c r="N434" s="1"/>
      <c r="O434" s="1"/>
      <c r="P434" s="1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74"/>
      <c r="M435" s="1"/>
      <c r="N435" s="1"/>
      <c r="O435" s="1"/>
      <c r="P435" s="1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74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38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68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43</v>
      </c>
      <c r="I440" s="148"/>
      <c r="J440" s="148"/>
      <c r="K440" s="148"/>
      <c r="L440" s="148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68"/>
      <c r="M441" s="1"/>
      <c r="N441" s="1"/>
      <c r="O441" s="1"/>
      <c r="P441" s="1"/>
      <c r="Q441" s="1"/>
      <c r="R441" s="1"/>
      <c r="S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3253140</v>
      </c>
      <c r="I442" s="150"/>
      <c r="J442" s="150"/>
      <c r="K442" s="150"/>
      <c r="L442" s="150"/>
      <c r="M442" s="1"/>
      <c r="N442" s="1"/>
      <c r="O442" s="1"/>
      <c r="P442" s="1"/>
      <c r="Q442" s="1"/>
      <c r="R442" s="1"/>
      <c r="S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55"/>
      <c r="M443" s="1"/>
      <c r="N443" s="1"/>
      <c r="O443" s="1"/>
      <c r="P443" s="1"/>
      <c r="Q443" s="1"/>
      <c r="R443" s="1"/>
      <c r="S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55"/>
      <c r="M444" s="1"/>
      <c r="N444" s="1"/>
      <c r="O444" s="1"/>
      <c r="P444" s="1"/>
      <c r="Q444" s="1"/>
      <c r="R444" s="1"/>
      <c r="S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55"/>
      <c r="M445" s="1"/>
      <c r="N445" s="1"/>
      <c r="O445" s="1"/>
      <c r="P445" s="1"/>
      <c r="Q445" s="1"/>
      <c r="R445" s="1"/>
      <c r="S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55"/>
      <c r="M446" s="1"/>
      <c r="N446" s="1"/>
      <c r="O446" s="1"/>
      <c r="P446" s="1"/>
      <c r="Q446" s="1"/>
      <c r="R446" s="1"/>
      <c r="S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55"/>
      <c r="M447" s="1"/>
      <c r="N447" s="1"/>
      <c r="O447" s="1"/>
      <c r="P447" s="1"/>
      <c r="Q447" s="1"/>
      <c r="R447" s="1"/>
      <c r="S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55"/>
      <c r="M448" s="1"/>
      <c r="N448" s="1"/>
      <c r="O448" s="1"/>
      <c r="P448" s="1"/>
      <c r="Q448" s="1"/>
      <c r="R448" s="1"/>
      <c r="S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53"/>
      <c r="M449" s="1"/>
      <c r="N449" s="1"/>
      <c r="O449" s="1"/>
      <c r="P449" s="1"/>
      <c r="Q449" s="1"/>
      <c r="R449" s="1"/>
      <c r="S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53"/>
      <c r="M450" s="1"/>
      <c r="N450" s="1"/>
      <c r="O450" s="1"/>
      <c r="P450" s="1"/>
      <c r="Q450" s="1"/>
      <c r="R450" s="1"/>
      <c r="S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53"/>
      <c r="M451" s="1"/>
      <c r="N451" s="1"/>
      <c r="O451" s="1"/>
      <c r="P451" s="1"/>
      <c r="Q451" s="1"/>
      <c r="R451" s="1"/>
      <c r="S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53"/>
      <c r="M452" s="1"/>
      <c r="N452" s="1"/>
      <c r="O452" s="1"/>
      <c r="P452" s="1"/>
      <c r="Q452" s="1"/>
      <c r="R452" s="1"/>
      <c r="S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28</v>
      </c>
      <c r="I453" s="148"/>
      <c r="J453" s="148"/>
      <c r="K453" s="148"/>
      <c r="L453" s="148"/>
      <c r="M453" s="1"/>
      <c r="N453" s="1"/>
      <c r="O453" s="1"/>
      <c r="P453" s="1"/>
      <c r="Q453" s="1"/>
      <c r="R453" s="1"/>
      <c r="S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2232000</v>
      </c>
      <c r="I454" s="148"/>
      <c r="J454" s="148"/>
      <c r="K454" s="148"/>
      <c r="L454" s="148"/>
      <c r="M454" s="1"/>
      <c r="N454" s="1"/>
      <c r="O454" s="1"/>
      <c r="P454" s="1"/>
      <c r="Q454" s="1"/>
      <c r="R454" s="1"/>
      <c r="S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6</v>
      </c>
      <c r="I455" s="148"/>
      <c r="J455" s="148"/>
      <c r="K455" s="148"/>
      <c r="L455" s="148"/>
      <c r="M455" s="1"/>
      <c r="N455" s="1"/>
      <c r="O455" s="1"/>
      <c r="P455" s="1"/>
      <c r="Q455" s="1"/>
      <c r="R455" s="1"/>
      <c r="S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100440</v>
      </c>
      <c r="I456" s="148"/>
      <c r="J456" s="148"/>
      <c r="K456" s="148"/>
      <c r="L456" s="148"/>
      <c r="M456" s="1"/>
      <c r="N456" s="1"/>
      <c r="O456" s="1"/>
      <c r="P456" s="1"/>
      <c r="Q456" s="1"/>
      <c r="R456" s="1"/>
      <c r="S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48"/>
      <c r="M457" s="1"/>
      <c r="N457" s="1"/>
      <c r="O457" s="1"/>
      <c r="P457" s="1"/>
      <c r="Q457" s="1"/>
      <c r="R457" s="1"/>
      <c r="S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48"/>
      <c r="M458" s="1"/>
      <c r="N458" s="1"/>
      <c r="O458" s="1"/>
      <c r="P458" s="1"/>
      <c r="Q458" s="1"/>
      <c r="R458" s="1"/>
      <c r="S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9</v>
      </c>
      <c r="I459" s="148"/>
      <c r="J459" s="148"/>
      <c r="K459" s="148"/>
      <c r="L459" s="148"/>
      <c r="M459" s="1"/>
      <c r="N459" s="1"/>
      <c r="O459" s="1"/>
      <c r="P459" s="1"/>
      <c r="Q459" s="1"/>
      <c r="R459" s="1"/>
      <c r="S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920700</v>
      </c>
      <c r="I460" s="148"/>
      <c r="J460" s="148"/>
      <c r="K460" s="148"/>
      <c r="L460" s="148"/>
      <c r="M460" s="1"/>
      <c r="N460" s="1"/>
      <c r="O460" s="1"/>
      <c r="P460" s="1"/>
      <c r="Q460" s="1"/>
      <c r="R460" s="1"/>
      <c r="S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5</v>
      </c>
      <c r="I461" s="148"/>
      <c r="J461" s="148"/>
      <c r="K461" s="148"/>
      <c r="L461" s="148"/>
      <c r="M461" s="1"/>
      <c r="N461" s="1"/>
      <c r="O461" s="1"/>
      <c r="P461" s="1"/>
      <c r="Q461" s="1"/>
      <c r="R461" s="1"/>
      <c r="S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48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38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68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226</v>
      </c>
      <c r="I466" s="148"/>
      <c r="J466" s="148"/>
      <c r="K466" s="148"/>
      <c r="L466" s="148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68"/>
      <c r="M467" s="1"/>
      <c r="N467" s="1"/>
      <c r="O467" s="1"/>
      <c r="P467" s="1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14431740</v>
      </c>
      <c r="I468" s="150"/>
      <c r="J468" s="150"/>
      <c r="K468" s="150"/>
      <c r="L468" s="150"/>
      <c r="M468" s="1"/>
      <c r="N468" s="1"/>
      <c r="O468" s="1"/>
      <c r="P468" s="1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55"/>
      <c r="M469" s="1"/>
      <c r="N469" s="1"/>
      <c r="O469" s="1"/>
      <c r="P469" s="1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55"/>
      <c r="M470" s="1"/>
      <c r="N470" s="1"/>
      <c r="O470" s="1"/>
      <c r="P470" s="1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55"/>
      <c r="M471" s="1"/>
      <c r="N471" s="1"/>
      <c r="O471" s="1"/>
      <c r="P471" s="1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55"/>
      <c r="M472" s="1"/>
      <c r="N472" s="1"/>
      <c r="O472" s="1"/>
      <c r="P472" s="1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55"/>
      <c r="M473" s="1"/>
      <c r="N473" s="1"/>
      <c r="O473" s="1"/>
      <c r="P473" s="1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55"/>
      <c r="M474" s="1"/>
      <c r="N474" s="1"/>
      <c r="O474" s="1"/>
      <c r="P474" s="1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55"/>
      <c r="M475" s="1"/>
      <c r="N475" s="1"/>
      <c r="O475" s="1"/>
      <c r="P475" s="1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55"/>
      <c r="M476" s="1"/>
      <c r="N476" s="1"/>
      <c r="O476" s="1"/>
      <c r="P476" s="1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55"/>
      <c r="M477" s="1"/>
      <c r="N477" s="1"/>
      <c r="O477" s="1"/>
      <c r="P477" s="1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55"/>
      <c r="M478" s="1"/>
      <c r="N478" s="1"/>
      <c r="O478" s="1"/>
      <c r="P478" s="1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135</v>
      </c>
      <c r="I479" s="148"/>
      <c r="J479" s="148"/>
      <c r="K479" s="148"/>
      <c r="L479" s="148"/>
      <c r="M479" s="1"/>
      <c r="N479" s="1"/>
      <c r="O479" s="1"/>
      <c r="P479" s="1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10788000</v>
      </c>
      <c r="I480" s="148"/>
      <c r="J480" s="148"/>
      <c r="K480" s="148"/>
      <c r="L480" s="148"/>
      <c r="M480" s="1"/>
      <c r="N480" s="1"/>
      <c r="O480" s="1"/>
      <c r="P480" s="1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24</v>
      </c>
      <c r="I481" s="148"/>
      <c r="J481" s="148"/>
      <c r="K481" s="148"/>
      <c r="L481" s="148"/>
      <c r="M481" s="1"/>
      <c r="N481" s="1"/>
      <c r="O481" s="1"/>
      <c r="P481" s="1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362700</v>
      </c>
      <c r="I482" s="148"/>
      <c r="J482" s="148"/>
      <c r="K482" s="148"/>
      <c r="L482" s="148"/>
      <c r="M482" s="1"/>
      <c r="N482" s="1"/>
      <c r="O482" s="1"/>
      <c r="P482" s="1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48"/>
      <c r="M483" s="1"/>
      <c r="N483" s="1"/>
      <c r="O483" s="1"/>
      <c r="P483" s="1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48"/>
      <c r="M484" s="1"/>
      <c r="N484" s="1"/>
      <c r="O484" s="1"/>
      <c r="P484" s="1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67</v>
      </c>
      <c r="I485" s="148"/>
      <c r="J485" s="148"/>
      <c r="K485" s="148"/>
      <c r="L485" s="148"/>
      <c r="M485" s="1"/>
      <c r="N485" s="1"/>
      <c r="O485" s="1"/>
      <c r="P485" s="1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3281040</v>
      </c>
      <c r="I486" s="148"/>
      <c r="J486" s="148"/>
      <c r="K486" s="148"/>
      <c r="L486" s="148"/>
      <c r="M486" s="1"/>
      <c r="N486" s="1"/>
      <c r="O486" s="1"/>
      <c r="P486" s="1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48"/>
      <c r="M487" s="1"/>
      <c r="N487" s="1"/>
      <c r="O487" s="1"/>
      <c r="P487" s="1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48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38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68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532</v>
      </c>
      <c r="I492" s="148"/>
      <c r="J492" s="148"/>
      <c r="K492" s="148"/>
      <c r="L492" s="148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68"/>
      <c r="M493" s="1"/>
      <c r="N493" s="1"/>
      <c r="O493" s="1"/>
      <c r="P493" s="1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18230325</v>
      </c>
      <c r="I494" s="150"/>
      <c r="J494" s="150"/>
      <c r="K494" s="150"/>
      <c r="L494" s="150"/>
      <c r="M494" s="1"/>
      <c r="N494" s="1"/>
      <c r="O494" s="1"/>
      <c r="P494" s="1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55"/>
      <c r="M495" s="1"/>
      <c r="N495" s="1"/>
      <c r="O495" s="1"/>
      <c r="P495" s="1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55"/>
      <c r="M496" s="1"/>
      <c r="N496" s="1"/>
      <c r="O496" s="1"/>
      <c r="P496" s="1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55"/>
      <c r="M497" s="1"/>
      <c r="N497" s="1"/>
      <c r="O497" s="1"/>
      <c r="P497" s="1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55"/>
      <c r="M498" s="1"/>
      <c r="N498" s="1"/>
      <c r="O498" s="1"/>
      <c r="P498" s="1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53"/>
      <c r="M499" s="1"/>
      <c r="N499" s="1"/>
      <c r="O499" s="1"/>
      <c r="P499" s="1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53"/>
      <c r="M500" s="1"/>
      <c r="N500" s="1"/>
      <c r="O500" s="1"/>
      <c r="P500" s="1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53"/>
      <c r="M501" s="1"/>
      <c r="N501" s="1"/>
      <c r="O501" s="1"/>
      <c r="P501" s="1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53"/>
      <c r="M502" s="1"/>
      <c r="N502" s="1"/>
      <c r="O502" s="1"/>
      <c r="P502" s="1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53"/>
      <c r="M503" s="1"/>
      <c r="N503" s="1"/>
      <c r="O503" s="1"/>
      <c r="P503" s="1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53"/>
      <c r="M504" s="1"/>
      <c r="N504" s="1"/>
      <c r="O504" s="1"/>
      <c r="P504" s="1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425</v>
      </c>
      <c r="I505" s="148"/>
      <c r="J505" s="148"/>
      <c r="K505" s="148"/>
      <c r="L505" s="148"/>
      <c r="M505" s="1"/>
      <c r="N505" s="1"/>
      <c r="O505" s="1"/>
      <c r="P505" s="1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17000400</v>
      </c>
      <c r="I506" s="148"/>
      <c r="J506" s="148"/>
      <c r="K506" s="148"/>
      <c r="L506" s="148"/>
      <c r="M506" s="1"/>
      <c r="N506" s="1"/>
      <c r="O506" s="1"/>
      <c r="P506" s="1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107</v>
      </c>
      <c r="I507" s="148"/>
      <c r="J507" s="148"/>
      <c r="K507" s="148"/>
      <c r="L507" s="148"/>
      <c r="M507" s="1"/>
      <c r="N507" s="1"/>
      <c r="O507" s="1"/>
      <c r="P507" s="1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1229925</v>
      </c>
      <c r="I508" s="148"/>
      <c r="J508" s="148"/>
      <c r="K508" s="148"/>
      <c r="L508" s="148"/>
      <c r="M508" s="1"/>
      <c r="N508" s="1"/>
      <c r="O508" s="1"/>
      <c r="P508" s="1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48"/>
      <c r="M509" s="1"/>
      <c r="N509" s="1"/>
      <c r="O509" s="1"/>
      <c r="P509" s="1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48"/>
      <c r="M510" s="1"/>
      <c r="N510" s="1"/>
      <c r="O510" s="1"/>
      <c r="P510" s="1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48"/>
      <c r="M511" s="1"/>
      <c r="N511" s="1"/>
      <c r="O511" s="1"/>
      <c r="P511" s="1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48"/>
      <c r="M512" s="1"/>
      <c r="N512" s="1"/>
      <c r="O512" s="1"/>
      <c r="P512" s="1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48"/>
      <c r="M513" s="1"/>
      <c r="N513" s="1"/>
      <c r="O513" s="1"/>
      <c r="P513" s="1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48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38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68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251</v>
      </c>
      <c r="I518" s="148"/>
      <c r="J518" s="148"/>
      <c r="K518" s="148"/>
      <c r="L518" s="148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68"/>
      <c r="M519" s="1"/>
      <c r="N519" s="1"/>
      <c r="O519" s="1"/>
      <c r="P519" s="1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6403050</v>
      </c>
      <c r="I520" s="150"/>
      <c r="J520" s="150"/>
      <c r="K520" s="150"/>
      <c r="L520" s="150"/>
      <c r="M520" s="1"/>
      <c r="N520" s="1"/>
      <c r="O520" s="1"/>
      <c r="P520" s="1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55"/>
      <c r="M521" s="1"/>
      <c r="N521" s="1"/>
      <c r="O521" s="1"/>
      <c r="P521" s="1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55"/>
      <c r="M522" s="1"/>
      <c r="N522" s="1"/>
      <c r="O522" s="1"/>
      <c r="P522" s="1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55"/>
      <c r="M523" s="1"/>
      <c r="N523" s="1"/>
      <c r="O523" s="1"/>
      <c r="P523" s="1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55"/>
      <c r="M524" s="1"/>
      <c r="N524" s="1"/>
      <c r="O524" s="1"/>
      <c r="P524" s="1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53"/>
      <c r="M525" s="1"/>
      <c r="N525" s="1"/>
      <c r="O525" s="1"/>
      <c r="P525" s="1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53"/>
      <c r="M526" s="1"/>
      <c r="N526" s="1"/>
      <c r="O526" s="1"/>
      <c r="P526" s="1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53"/>
      <c r="M527" s="1"/>
      <c r="N527" s="1"/>
      <c r="O527" s="1"/>
      <c r="P527" s="1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53"/>
      <c r="M528" s="1"/>
      <c r="N528" s="1"/>
      <c r="O528" s="1"/>
      <c r="P528" s="1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53"/>
      <c r="M529" s="1"/>
      <c r="N529" s="1"/>
      <c r="O529" s="1"/>
      <c r="P529" s="1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53"/>
      <c r="M530" s="1"/>
      <c r="N530" s="1"/>
      <c r="O530" s="1"/>
      <c r="P530" s="1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201</v>
      </c>
      <c r="I531" s="148"/>
      <c r="J531" s="148"/>
      <c r="K531" s="148"/>
      <c r="L531" s="148"/>
      <c r="M531" s="1"/>
      <c r="N531" s="1"/>
      <c r="O531" s="1"/>
      <c r="P531" s="1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6026400</v>
      </c>
      <c r="I532" s="148"/>
      <c r="J532" s="148"/>
      <c r="K532" s="148"/>
      <c r="L532" s="148"/>
      <c r="M532" s="1"/>
      <c r="N532" s="1"/>
      <c r="O532" s="1"/>
      <c r="P532" s="1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50</v>
      </c>
      <c r="I533" s="148"/>
      <c r="J533" s="148"/>
      <c r="K533" s="148"/>
      <c r="L533" s="148"/>
      <c r="M533" s="1"/>
      <c r="N533" s="1"/>
      <c r="O533" s="1"/>
      <c r="P533" s="1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376650</v>
      </c>
      <c r="I534" s="148"/>
      <c r="J534" s="148"/>
      <c r="K534" s="148"/>
      <c r="L534" s="148"/>
      <c r="M534" s="1"/>
      <c r="N534" s="1"/>
      <c r="O534" s="1"/>
      <c r="P534" s="1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48"/>
      <c r="M535" s="1"/>
      <c r="N535" s="1"/>
      <c r="O535" s="1"/>
      <c r="P535" s="1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48"/>
      <c r="M536" s="1"/>
      <c r="N536" s="1"/>
      <c r="O536" s="1"/>
      <c r="P536" s="1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48"/>
      <c r="M537" s="1"/>
      <c r="N537" s="1"/>
      <c r="O537" s="1"/>
      <c r="P537" s="1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48"/>
      <c r="M538" s="1"/>
      <c r="N538" s="1"/>
      <c r="O538" s="1"/>
      <c r="P538" s="1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48"/>
      <c r="M539" s="1"/>
      <c r="N539" s="1"/>
      <c r="O539" s="1"/>
      <c r="P539" s="1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48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18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L545" si="13">SUM(H554,H588,H629,H663,H703,H737)</f>
        <v>5145690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78">
        <f t="shared" si="13"/>
        <v>0</v>
      </c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L546" si="14">SUM(H553,H587,H628,H662,H702,H735)</f>
        <v>0</v>
      </c>
      <c r="I546" s="180">
        <f t="shared" si="14"/>
        <v>312000</v>
      </c>
      <c r="J546" s="180">
        <f t="shared" si="14"/>
        <v>408000</v>
      </c>
      <c r="K546" s="180">
        <f t="shared" si="14"/>
        <v>144000</v>
      </c>
      <c r="L546" s="180">
        <f t="shared" si="14"/>
        <v>96000</v>
      </c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43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L549" si="15">SUM(H571,H605,H624,H646,H679,H698,H720,H754,H774)</f>
        <v>36000</v>
      </c>
      <c r="I549" s="178">
        <f t="shared" si="15"/>
        <v>39600</v>
      </c>
      <c r="J549" s="178">
        <f t="shared" si="15"/>
        <v>43560</v>
      </c>
      <c r="K549" s="178">
        <f t="shared" si="15"/>
        <v>297516</v>
      </c>
      <c r="L549" s="178">
        <f t="shared" si="15"/>
        <v>206307.6</v>
      </c>
      <c r="M549" s="1"/>
      <c r="N549" s="1"/>
      <c r="O549" s="1"/>
      <c r="P549" s="1"/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81"/>
      <c r="M550" s="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83"/>
      <c r="M551" s="136"/>
      <c r="N551" s="136"/>
      <c r="O551" s="136"/>
      <c r="P551" s="136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84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L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70">
        <f t="shared" si="16"/>
        <v>0</v>
      </c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L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84" t="str">
        <f t="shared" si="17"/>
        <v/>
      </c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L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84">
        <f t="shared" si="18"/>
        <v>0</v>
      </c>
      <c r="M555" s="1"/>
      <c r="N555" s="1"/>
      <c r="O555" s="1"/>
      <c r="P555" s="1"/>
      <c r="Q555" s="1"/>
      <c r="R555" s="1"/>
      <c r="S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86"/>
      <c r="M556" s="1"/>
      <c r="N556" s="1"/>
      <c r="O556" s="1"/>
      <c r="P556" s="1"/>
      <c r="Q556" s="1"/>
      <c r="R556" s="1"/>
      <c r="S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L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86">
        <f t="shared" si="19"/>
        <v>0</v>
      </c>
      <c r="M557" s="1"/>
      <c r="N557" s="1"/>
      <c r="O557" s="1"/>
      <c r="P557" s="1"/>
      <c r="Q557" s="1"/>
      <c r="R557" s="1"/>
      <c r="S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L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86">
        <f t="shared" si="20"/>
        <v>1</v>
      </c>
      <c r="M558" s="1"/>
      <c r="N558" s="1"/>
      <c r="O558" s="1"/>
      <c r="P558" s="1"/>
      <c r="Q558" s="1"/>
      <c r="R558" s="1"/>
      <c r="S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L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86">
        <f t="shared" si="21"/>
        <v>0</v>
      </c>
      <c r="M559" s="1"/>
      <c r="N559" s="1"/>
      <c r="O559" s="1"/>
      <c r="P559" s="1"/>
      <c r="Q559" s="1"/>
      <c r="R559" s="1"/>
      <c r="S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L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86">
        <f t="shared" si="22"/>
        <v>1</v>
      </c>
      <c r="M560" s="1"/>
      <c r="N560" s="1"/>
      <c r="O560" s="1"/>
      <c r="P560" s="1"/>
      <c r="Q560" s="1"/>
      <c r="R560" s="1"/>
      <c r="S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L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86">
        <f t="shared" si="23"/>
        <v>2</v>
      </c>
      <c r="M561" s="1"/>
      <c r="N561" s="1"/>
      <c r="O561" s="1"/>
      <c r="P561" s="1"/>
      <c r="Q561" s="1"/>
      <c r="R561" s="1"/>
      <c r="S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L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86">
        <f t="shared" si="24"/>
        <v>0</v>
      </c>
      <c r="M562" s="1"/>
      <c r="N562" s="1"/>
      <c r="O562" s="1"/>
      <c r="P562" s="1"/>
      <c r="Q562" s="1"/>
      <c r="R562" s="1"/>
      <c r="S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L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86">
        <f t="shared" si="25"/>
        <v>0</v>
      </c>
      <c r="M563" s="1"/>
      <c r="N563" s="1"/>
      <c r="O563" s="1"/>
      <c r="P563" s="1"/>
      <c r="Q563" s="1"/>
      <c r="R563" s="1"/>
      <c r="S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L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86">
        <f t="shared" si="26"/>
        <v>0</v>
      </c>
      <c r="M564" s="1"/>
      <c r="N564" s="1"/>
      <c r="O564" s="1"/>
      <c r="P564" s="1"/>
      <c r="Q564" s="1"/>
      <c r="R564" s="1"/>
      <c r="S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L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86">
        <f t="shared" si="27"/>
        <v>0</v>
      </c>
      <c r="M565" s="1"/>
      <c r="N565" s="1"/>
      <c r="O565" s="1"/>
      <c r="P565" s="1"/>
      <c r="Q565" s="1"/>
      <c r="R565" s="1"/>
      <c r="S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L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86">
        <f t="shared" si="28"/>
        <v>0</v>
      </c>
      <c r="M566" s="1"/>
      <c r="N566" s="1"/>
      <c r="O566" s="1"/>
      <c r="P566" s="1"/>
      <c r="Q566" s="1"/>
      <c r="R566" s="1"/>
      <c r="S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L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86">
        <f t="shared" si="29"/>
        <v>0</v>
      </c>
      <c r="M567" s="1"/>
      <c r="N567" s="1"/>
      <c r="O567" s="1"/>
      <c r="P567" s="1"/>
      <c r="Q567" s="1"/>
      <c r="R567" s="1"/>
      <c r="S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L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86">
        <f t="shared" si="30"/>
        <v>0</v>
      </c>
      <c r="M568" s="1"/>
      <c r="N568" s="1"/>
      <c r="O568" s="1"/>
      <c r="P568" s="1"/>
      <c r="Q568" s="1"/>
      <c r="R568" s="1"/>
      <c r="S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86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55">
        <v>0.8</v>
      </c>
      <c r="M570" s="1"/>
      <c r="N570" s="1"/>
      <c r="O570" s="1"/>
      <c r="P570" s="1"/>
      <c r="Q570" s="1"/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L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84">
        <f t="shared" si="31"/>
        <v>0</v>
      </c>
      <c r="M571" s="1"/>
      <c r="N571" s="1"/>
      <c r="O571" s="1"/>
      <c r="P571" s="1"/>
      <c r="Q571" s="1"/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L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84">
        <f t="shared" si="32"/>
        <v>0</v>
      </c>
      <c r="M572" s="1"/>
      <c r="N572" s="1"/>
      <c r="O572" s="1"/>
      <c r="P572" s="1"/>
      <c r="Q572" s="1"/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L573" si="33">IF(COLUMN() &lt; (COLUMN($H$573) + (ROW()-ROW($H$573))), 0, IF(COLUMN() = (COLUMN($H$573) + (ROW()-ROW($H$573))), INDEX($H$555:$L$555,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86">
        <f t="shared" si="33"/>
        <v>0</v>
      </c>
      <c r="M573" s="1"/>
      <c r="N573" s="1"/>
      <c r="O573" s="1"/>
      <c r="P573" s="1"/>
      <c r="Q573" s="1"/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L574" si="34">IF(COLUMN() &lt; (COLUMN($H$573) + (ROW()-ROW($H$573))), 0, IF(COLUMN() = (COLUMN($H$573) + (ROW()-ROW($H$573))), INDEX($H$555:$L$555,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86">
        <f t="shared" si="34"/>
        <v>0</v>
      </c>
      <c r="M574" s="1"/>
      <c r="N574" s="1"/>
      <c r="O574" s="1"/>
      <c r="P574" s="1"/>
      <c r="Q574" s="1"/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L575" si="35">IF(COLUMN() &lt; (COLUMN($H$573) + (ROW()-ROW($H$573))), 0, IF(COLUMN() = (COLUMN($H$573) + (ROW()-ROW($H$573))), INDEX($H$555:$L$555,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86">
        <f t="shared" si="35"/>
        <v>0</v>
      </c>
      <c r="M575" s="1"/>
      <c r="N575" s="1"/>
      <c r="O575" s="1"/>
      <c r="P575" s="1"/>
      <c r="Q575" s="1"/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L576" si="36">IF(COLUMN() &lt; (COLUMN($H$573) + (ROW()-ROW($H$573))), 0, IF(COLUMN() = (COLUMN($H$573) + (ROW()-ROW($H$573))), INDEX($H$555:$L$555,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86">
        <f t="shared" si="36"/>
        <v>0</v>
      </c>
      <c r="M576" s="1"/>
      <c r="N576" s="1"/>
      <c r="O576" s="1"/>
      <c r="P576" s="1"/>
      <c r="Q576" s="1"/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L577" si="37">IF(COLUMN() &lt; (COLUMN($H$573) + (ROW()-ROW($H$573))), 0, IF(COLUMN() = (COLUMN($H$573) + (ROW()-ROW($H$573))), INDEX($H$555:$L$555,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86">
        <f t="shared" si="37"/>
        <v>0</v>
      </c>
      <c r="M577" s="1"/>
      <c r="N577" s="1"/>
      <c r="O577" s="1"/>
      <c r="P577" s="1"/>
      <c r="Q577" s="1"/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L578" si="38">IF(COLUMN() &lt; (COLUMN($H$573) + (ROW()-ROW($H$573))), 0, IF(COLUMN() = (COLUMN($H$573) + (ROW()-ROW($H$573))), INDEX($H$555:$L$555,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86">
        <f t="shared" si="38"/>
        <v>0</v>
      </c>
      <c r="M578" s="1"/>
      <c r="N578" s="1"/>
      <c r="O578" s="1"/>
      <c r="P578" s="1"/>
      <c r="Q578" s="1"/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L579" si="39">IF(COLUMN() &lt; (COLUMN($H$573) + (ROW()-ROW($H$573))), 0, IF(COLUMN() = (COLUMN($H$573) + (ROW()-ROW($H$573))), INDEX($H$555:$L$555,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86">
        <f t="shared" si="39"/>
        <v>0</v>
      </c>
      <c r="M579" s="1"/>
      <c r="N579" s="1"/>
      <c r="O579" s="1"/>
      <c r="P579" s="1"/>
      <c r="Q579" s="1"/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L580" si="40">IF(COLUMN() &lt; (COLUMN($H$573) + (ROW()-ROW($H$573))), 0, IF(COLUMN() = (COLUMN($H$573) + (ROW()-ROW($H$573))), INDEX($H$555:$L$555,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86">
        <f t="shared" si="40"/>
        <v>0</v>
      </c>
      <c r="M580" s="1"/>
      <c r="N580" s="1"/>
      <c r="O580" s="1"/>
      <c r="P580" s="1"/>
      <c r="Q580" s="1"/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L581" si="41">IF(COLUMN() &lt; (COLUMN($H$573) + (ROW()-ROW($H$573))), 0, IF(COLUMN() = (COLUMN($H$573) + (ROW()-ROW($H$573))), INDEX($H$555:$L$555,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86">
        <f t="shared" si="41"/>
        <v>0</v>
      </c>
      <c r="M581" s="1"/>
      <c r="N581" s="1"/>
      <c r="O581" s="1"/>
      <c r="P581" s="1"/>
      <c r="Q581" s="1"/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L582" si="42">IF(COLUMN() &lt; (COLUMN($H$573) + (ROW()-ROW($H$573))), 0, IF(COLUMN() = (COLUMN($H$573) + (ROW()-ROW($H$573))), INDEX($H$555:$L$555,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86">
        <f t="shared" si="42"/>
        <v>0</v>
      </c>
      <c r="M582" s="1"/>
      <c r="N582" s="1"/>
      <c r="O582" s="1"/>
      <c r="P582" s="1"/>
      <c r="Q582" s="1"/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L583" si="43">IF(COLUMN() &lt; (COLUMN($H$573) + (ROW()-ROW($H$573))), 0, IF(COLUMN() = (COLUMN($H$573) + (ROW()-ROW($H$573))), INDEX($H$555:$L$555,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86">
        <f t="shared" si="43"/>
        <v>0</v>
      </c>
      <c r="M583" s="1"/>
      <c r="N583" s="1"/>
      <c r="O583" s="1"/>
      <c r="P583" s="1"/>
      <c r="Q583" s="1"/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L584" si="44">IF(COLUMN() &lt; (COLUMN($H$573) + (ROW()-ROW($H$573))), 0, IF(COLUMN() = (COLUMN($H$573) + (ROW()-ROW($H$573))), INDEX($H$555:$L$555,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86">
        <f t="shared" si="44"/>
        <v>0</v>
      </c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55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84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L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70">
        <f t="shared" si="45"/>
        <v>0</v>
      </c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L588" si="46">H434</f>
        <v>943950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84" t="str">
        <f t="shared" si="46"/>
        <v/>
      </c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L589" si="47">SUM(H587:H588)</f>
        <v>943950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84">
        <f t="shared" si="47"/>
        <v>0</v>
      </c>
      <c r="M589" s="1"/>
      <c r="N589" s="1"/>
      <c r="O589" s="1"/>
      <c r="P589" s="1"/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86"/>
      <c r="M590" s="1"/>
      <c r="N590" s="1"/>
      <c r="O590" s="1"/>
      <c r="P590" s="1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L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86">
        <f t="shared" si="48"/>
        <v>6</v>
      </c>
      <c r="M591" s="1"/>
      <c r="N591" s="1"/>
      <c r="O591" s="1"/>
      <c r="P591" s="1"/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L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86">
        <f t="shared" si="49"/>
        <v>7</v>
      </c>
      <c r="M592" s="1"/>
      <c r="N592" s="1"/>
      <c r="O592" s="1"/>
      <c r="P592" s="1"/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L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86">
        <f t="shared" si="50"/>
        <v>8</v>
      </c>
      <c r="M593" s="1"/>
      <c r="N593" s="1"/>
      <c r="O593" s="1"/>
      <c r="P593" s="1"/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L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86">
        <f t="shared" si="51"/>
        <v>9</v>
      </c>
      <c r="M594" s="1"/>
      <c r="N594" s="1"/>
      <c r="O594" s="1"/>
      <c r="P594" s="1"/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L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86">
        <f t="shared" si="52"/>
        <v>10</v>
      </c>
      <c r="M595" s="1"/>
      <c r="N595" s="1"/>
      <c r="O595" s="1"/>
      <c r="P595" s="1"/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L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86">
        <f t="shared" si="53"/>
        <v>0</v>
      </c>
      <c r="M596" s="1"/>
      <c r="N596" s="1"/>
      <c r="O596" s="1"/>
      <c r="P596" s="1"/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L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86">
        <f t="shared" si="54"/>
        <v>0</v>
      </c>
      <c r="M597" s="1"/>
      <c r="N597" s="1"/>
      <c r="O597" s="1"/>
      <c r="P597" s="1"/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L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86">
        <f t="shared" si="55"/>
        <v>0</v>
      </c>
      <c r="M598" s="1"/>
      <c r="N598" s="1"/>
      <c r="O598" s="1"/>
      <c r="P598" s="1"/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L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86">
        <f t="shared" si="56"/>
        <v>0</v>
      </c>
      <c r="M599" s="1"/>
      <c r="N599" s="1"/>
      <c r="O599" s="1"/>
      <c r="P599" s="1"/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L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86">
        <f t="shared" si="57"/>
        <v>0</v>
      </c>
      <c r="M600" s="1"/>
      <c r="N600" s="1"/>
      <c r="O600" s="1"/>
      <c r="P600" s="1"/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L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86">
        <f t="shared" si="58"/>
        <v>0</v>
      </c>
      <c r="M601" s="1"/>
      <c r="N601" s="1"/>
      <c r="O601" s="1"/>
      <c r="P601" s="1"/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L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86">
        <f t="shared" si="59"/>
        <v>0</v>
      </c>
      <c r="M602" s="1"/>
      <c r="N602" s="1"/>
      <c r="O602" s="1"/>
      <c r="P602" s="1"/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86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55"/>
      <c r="M604" s="1"/>
      <c r="N604" s="1"/>
      <c r="O604" s="1"/>
      <c r="P604" s="1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L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84">
        <f t="shared" si="60"/>
        <v>0</v>
      </c>
      <c r="M605" s="1"/>
      <c r="N605" s="1"/>
      <c r="O605" s="1"/>
      <c r="P605" s="1"/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L606" si="61">SUM(H607:H618)</f>
        <v>943950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84">
        <f t="shared" si="61"/>
        <v>0</v>
      </c>
      <c r="M606" s="1"/>
      <c r="N606" s="1"/>
      <c r="O606" s="1"/>
      <c r="P606" s="1"/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L607" si="62">IF(COLUMN() &lt; (COLUMN($H$607) + (ROW()-ROW($H$607))), 0, IF(COLUMN() = (COLUMN($H$607) + (ROW()-ROW($H$607))), INDEX($H$589:$L$589, 1, COLUMN()-COLUMN($H$589)+1), IF(H591=0, OFFSET(H607, 0, -$H$590) * $H$604, 0)))</f>
        <v>943950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86">
        <f t="shared" si="62"/>
        <v>0</v>
      </c>
      <c r="M607" s="1"/>
      <c r="N607" s="1"/>
      <c r="O607" s="1"/>
      <c r="P607" s="1"/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L608" si="63">IF(COLUMN() &lt; (COLUMN($H$607) + (ROW()-ROW($H$607))), 0, IF(COLUMN() = (COLUMN($H$607) + (ROW()-ROW($H$607))), INDEX($H$589:$L$589,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86">
        <f t="shared" si="63"/>
        <v>0</v>
      </c>
      <c r="M608" s="1"/>
      <c r="N608" s="1"/>
      <c r="O608" s="1"/>
      <c r="P608" s="1"/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L609" si="64">IF(COLUMN() &lt; (COLUMN($H$607) + (ROW()-ROW($H$607))), 0, IF(COLUMN() = (COLUMN($H$607) + (ROW()-ROW($H$607))), INDEX($H$589:$L$589,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86">
        <f t="shared" si="64"/>
        <v>0</v>
      </c>
      <c r="M609" s="1"/>
      <c r="N609" s="1"/>
      <c r="O609" s="1"/>
      <c r="P609" s="1"/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L610" si="65">IF(COLUMN() &lt; (COLUMN($H$607) + (ROW()-ROW($H$607))), 0, IF(COLUMN() = (COLUMN($H$607) + (ROW()-ROW($H$607))), INDEX($H$589:$L$589,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86">
        <f t="shared" si="65"/>
        <v>0</v>
      </c>
      <c r="M610" s="1"/>
      <c r="N610" s="1"/>
      <c r="O610" s="1"/>
      <c r="P610" s="1"/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L611" si="66">IF(COLUMN() &lt; (COLUMN($H$607) + (ROW()-ROW($H$607))), 0, IF(COLUMN() = (COLUMN($H$607) + (ROW()-ROW($H$607))), INDEX($H$589:$L$589,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86">
        <f t="shared" si="66"/>
        <v>0</v>
      </c>
      <c r="M611" s="1"/>
      <c r="N611" s="1"/>
      <c r="O611" s="1"/>
      <c r="P611" s="1"/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L612" si="67">IF(COLUMN() &lt; (COLUMN($H$607) + (ROW()-ROW($H$607))), 0, IF(COLUMN() = (COLUMN($H$607) + (ROW()-ROW($H$607))), INDEX($H$589:$L$589,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86">
        <f t="shared" si="67"/>
        <v>0</v>
      </c>
      <c r="M612" s="1"/>
      <c r="N612" s="1"/>
      <c r="O612" s="1"/>
      <c r="P612" s="1"/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L613" si="68">IF(COLUMN() &lt; (COLUMN($H$607) + (ROW()-ROW($H$607))), 0, IF(COLUMN() = (COLUMN($H$607) + (ROW()-ROW($H$607))), INDEX($H$589:$L$589,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86">
        <f t="shared" si="68"/>
        <v>0</v>
      </c>
      <c r="M613" s="1"/>
      <c r="N613" s="1"/>
      <c r="O613" s="1"/>
      <c r="P613" s="1"/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L614" si="69">IF(COLUMN() &lt; (COLUMN($H$607) + (ROW()-ROW($H$607))), 0, IF(COLUMN() = (COLUMN($H$607) + (ROW()-ROW($H$607))), INDEX($H$589:$L$589,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86">
        <f t="shared" si="69"/>
        <v>0</v>
      </c>
      <c r="M614" s="1"/>
      <c r="N614" s="1"/>
      <c r="O614" s="1"/>
      <c r="P614" s="1"/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L615" si="70">IF(COLUMN() &lt; (COLUMN($H$607) + (ROW()-ROW($H$607))), 0, IF(COLUMN() = (COLUMN($H$607) + (ROW()-ROW($H$607))), INDEX($H$589:$L$589,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86">
        <f t="shared" si="70"/>
        <v>0</v>
      </c>
      <c r="M615" s="1"/>
      <c r="N615" s="1"/>
      <c r="O615" s="1"/>
      <c r="P615" s="1"/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L616" si="71">IF(COLUMN() &lt; (COLUMN($H$607) + (ROW()-ROW($H$607))), 0, IF(COLUMN() = (COLUMN($H$607) + (ROW()-ROW($H$607))), INDEX($H$589:$L$589,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86">
        <f t="shared" si="71"/>
        <v>0</v>
      </c>
      <c r="M616" s="1"/>
      <c r="N616" s="1"/>
      <c r="O616" s="1"/>
      <c r="P616" s="1"/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L617" si="72">IF(COLUMN() &lt; (COLUMN($H$607) + (ROW()-ROW($H$607))), 0, IF(COLUMN() = (COLUMN($H$607) + (ROW()-ROW($H$607))), INDEX($H$589:$L$589,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86">
        <f t="shared" si="72"/>
        <v>0</v>
      </c>
      <c r="M617" s="1"/>
      <c r="N617" s="1"/>
      <c r="O617" s="1"/>
      <c r="P617" s="1"/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L618" si="73">IF(COLUMN() &lt; (COLUMN($H$607) + (ROW()-ROW($H$607))), 0, IF(COLUMN() = (COLUMN($H$607) + (ROW()-ROW($H$607))), INDEX($H$589:$L$589,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86">
        <f t="shared" si="73"/>
        <v>0</v>
      </c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55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84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L621" si="74">H621</f>
        <v>3</v>
      </c>
      <c r="J621" s="186">
        <f t="shared" si="74"/>
        <v>3</v>
      </c>
      <c r="K621" s="186">
        <f t="shared" si="74"/>
        <v>3</v>
      </c>
      <c r="L621" s="186">
        <f t="shared" si="74"/>
        <v>3</v>
      </c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L622" si="75">H622*H623</f>
        <v>4950</v>
      </c>
      <c r="J622" s="184">
        <f t="shared" si="75"/>
        <v>5445</v>
      </c>
      <c r="K622" s="184">
        <f t="shared" si="75"/>
        <v>5989.5</v>
      </c>
      <c r="L622" s="184">
        <f t="shared" si="75"/>
        <v>6588.45</v>
      </c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55">
        <v>1.1</v>
      </c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L624" si="76">H621*H622</f>
        <v>13500</v>
      </c>
      <c r="I624" s="184">
        <f t="shared" si="76"/>
        <v>14850</v>
      </c>
      <c r="J624" s="184">
        <f t="shared" si="76"/>
        <v>16335</v>
      </c>
      <c r="K624" s="184">
        <f t="shared" si="76"/>
        <v>17968.5</v>
      </c>
      <c r="L624" s="184">
        <f t="shared" si="76"/>
        <v>19765.35</v>
      </c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63"/>
      <c r="M625" s="1"/>
      <c r="N625" s="1"/>
      <c r="O625" s="1"/>
      <c r="P625" s="1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83"/>
      <c r="M626" s="136"/>
      <c r="N626" s="136"/>
      <c r="O626" s="136"/>
      <c r="P626" s="136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84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L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24000</v>
      </c>
      <c r="K628" s="178">
        <f t="shared" si="77"/>
        <v>0</v>
      </c>
      <c r="L628" s="178">
        <f t="shared" si="77"/>
        <v>0</v>
      </c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L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84" t="str">
        <f t="shared" si="78"/>
        <v/>
      </c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L630" si="79">SUM(H628:H629)</f>
        <v>0</v>
      </c>
      <c r="I630" s="184">
        <f t="shared" si="79"/>
        <v>0</v>
      </c>
      <c r="J630" s="184">
        <f t="shared" si="79"/>
        <v>24000</v>
      </c>
      <c r="K630" s="184">
        <f t="shared" si="79"/>
        <v>0</v>
      </c>
      <c r="L630" s="184">
        <f t="shared" si="79"/>
        <v>0</v>
      </c>
      <c r="M630" s="1"/>
      <c r="N630" s="1"/>
      <c r="O630" s="1"/>
      <c r="P630" s="1"/>
      <c r="Q630" s="1"/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86"/>
      <c r="M631" s="1"/>
      <c r="N631" s="1"/>
      <c r="O631" s="1"/>
      <c r="P631" s="1"/>
      <c r="Q631" s="1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L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86">
        <f t="shared" si="80"/>
        <v>0</v>
      </c>
      <c r="M632" s="1"/>
      <c r="N632" s="1"/>
      <c r="O632" s="1"/>
      <c r="P632" s="1"/>
      <c r="Q632" s="1"/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L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86">
        <f t="shared" si="81"/>
        <v>1</v>
      </c>
      <c r="M633" s="1"/>
      <c r="N633" s="1"/>
      <c r="O633" s="1"/>
      <c r="P633" s="1"/>
      <c r="Q633" s="1"/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L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86">
        <f t="shared" si="82"/>
        <v>0</v>
      </c>
      <c r="M634" s="1"/>
      <c r="N634" s="1"/>
      <c r="O634" s="1"/>
      <c r="P634" s="1"/>
      <c r="Q634" s="1"/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L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86">
        <f t="shared" si="83"/>
        <v>1</v>
      </c>
      <c r="M635" s="1"/>
      <c r="N635" s="1"/>
      <c r="O635" s="1"/>
      <c r="P635" s="1"/>
      <c r="Q635" s="1"/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L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86">
        <f t="shared" si="84"/>
        <v>2</v>
      </c>
      <c r="M636" s="1"/>
      <c r="N636" s="1"/>
      <c r="O636" s="1"/>
      <c r="P636" s="1"/>
      <c r="Q636" s="1"/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L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86">
        <f t="shared" si="85"/>
        <v>0</v>
      </c>
      <c r="M637" s="1"/>
      <c r="N637" s="1"/>
      <c r="O637" s="1"/>
      <c r="P637" s="1"/>
      <c r="Q637" s="1"/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L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86">
        <f t="shared" si="86"/>
        <v>0</v>
      </c>
      <c r="M638" s="1"/>
      <c r="N638" s="1"/>
      <c r="O638" s="1"/>
      <c r="P638" s="1"/>
      <c r="Q638" s="1"/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L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86">
        <f t="shared" si="87"/>
        <v>0</v>
      </c>
      <c r="M639" s="1"/>
      <c r="N639" s="1"/>
      <c r="O639" s="1"/>
      <c r="P639" s="1"/>
      <c r="Q639" s="1"/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L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86">
        <f t="shared" si="88"/>
        <v>0</v>
      </c>
      <c r="M640" s="1"/>
      <c r="N640" s="1"/>
      <c r="O640" s="1"/>
      <c r="P640" s="1"/>
      <c r="Q640" s="1"/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L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86">
        <f t="shared" si="89"/>
        <v>0</v>
      </c>
      <c r="M641" s="1"/>
      <c r="N641" s="1"/>
      <c r="O641" s="1"/>
      <c r="P641" s="1"/>
      <c r="Q641" s="1"/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L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86">
        <f t="shared" si="90"/>
        <v>0</v>
      </c>
      <c r="M642" s="1"/>
      <c r="N642" s="1"/>
      <c r="O642" s="1"/>
      <c r="P642" s="1"/>
      <c r="Q642" s="1"/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L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86">
        <f t="shared" si="91"/>
        <v>0</v>
      </c>
      <c r="M643" s="1"/>
      <c r="N643" s="1"/>
      <c r="O643" s="1"/>
      <c r="P643" s="1"/>
      <c r="Q643" s="1"/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86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55">
        <v>0.8</v>
      </c>
      <c r="M645" s="1"/>
      <c r="N645" s="1"/>
      <c r="O645" s="1"/>
      <c r="P645" s="1"/>
      <c r="Q645" s="1"/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L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84">
        <f t="shared" si="92"/>
        <v>19200</v>
      </c>
      <c r="M646" s="1"/>
      <c r="N646" s="1"/>
      <c r="O646" s="1"/>
      <c r="P646" s="1"/>
      <c r="Q646" s="1"/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L647" si="93">SUM(H648:H659)</f>
        <v>0</v>
      </c>
      <c r="I647" s="184">
        <f t="shared" si="93"/>
        <v>0</v>
      </c>
      <c r="J647" s="184">
        <f t="shared" si="93"/>
        <v>24000</v>
      </c>
      <c r="K647" s="184">
        <f t="shared" si="93"/>
        <v>0</v>
      </c>
      <c r="L647" s="184">
        <f t="shared" si="93"/>
        <v>19200</v>
      </c>
      <c r="M647" s="1"/>
      <c r="N647" s="1"/>
      <c r="O647" s="1"/>
      <c r="P647" s="1"/>
      <c r="Q647" s="1"/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L648" si="94">IF(COLUMN() &lt; (COLUMN($H$648) + (ROW()-ROW($H$648))), 0, IF(COLUMN() = (COLUMN($H$648) + (ROW()-ROW($H$648))), INDEX($H$630:$L$630,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86">
        <f t="shared" si="94"/>
        <v>0</v>
      </c>
      <c r="M648" s="1"/>
      <c r="N648" s="1"/>
      <c r="O648" s="1"/>
      <c r="P648" s="1"/>
      <c r="Q648" s="1"/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L649" si="95">IF(COLUMN() &lt; (COLUMN($H$648) + (ROW()-ROW($H$648))), 0, IF(COLUMN() = (COLUMN($H$648) + (ROW()-ROW($H$648))), INDEX($H$630:$L$630,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86">
        <f t="shared" si="95"/>
        <v>0</v>
      </c>
      <c r="M649" s="1"/>
      <c r="N649" s="1"/>
      <c r="O649" s="1"/>
      <c r="P649" s="1"/>
      <c r="Q649" s="1"/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L650" si="96">IF(COLUMN() &lt; (COLUMN($H$648) + (ROW()-ROW($H$648))), 0, IF(COLUMN() = (COLUMN($H$648) + (ROW()-ROW($H$648))), INDEX($H$630:$L$630, 1, COLUMN()-COLUMN($H$630)+1), IF(H634=0, OFFSET(H650, 0, -$H$631) * $H$645, 0)))</f>
        <v>0</v>
      </c>
      <c r="I650" s="186">
        <f t="shared" si="96"/>
        <v>0</v>
      </c>
      <c r="J650" s="186">
        <f t="shared" si="96"/>
        <v>24000</v>
      </c>
      <c r="K650" s="186">
        <f t="shared" si="96"/>
        <v>0</v>
      </c>
      <c r="L650" s="186">
        <f t="shared" si="96"/>
        <v>19200</v>
      </c>
      <c r="M650" s="1"/>
      <c r="N650" s="1"/>
      <c r="O650" s="1"/>
      <c r="P650" s="1"/>
      <c r="Q650" s="1"/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L651" si="97">IF(COLUMN() &lt; (COLUMN($H$648) + (ROW()-ROW($H$648))), 0, IF(COLUMN() = (COLUMN($H$648) + (ROW()-ROW($H$648))), INDEX($H$630:$L$630,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86">
        <f t="shared" si="97"/>
        <v>0</v>
      </c>
      <c r="M651" s="1"/>
      <c r="N651" s="1"/>
      <c r="O651" s="1"/>
      <c r="P651" s="1"/>
      <c r="Q651" s="1"/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L652" si="98">IF(COLUMN() &lt; (COLUMN($H$648) + (ROW()-ROW($H$648))), 0, IF(COLUMN() = (COLUMN($H$648) + (ROW()-ROW($H$648))), INDEX($H$630:$L$630,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86">
        <f t="shared" si="98"/>
        <v>0</v>
      </c>
      <c r="M652" s="1"/>
      <c r="N652" s="1"/>
      <c r="O652" s="1"/>
      <c r="P652" s="1"/>
      <c r="Q652" s="1"/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L653" si="99">IF(COLUMN() &lt; (COLUMN($H$648) + (ROW()-ROW($H$648))), 0, IF(COLUMN() = (COLUMN($H$648) + (ROW()-ROW($H$648))), INDEX($H$630:$L$630,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86">
        <f t="shared" si="99"/>
        <v>0</v>
      </c>
      <c r="M653" s="1"/>
      <c r="N653" s="1"/>
      <c r="O653" s="1"/>
      <c r="P653" s="1"/>
      <c r="Q653" s="1"/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L654" si="100">IF(COLUMN() &lt; (COLUMN($H$648) + (ROW()-ROW($H$648))), 0, IF(COLUMN() = (COLUMN($H$648) + (ROW()-ROW($H$648))), INDEX($H$630:$L$630,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86">
        <f t="shared" si="100"/>
        <v>0</v>
      </c>
      <c r="M654" s="1"/>
      <c r="N654" s="1"/>
      <c r="O654" s="1"/>
      <c r="P654" s="1"/>
      <c r="Q654" s="1"/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L655" si="101">IF(COLUMN() &lt; (COLUMN($H$648) + (ROW()-ROW($H$648))), 0, IF(COLUMN() = (COLUMN($H$648) + (ROW()-ROW($H$648))), INDEX($H$630:$L$630,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86">
        <f t="shared" si="101"/>
        <v>0</v>
      </c>
      <c r="M655" s="1"/>
      <c r="N655" s="1"/>
      <c r="O655" s="1"/>
      <c r="P655" s="1"/>
      <c r="Q655" s="1"/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L656" si="102">IF(COLUMN() &lt; (COLUMN($H$648) + (ROW()-ROW($H$648))), 0, IF(COLUMN() = (COLUMN($H$648) + (ROW()-ROW($H$648))), INDEX($H$630:$L$630,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86">
        <f t="shared" si="102"/>
        <v>0</v>
      </c>
      <c r="M656" s="1"/>
      <c r="N656" s="1"/>
      <c r="O656" s="1"/>
      <c r="P656" s="1"/>
      <c r="Q656" s="1"/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L657" si="103">IF(COLUMN() &lt; (COLUMN($H$648) + (ROW()-ROW($H$648))), 0, IF(COLUMN() = (COLUMN($H$648) + (ROW()-ROW($H$648))), INDEX($H$630:$L$630,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86">
        <f t="shared" si="103"/>
        <v>0</v>
      </c>
      <c r="M657" s="1"/>
      <c r="N657" s="1"/>
      <c r="O657" s="1"/>
      <c r="P657" s="1"/>
      <c r="Q657" s="1"/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L658" si="104">IF(COLUMN() &lt; (COLUMN($H$648) + (ROW()-ROW($H$648))), 0, IF(COLUMN() = (COLUMN($H$648) + (ROW()-ROW($H$648))), INDEX($H$630:$L$630,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86">
        <f t="shared" si="104"/>
        <v>0</v>
      </c>
      <c r="M658" s="1"/>
      <c r="N658" s="1"/>
      <c r="O658" s="1"/>
      <c r="P658" s="1"/>
      <c r="Q658" s="1"/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L659" si="105">IF(COLUMN() &lt; (COLUMN($H$648) + (ROW()-ROW($H$648))), 0, IF(COLUMN() = (COLUMN($H$648) + (ROW()-ROW($H$648))), INDEX($H$630:$L$630,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86">
        <f t="shared" si="105"/>
        <v>0</v>
      </c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55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84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L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216000</v>
      </c>
      <c r="K662" s="178">
        <f t="shared" si="106"/>
        <v>0</v>
      </c>
      <c r="L662" s="178">
        <f t="shared" si="106"/>
        <v>0</v>
      </c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L663" si="107">H460</f>
        <v>920700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84" t="str">
        <f t="shared" si="107"/>
        <v/>
      </c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L664" si="108">SUM(H662:H663)</f>
        <v>920700</v>
      </c>
      <c r="I664" s="184">
        <f t="shared" si="108"/>
        <v>0</v>
      </c>
      <c r="J664" s="184">
        <f t="shared" si="108"/>
        <v>216000</v>
      </c>
      <c r="K664" s="184">
        <f t="shared" si="108"/>
        <v>0</v>
      </c>
      <c r="L664" s="184">
        <f t="shared" si="108"/>
        <v>0</v>
      </c>
      <c r="M664" s="1"/>
      <c r="N664" s="1"/>
      <c r="O664" s="1"/>
      <c r="P664" s="1"/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86"/>
      <c r="M665" s="1"/>
      <c r="N665" s="1"/>
      <c r="O665" s="1"/>
      <c r="P665" s="1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L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86">
        <f t="shared" si="109"/>
        <v>5</v>
      </c>
      <c r="M666" s="1"/>
      <c r="N666" s="1"/>
      <c r="O666" s="1"/>
      <c r="P666" s="1"/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L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86">
        <f t="shared" si="110"/>
        <v>6</v>
      </c>
      <c r="M667" s="1"/>
      <c r="N667" s="1"/>
      <c r="O667" s="1"/>
      <c r="P667" s="1"/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L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86">
        <f t="shared" si="111"/>
        <v>7</v>
      </c>
      <c r="M668" s="1"/>
      <c r="N668" s="1"/>
      <c r="O668" s="1"/>
      <c r="P668" s="1"/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L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86">
        <f t="shared" si="112"/>
        <v>8</v>
      </c>
      <c r="M669" s="1"/>
      <c r="N669" s="1"/>
      <c r="O669" s="1"/>
      <c r="P669" s="1"/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L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86">
        <f t="shared" si="113"/>
        <v>9</v>
      </c>
      <c r="M670" s="1"/>
      <c r="N670" s="1"/>
      <c r="O670" s="1"/>
      <c r="P670" s="1"/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L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86">
        <f t="shared" si="114"/>
        <v>0</v>
      </c>
      <c r="M671" s="1"/>
      <c r="N671" s="1"/>
      <c r="O671" s="1"/>
      <c r="P671" s="1"/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L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86">
        <f t="shared" si="115"/>
        <v>0</v>
      </c>
      <c r="M672" s="1"/>
      <c r="N672" s="1"/>
      <c r="O672" s="1"/>
      <c r="P672" s="1"/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L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86">
        <f t="shared" si="116"/>
        <v>0</v>
      </c>
      <c r="M673" s="1"/>
      <c r="N673" s="1"/>
      <c r="O673" s="1"/>
      <c r="P673" s="1"/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L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86">
        <f t="shared" si="117"/>
        <v>0</v>
      </c>
      <c r="M674" s="1"/>
      <c r="N674" s="1"/>
      <c r="O674" s="1"/>
      <c r="P674" s="1"/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L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86">
        <f t="shared" si="118"/>
        <v>0</v>
      </c>
      <c r="M675" s="1"/>
      <c r="N675" s="1"/>
      <c r="O675" s="1"/>
      <c r="P675" s="1"/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L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86">
        <f t="shared" si="119"/>
        <v>0</v>
      </c>
      <c r="M676" s="1"/>
      <c r="N676" s="1"/>
      <c r="O676" s="1"/>
      <c r="P676" s="1"/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L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86">
        <f t="shared" si="120"/>
        <v>0</v>
      </c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55"/>
      <c r="M678" s="1"/>
      <c r="N678" s="1"/>
      <c r="O678" s="1"/>
      <c r="P678" s="1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L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84">
        <f t="shared" si="121"/>
        <v>0</v>
      </c>
      <c r="M679" s="1"/>
      <c r="N679" s="1"/>
      <c r="O679" s="1"/>
      <c r="P679" s="1"/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L680" si="122">SUM(H681:H692)</f>
        <v>920700</v>
      </c>
      <c r="I680" s="184">
        <f t="shared" si="122"/>
        <v>0</v>
      </c>
      <c r="J680" s="184">
        <f t="shared" si="122"/>
        <v>216000</v>
      </c>
      <c r="K680" s="184">
        <f t="shared" si="122"/>
        <v>0</v>
      </c>
      <c r="L680" s="184">
        <f t="shared" si="122"/>
        <v>0</v>
      </c>
      <c r="M680" s="1"/>
      <c r="N680" s="1"/>
      <c r="O680" s="1"/>
      <c r="P680" s="1"/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L681" si="123">IF(COLUMN() &lt; (COLUMN($H681) + (ROW()-ROW($H$681))), 0, IF(COLUMN() = (COLUMN($H$681) + (ROW()-ROW($H$681))), INDEX($H$664:$L$664, 1, COLUMN()-COLUMN($H$664)+1), IF(H666=0, OFFSET(H681, 0, -$H$665) * $H$678, 0)))</f>
        <v>920700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86">
        <f t="shared" si="123"/>
        <v>0</v>
      </c>
      <c r="M681" s="1"/>
      <c r="N681" s="1"/>
      <c r="O681" s="1"/>
      <c r="P681" s="1"/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L682" si="124">IF(COLUMN() &lt; (COLUMN($H682) + (ROW()-ROW($H$681))), 0, IF(COLUMN() = (COLUMN($H$681) + (ROW()-ROW($H$681))), INDEX($H$664:$L$664,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86">
        <f t="shared" si="124"/>
        <v>0</v>
      </c>
      <c r="M682" s="1"/>
      <c r="N682" s="1"/>
      <c r="O682" s="1"/>
      <c r="P682" s="1"/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L683" si="125">IF(COLUMN() &lt; (COLUMN($H683) + (ROW()-ROW($H$681))), 0, IF(COLUMN() = (COLUMN($H$681) + (ROW()-ROW($H$681))), INDEX($H$664:$L$664, 1, COLUMN()-COLUMN($H$664)+1), IF(H668=0, OFFSET(H683, 0, -$H$665) * $H$678, 0)))</f>
        <v>0</v>
      </c>
      <c r="I683" s="186">
        <f t="shared" si="125"/>
        <v>0</v>
      </c>
      <c r="J683" s="186">
        <f t="shared" si="125"/>
        <v>216000</v>
      </c>
      <c r="K683" s="186">
        <f t="shared" si="125"/>
        <v>0</v>
      </c>
      <c r="L683" s="186">
        <f t="shared" si="125"/>
        <v>0</v>
      </c>
      <c r="M683" s="1"/>
      <c r="N683" s="1"/>
      <c r="O683" s="1"/>
      <c r="P683" s="1"/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L684" si="126">IF(COLUMN() &lt; (COLUMN($H684) + (ROW()-ROW($H$681))), 0, IF(COLUMN() = (COLUMN($H$681) + (ROW()-ROW($H$681))), INDEX($H$664:$L$664,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86">
        <f t="shared" si="126"/>
        <v>0</v>
      </c>
      <c r="M684" s="1"/>
      <c r="N684" s="1"/>
      <c r="O684" s="1"/>
      <c r="P684" s="1"/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L685" si="127">IF(COLUMN() &lt; (COLUMN($H685) + (ROW()-ROW($H$681))), 0, IF(COLUMN() = (COLUMN($H$681) + (ROW()-ROW($H$681))), INDEX($H$664:$L$664,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86">
        <f t="shared" si="127"/>
        <v>0</v>
      </c>
      <c r="M685" s="1"/>
      <c r="N685" s="1"/>
      <c r="O685" s="1"/>
      <c r="P685" s="1"/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L686" si="128">IF(COLUMN() &lt; (COLUMN($H686) + (ROW()-ROW($H$681))), 0, IF(COLUMN() = (COLUMN($H$681) + (ROW()-ROW($H$681))), INDEX($H$664:$L$664,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86">
        <f t="shared" si="128"/>
        <v>0</v>
      </c>
      <c r="M686" s="1"/>
      <c r="N686" s="1"/>
      <c r="O686" s="1"/>
      <c r="P686" s="1"/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L687" si="129">IF(COLUMN() &lt; (COLUMN($H687) + (ROW()-ROW($H$681))), 0, IF(COLUMN() = (COLUMN($H$681) + (ROW()-ROW($H$681))), INDEX($H$664:$L$664,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86">
        <f t="shared" si="129"/>
        <v>0</v>
      </c>
      <c r="M687" s="1"/>
      <c r="N687" s="1"/>
      <c r="O687" s="1"/>
      <c r="P687" s="1"/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L688" si="130">IF(COLUMN() &lt; (COLUMN($H688) + (ROW()-ROW($H$681))), 0, IF(COLUMN() = (COLUMN($H$681) + (ROW()-ROW($H$681))), INDEX($H$664:$L$664,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86">
        <f t="shared" si="130"/>
        <v>0</v>
      </c>
      <c r="M688" s="1"/>
      <c r="N688" s="1"/>
      <c r="O688" s="1"/>
      <c r="P688" s="1"/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L689" si="131">IF(COLUMN() &lt; (COLUMN($H689) + (ROW()-ROW($H$681))), 0, IF(COLUMN() = (COLUMN($H$681) + (ROW()-ROW($H$681))), INDEX($H$664:$L$664,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86">
        <f t="shared" si="131"/>
        <v>0</v>
      </c>
      <c r="M689" s="1"/>
      <c r="N689" s="1"/>
      <c r="O689" s="1"/>
      <c r="P689" s="1"/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L690" si="132">IF(COLUMN() &lt; (COLUMN($H690) + (ROW()-ROW($H$681))), 0, IF(COLUMN() = (COLUMN($H$681) + (ROW()-ROW($H$681))), INDEX($H$664:$L$664,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86">
        <f t="shared" si="132"/>
        <v>0</v>
      </c>
      <c r="M690" s="1"/>
      <c r="N690" s="1"/>
      <c r="O690" s="1"/>
      <c r="P690" s="1"/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L691" si="133">IF(COLUMN() &lt; (COLUMN($H691) + (ROW()-ROW($H$681))), 0, IF(COLUMN() = (COLUMN($H$681) + (ROW()-ROW($H$681))), INDEX($H$664:$L$664,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86">
        <f t="shared" si="133"/>
        <v>0</v>
      </c>
      <c r="M691" s="1"/>
      <c r="N691" s="1"/>
      <c r="O691" s="1"/>
      <c r="P691" s="1"/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L692" si="134">IF(COLUMN() &lt; (COLUMN($H692) + (ROW()-ROW($H$681))), 0, IF(COLUMN() = (COLUMN($H$681) + (ROW()-ROW($H$681))), INDEX($H$664:$L$664,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86">
        <f t="shared" si="134"/>
        <v>0</v>
      </c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84"/>
      <c r="M693" s="1"/>
      <c r="N693" s="1"/>
      <c r="O693" s="1"/>
      <c r="P693" s="1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L694" si="135">H698</f>
        <v>22500</v>
      </c>
      <c r="I694" s="188">
        <f t="shared" si="135"/>
        <v>24750</v>
      </c>
      <c r="J694" s="188">
        <f t="shared" si="135"/>
        <v>27225</v>
      </c>
      <c r="K694" s="188">
        <f t="shared" si="135"/>
        <v>29947.5</v>
      </c>
      <c r="L694" s="188">
        <f t="shared" si="135"/>
        <v>32942.25</v>
      </c>
      <c r="M694" s="16"/>
      <c r="N694" s="16"/>
      <c r="O694" s="16"/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5</v>
      </c>
      <c r="I695" s="190">
        <f t="shared" ref="I695:L695" si="136">H695</f>
        <v>5</v>
      </c>
      <c r="J695" s="190">
        <f t="shared" si="136"/>
        <v>5</v>
      </c>
      <c r="K695" s="190">
        <f t="shared" si="136"/>
        <v>5</v>
      </c>
      <c r="L695" s="190">
        <f t="shared" si="136"/>
        <v>5</v>
      </c>
      <c r="M695" s="16"/>
      <c r="N695" s="16"/>
      <c r="O695" s="16"/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L696" si="137">H696*H697</f>
        <v>4950</v>
      </c>
      <c r="J696" s="188">
        <f t="shared" si="137"/>
        <v>5445</v>
      </c>
      <c r="K696" s="188">
        <f t="shared" si="137"/>
        <v>5989.5</v>
      </c>
      <c r="L696" s="188">
        <f t="shared" si="137"/>
        <v>6588.45</v>
      </c>
      <c r="M696" s="16"/>
      <c r="N696" s="16"/>
      <c r="O696" s="16"/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54">
        <v>1.1</v>
      </c>
      <c r="M697" s="16"/>
      <c r="N697" s="16"/>
      <c r="O697" s="16"/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L698" si="138">H695*H696</f>
        <v>22500</v>
      </c>
      <c r="I698" s="188">
        <f t="shared" si="138"/>
        <v>24750</v>
      </c>
      <c r="J698" s="188">
        <f t="shared" si="138"/>
        <v>27225</v>
      </c>
      <c r="K698" s="188">
        <f t="shared" si="138"/>
        <v>29947.5</v>
      </c>
      <c r="L698" s="188">
        <f t="shared" si="138"/>
        <v>32942.25</v>
      </c>
      <c r="M698" s="16"/>
      <c r="N698" s="16"/>
      <c r="O698" s="16"/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88"/>
      <c r="M699" s="16"/>
      <c r="N699" s="16"/>
      <c r="O699" s="16"/>
      <c r="P699" s="16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83"/>
      <c r="M700" s="136"/>
      <c r="N700" s="136"/>
      <c r="O700" s="136"/>
      <c r="P700" s="136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84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L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312000</v>
      </c>
      <c r="J702" s="180">
        <f t="shared" si="139"/>
        <v>168000</v>
      </c>
      <c r="K702" s="180">
        <f t="shared" si="139"/>
        <v>144000</v>
      </c>
      <c r="L702" s="180">
        <f t="shared" si="139"/>
        <v>96000</v>
      </c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L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84" t="str">
        <f t="shared" si="140"/>
        <v/>
      </c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L704" si="141">SUM(H702:H703)</f>
        <v>0</v>
      </c>
      <c r="I704" s="184">
        <f t="shared" si="141"/>
        <v>312000</v>
      </c>
      <c r="J704" s="184">
        <f t="shared" si="141"/>
        <v>168000</v>
      </c>
      <c r="K704" s="184">
        <f t="shared" si="141"/>
        <v>144000</v>
      </c>
      <c r="L704" s="184">
        <f t="shared" si="141"/>
        <v>96000</v>
      </c>
      <c r="M704" s="1"/>
      <c r="N704" s="1"/>
      <c r="O704" s="1"/>
      <c r="P704" s="1"/>
      <c r="Q704" s="1"/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86"/>
      <c r="M705" s="1"/>
      <c r="N705" s="1"/>
      <c r="O705" s="1"/>
      <c r="P705" s="1"/>
      <c r="Q705" s="1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L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86">
        <f t="shared" si="142"/>
        <v>0</v>
      </c>
      <c r="M706" s="1"/>
      <c r="N706" s="1"/>
      <c r="O706" s="1"/>
      <c r="P706" s="1"/>
      <c r="Q706" s="1"/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L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86">
        <f t="shared" si="143"/>
        <v>1</v>
      </c>
      <c r="M707" s="1"/>
      <c r="N707" s="1"/>
      <c r="O707" s="1"/>
      <c r="P707" s="1"/>
      <c r="Q707" s="1"/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L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86">
        <f t="shared" si="144"/>
        <v>0</v>
      </c>
      <c r="M708" s="1"/>
      <c r="N708" s="1"/>
      <c r="O708" s="1"/>
      <c r="P708" s="1"/>
      <c r="Q708" s="1"/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L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86">
        <f t="shared" si="145"/>
        <v>1</v>
      </c>
      <c r="M709" s="1"/>
      <c r="N709" s="1"/>
      <c r="O709" s="1"/>
      <c r="P709" s="1"/>
      <c r="Q709" s="1"/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L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86">
        <f t="shared" si="146"/>
        <v>2</v>
      </c>
      <c r="M710" s="1"/>
      <c r="N710" s="1"/>
      <c r="O710" s="1"/>
      <c r="P710" s="1"/>
      <c r="Q710" s="1"/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L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86">
        <f t="shared" si="147"/>
        <v>0</v>
      </c>
      <c r="M711" s="1"/>
      <c r="N711" s="1"/>
      <c r="O711" s="1"/>
      <c r="P711" s="1"/>
      <c r="Q711" s="1"/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L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86">
        <f t="shared" si="148"/>
        <v>0</v>
      </c>
      <c r="M712" s="1"/>
      <c r="N712" s="1"/>
      <c r="O712" s="1"/>
      <c r="P712" s="1"/>
      <c r="Q712" s="1"/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L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86">
        <f t="shared" si="149"/>
        <v>0</v>
      </c>
      <c r="M713" s="1"/>
      <c r="N713" s="1"/>
      <c r="O713" s="1"/>
      <c r="P713" s="1"/>
      <c r="Q713" s="1"/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L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86">
        <f t="shared" si="150"/>
        <v>0</v>
      </c>
      <c r="M714" s="1"/>
      <c r="N714" s="1"/>
      <c r="O714" s="1"/>
      <c r="P714" s="1"/>
      <c r="Q714" s="1"/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L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86">
        <f t="shared" si="151"/>
        <v>0</v>
      </c>
      <c r="M715" s="1"/>
      <c r="N715" s="1"/>
      <c r="O715" s="1"/>
      <c r="P715" s="1"/>
      <c r="Q715" s="1"/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L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86">
        <f t="shared" si="152"/>
        <v>0</v>
      </c>
      <c r="M716" s="1"/>
      <c r="N716" s="1"/>
      <c r="O716" s="1"/>
      <c r="P716" s="1"/>
      <c r="Q716" s="1"/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L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86">
        <f t="shared" si="153"/>
        <v>0</v>
      </c>
      <c r="M717" s="1"/>
      <c r="N717" s="1"/>
      <c r="O717" s="1"/>
      <c r="P717" s="1"/>
      <c r="Q717" s="1"/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86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55"/>
      <c r="M719" s="1"/>
      <c r="N719" s="1"/>
      <c r="O719" s="1"/>
      <c r="P719" s="1"/>
      <c r="Q719" s="1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L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249600</v>
      </c>
      <c r="L720" s="184">
        <f t="shared" si="154"/>
        <v>134400</v>
      </c>
      <c r="M720" s="1"/>
      <c r="N720" s="1"/>
      <c r="O720" s="1"/>
      <c r="P720" s="1"/>
      <c r="Q720" s="1"/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L721" si="155">SUM(H722:H733)</f>
        <v>0</v>
      </c>
      <c r="I721" s="184">
        <f t="shared" si="155"/>
        <v>312000</v>
      </c>
      <c r="J721" s="184">
        <f t="shared" si="155"/>
        <v>168000</v>
      </c>
      <c r="K721" s="184">
        <f t="shared" si="155"/>
        <v>393600</v>
      </c>
      <c r="L721" s="184">
        <f t="shared" si="155"/>
        <v>230400</v>
      </c>
      <c r="M721" s="1"/>
      <c r="N721" s="1"/>
      <c r="O721" s="1"/>
      <c r="P721" s="1"/>
      <c r="Q721" s="1"/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L722" si="156">IF(COLUMN() &lt; (COLUMN($H$722) + (ROW()-ROW($H$722))), 0, IF(COLUMN() = (COLUMN($H$722) + (ROW()-ROW($H$722))), INDEX($H$704:$L$704,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86">
        <f t="shared" si="156"/>
        <v>0</v>
      </c>
      <c r="M722" s="1"/>
      <c r="N722" s="1"/>
      <c r="O722" s="1"/>
      <c r="P722" s="1"/>
      <c r="Q722" s="1"/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L723" si="157">IF(COLUMN() &lt; (COLUMN($H$722) + (ROW()-ROW($H$722))), 0, IF(COLUMN() = (COLUMN($H$722) + (ROW()-ROW($H$722))), INDEX($H$704:$L$704, 1, COLUMN()-COLUMN($H$704)+1), IF(H707=0, OFFSET(H723, 0, -$H$705) * $H$719, 0)))</f>
        <v>0</v>
      </c>
      <c r="I723" s="186">
        <f t="shared" si="157"/>
        <v>312000</v>
      </c>
      <c r="J723" s="186">
        <f t="shared" si="157"/>
        <v>0</v>
      </c>
      <c r="K723" s="186">
        <f t="shared" si="157"/>
        <v>249600</v>
      </c>
      <c r="L723" s="186">
        <f t="shared" si="157"/>
        <v>0</v>
      </c>
      <c r="M723" s="1"/>
      <c r="N723" s="1"/>
      <c r="O723" s="1"/>
      <c r="P723" s="1"/>
      <c r="Q723" s="1"/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L724" si="158">IF(COLUMN() &lt; (COLUMN($H$722) + (ROW()-ROW($H$722))), 0, IF(COLUMN() = (COLUMN($H$722) + (ROW()-ROW($H$722))), INDEX($H$704:$L$704, 1, COLUMN()-COLUMN($H$704)+1), IF(H708=0, OFFSET(H724, 0, -$H$705) * $H$719, 0)))</f>
        <v>0</v>
      </c>
      <c r="I724" s="186">
        <f t="shared" si="158"/>
        <v>0</v>
      </c>
      <c r="J724" s="186">
        <f t="shared" si="158"/>
        <v>168000</v>
      </c>
      <c r="K724" s="186">
        <f t="shared" si="158"/>
        <v>0</v>
      </c>
      <c r="L724" s="186">
        <f t="shared" si="158"/>
        <v>134400</v>
      </c>
      <c r="M724" s="1"/>
      <c r="N724" s="1"/>
      <c r="O724" s="1"/>
      <c r="P724" s="1"/>
      <c r="Q724" s="1"/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L725" si="159">IF(COLUMN() &lt; (COLUMN($H$722) + (ROW()-ROW($H$722))), 0, IF(COLUMN() = (COLUMN($H$722) + (ROW()-ROW($H$722))), INDEX($H$704:$L$704,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144000</v>
      </c>
      <c r="L725" s="186">
        <f t="shared" si="159"/>
        <v>0</v>
      </c>
      <c r="M725" s="1"/>
      <c r="N725" s="1"/>
      <c r="O725" s="1"/>
      <c r="P725" s="1"/>
      <c r="Q725" s="1"/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L726" si="160">IF(COLUMN() &lt; (COLUMN($H$722) + (ROW()-ROW($H$722))), 0, IF(COLUMN() = (COLUMN($H$722) + (ROW()-ROW($H$722))), INDEX($H$704:$L$704,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86">
        <f t="shared" si="160"/>
        <v>96000</v>
      </c>
      <c r="M726" s="1"/>
      <c r="N726" s="1"/>
      <c r="O726" s="1"/>
      <c r="P726" s="1"/>
      <c r="Q726" s="1"/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L727" si="161">IF(COLUMN() &lt; (COLUMN($H$722) + (ROW()-ROW($H$722))), 0, IF(COLUMN() = (COLUMN($H$722) + (ROW()-ROW($H$722))), INDEX($H$704:$L$704,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86">
        <f t="shared" si="161"/>
        <v>0</v>
      </c>
      <c r="M727" s="1"/>
      <c r="N727" s="1"/>
      <c r="O727" s="1"/>
      <c r="P727" s="1"/>
      <c r="Q727" s="1"/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L728" si="162">IF(COLUMN() &lt; (COLUMN($H$722) + (ROW()-ROW($H$722))), 0, IF(COLUMN() = (COLUMN($H$722) + (ROW()-ROW($H$722))), INDEX($H$704:$L$704,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86">
        <f t="shared" si="162"/>
        <v>0</v>
      </c>
      <c r="M728" s="1"/>
      <c r="N728" s="1"/>
      <c r="O728" s="1"/>
      <c r="P728" s="1"/>
      <c r="Q728" s="1"/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L729" si="163">IF(COLUMN() &lt; (COLUMN($H$722) + (ROW()-ROW($H$722))), 0, IF(COLUMN() = (COLUMN($H$722) + (ROW()-ROW($H$722))), INDEX($H$704:$L$704,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86">
        <f t="shared" si="163"/>
        <v>0</v>
      </c>
      <c r="M729" s="1"/>
      <c r="N729" s="1"/>
      <c r="O729" s="1"/>
      <c r="P729" s="1"/>
      <c r="Q729" s="1"/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L730" si="164">IF(COLUMN() &lt; (COLUMN($H$722) + (ROW()-ROW($H$722))), 0, IF(COLUMN() = (COLUMN($H$722) + (ROW()-ROW($H$722))), INDEX($H$704:$L$704,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86">
        <f t="shared" si="164"/>
        <v>0</v>
      </c>
      <c r="M730" s="1"/>
      <c r="N730" s="1"/>
      <c r="O730" s="1"/>
      <c r="P730" s="1"/>
      <c r="Q730" s="1"/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L731" si="165">IF(COLUMN() &lt; (COLUMN($H$722) + (ROW()-ROW($H$722))), 0, IF(COLUMN() = (COLUMN($H$722) + (ROW()-ROW($H$722))), INDEX($H$704:$L$704,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86">
        <f t="shared" si="165"/>
        <v>0</v>
      </c>
      <c r="M731" s="1"/>
      <c r="N731" s="1"/>
      <c r="O731" s="1"/>
      <c r="P731" s="1"/>
      <c r="Q731" s="1"/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L732" si="166">IF(COLUMN() &lt; (COLUMN($H$722) + (ROW()-ROW($H$722))), 0, IF(COLUMN() = (COLUMN($H$722) + (ROW()-ROW($H$722))), INDEX($H$704:$L$704,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86">
        <f t="shared" si="166"/>
        <v>0</v>
      </c>
      <c r="M732" s="1"/>
      <c r="N732" s="1"/>
      <c r="O732" s="1"/>
      <c r="P732" s="1"/>
      <c r="Q732" s="1"/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L733" si="167">IF(COLUMN() &lt; (COLUMN($H$722) + (ROW()-ROW($H$722))), 0, IF(COLUMN() = (COLUMN($H$722) + (ROW()-ROW($H$722))), INDEX($H$704:$L$704,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86">
        <f t="shared" si="167"/>
        <v>0</v>
      </c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86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L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84">
        <f t="shared" si="168"/>
        <v>0</v>
      </c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L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2142000</v>
      </c>
      <c r="J736" s="180">
        <f t="shared" si="169"/>
        <v>1134000</v>
      </c>
      <c r="K736" s="180">
        <f t="shared" si="169"/>
        <v>1008000</v>
      </c>
      <c r="L736" s="180">
        <f t="shared" si="169"/>
        <v>672000</v>
      </c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L737" si="170">H486</f>
        <v>3281040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84" t="str">
        <f t="shared" si="170"/>
        <v/>
      </c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L738" si="171">SUM(H736:H737)</f>
        <v>3281040</v>
      </c>
      <c r="I738" s="184">
        <f t="shared" si="171"/>
        <v>2142000</v>
      </c>
      <c r="J738" s="184">
        <f t="shared" si="171"/>
        <v>1134000</v>
      </c>
      <c r="K738" s="184">
        <f t="shared" si="171"/>
        <v>1008000</v>
      </c>
      <c r="L738" s="184">
        <f t="shared" si="171"/>
        <v>672000</v>
      </c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86"/>
      <c r="M739" s="1"/>
      <c r="N739" s="1"/>
      <c r="O739" s="1"/>
      <c r="P739" s="1"/>
      <c r="Q739" s="1"/>
      <c r="R739" s="1"/>
      <c r="S739" s="1"/>
    </row>
    <row r="740" outlineLevel="1">
      <c r="A740" s="1"/>
      <c r="B740" s="1"/>
      <c r="C740" s="1"/>
      <c r="D740" s="1"/>
      <c r="E740" s="1"/>
      <c r="F740" s="13"/>
      <c r="G740" s="155"/>
      <c r="H740" s="186">
        <f t="shared" ref="H740:L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86">
        <f t="shared" si="172"/>
        <v>3</v>
      </c>
      <c r="M740" s="1"/>
      <c r="N740" s="1"/>
      <c r="O740" s="1"/>
      <c r="P740" s="1"/>
      <c r="Q740" s="1"/>
      <c r="R740" s="1"/>
      <c r="S740" s="1"/>
    </row>
    <row r="741" outlineLevel="1">
      <c r="A741" s="1"/>
      <c r="B741" s="1"/>
      <c r="C741" s="1"/>
      <c r="D741" s="1"/>
      <c r="E741" s="1"/>
      <c r="F741" s="13"/>
      <c r="G741" s="155"/>
      <c r="H741" s="186">
        <f t="shared" ref="H741:L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86">
        <f t="shared" si="173"/>
        <v>4</v>
      </c>
      <c r="M741" s="1"/>
      <c r="N741" s="1"/>
      <c r="O741" s="1"/>
      <c r="P741" s="1"/>
      <c r="Q741" s="1"/>
      <c r="R741" s="1"/>
      <c r="S741" s="1"/>
    </row>
    <row r="742" outlineLevel="1">
      <c r="A742" s="1"/>
      <c r="B742" s="1"/>
      <c r="C742" s="1"/>
      <c r="D742" s="1"/>
      <c r="E742" s="1"/>
      <c r="F742" s="13"/>
      <c r="G742" s="155"/>
      <c r="H742" s="186">
        <f t="shared" ref="H742:L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86">
        <f t="shared" si="174"/>
        <v>5</v>
      </c>
      <c r="M742" s="1"/>
      <c r="N742" s="1"/>
      <c r="O742" s="1"/>
      <c r="P742" s="1"/>
      <c r="Q742" s="1"/>
      <c r="R742" s="1"/>
      <c r="S742" s="1"/>
    </row>
    <row r="743" outlineLevel="1">
      <c r="A743" s="1"/>
      <c r="B743" s="1"/>
      <c r="C743" s="1"/>
      <c r="D743" s="1"/>
      <c r="E743" s="1"/>
      <c r="F743" s="13"/>
      <c r="G743" s="155"/>
      <c r="H743" s="186">
        <f t="shared" ref="H743:L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86">
        <f t="shared" si="175"/>
        <v>6</v>
      </c>
      <c r="M743" s="1"/>
      <c r="N743" s="1"/>
      <c r="O743" s="1"/>
      <c r="P743" s="1"/>
      <c r="Q743" s="1"/>
      <c r="R743" s="1"/>
      <c r="S743" s="1"/>
    </row>
    <row r="744" outlineLevel="1">
      <c r="A744" s="1"/>
      <c r="B744" s="1"/>
      <c r="C744" s="1"/>
      <c r="D744" s="1"/>
      <c r="E744" s="1"/>
      <c r="F744" s="13"/>
      <c r="G744" s="155"/>
      <c r="H744" s="186">
        <f t="shared" ref="H744:L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86">
        <f t="shared" si="176"/>
        <v>7</v>
      </c>
      <c r="M744" s="1"/>
      <c r="N744" s="1"/>
      <c r="O744" s="1"/>
      <c r="P744" s="1"/>
      <c r="Q744" s="1"/>
      <c r="R744" s="1"/>
      <c r="S744" s="1"/>
    </row>
    <row r="745" outlineLevel="1">
      <c r="A745" s="1"/>
      <c r="B745" s="1"/>
      <c r="C745" s="1"/>
      <c r="D745" s="1"/>
      <c r="E745" s="1"/>
      <c r="F745" s="13"/>
      <c r="G745" s="155"/>
      <c r="H745" s="186">
        <f t="shared" ref="H745:L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86">
        <f t="shared" si="177"/>
        <v>0</v>
      </c>
      <c r="M745" s="1"/>
      <c r="N745" s="1"/>
      <c r="O745" s="1"/>
      <c r="P745" s="1"/>
      <c r="Q745" s="1"/>
      <c r="R745" s="1"/>
      <c r="S745" s="1"/>
    </row>
    <row r="746" outlineLevel="1">
      <c r="A746" s="1"/>
      <c r="B746" s="1"/>
      <c r="C746" s="1"/>
      <c r="D746" s="1"/>
      <c r="E746" s="1"/>
      <c r="F746" s="13"/>
      <c r="G746" s="155"/>
      <c r="H746" s="186">
        <f t="shared" ref="H746:L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86">
        <f t="shared" si="178"/>
        <v>0</v>
      </c>
      <c r="M746" s="1"/>
      <c r="N746" s="1"/>
      <c r="O746" s="1"/>
      <c r="P746" s="1"/>
      <c r="Q746" s="1"/>
      <c r="R746" s="1"/>
      <c r="S746" s="1"/>
    </row>
    <row r="747" outlineLevel="1">
      <c r="A747" s="1"/>
      <c r="B747" s="1"/>
      <c r="C747" s="1"/>
      <c r="D747" s="1"/>
      <c r="E747" s="1"/>
      <c r="F747" s="13"/>
      <c r="G747" s="155"/>
      <c r="H747" s="186">
        <f t="shared" ref="H747:L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86">
        <f t="shared" si="179"/>
        <v>0</v>
      </c>
      <c r="M747" s="1"/>
      <c r="N747" s="1"/>
      <c r="O747" s="1"/>
      <c r="P747" s="1"/>
      <c r="Q747" s="1"/>
      <c r="R747" s="1"/>
      <c r="S747" s="1"/>
    </row>
    <row r="748" outlineLevel="1">
      <c r="A748" s="1"/>
      <c r="B748" s="1"/>
      <c r="C748" s="1"/>
      <c r="D748" s="1"/>
      <c r="E748" s="1"/>
      <c r="F748" s="13"/>
      <c r="G748" s="155"/>
      <c r="H748" s="186">
        <f t="shared" ref="H748:L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86">
        <f t="shared" si="180"/>
        <v>0</v>
      </c>
      <c r="M748" s="1"/>
      <c r="N748" s="1"/>
      <c r="O748" s="1"/>
      <c r="P748" s="1"/>
      <c r="Q748" s="1"/>
      <c r="R748" s="1"/>
      <c r="S748" s="1"/>
    </row>
    <row r="749" outlineLevel="1">
      <c r="A749" s="1"/>
      <c r="B749" s="1"/>
      <c r="C749" s="1"/>
      <c r="D749" s="1"/>
      <c r="E749" s="1"/>
      <c r="F749" s="13"/>
      <c r="G749" s="155"/>
      <c r="H749" s="186">
        <f t="shared" ref="H749:L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86">
        <f t="shared" si="181"/>
        <v>0</v>
      </c>
      <c r="M749" s="1"/>
      <c r="N749" s="1"/>
      <c r="O749" s="1"/>
      <c r="P749" s="1"/>
      <c r="Q749" s="1"/>
      <c r="R749" s="1"/>
      <c r="S749" s="1"/>
    </row>
    <row r="750" outlineLevel="1">
      <c r="A750" s="1"/>
      <c r="B750" s="1"/>
      <c r="C750" s="1"/>
      <c r="D750" s="1"/>
      <c r="E750" s="1"/>
      <c r="F750" s="13"/>
      <c r="G750" s="155"/>
      <c r="H750" s="186">
        <f t="shared" ref="H750:L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86">
        <f t="shared" si="182"/>
        <v>0</v>
      </c>
      <c r="M750" s="1"/>
      <c r="N750" s="1"/>
      <c r="O750" s="1"/>
      <c r="P750" s="1"/>
      <c r="Q750" s="1"/>
      <c r="R750" s="1"/>
      <c r="S750" s="1"/>
    </row>
    <row r="751" outlineLevel="1">
      <c r="A751" s="1"/>
      <c r="B751" s="1"/>
      <c r="C751" s="1"/>
      <c r="D751" s="1"/>
      <c r="E751" s="1"/>
      <c r="F751" s="13"/>
      <c r="G751" s="155"/>
      <c r="H751" s="186">
        <f t="shared" ref="H751:L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86">
        <f t="shared" si="183"/>
        <v>0</v>
      </c>
      <c r="M751" s="1"/>
      <c r="N751" s="1"/>
      <c r="O751" s="1"/>
      <c r="P751" s="1"/>
      <c r="Q751" s="1"/>
      <c r="R751" s="1"/>
      <c r="S751" s="1"/>
    </row>
    <row r="752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86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55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L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84">
        <f t="shared" si="184"/>
        <v>0</v>
      </c>
      <c r="M754" s="1"/>
      <c r="N754" s="1"/>
      <c r="O754" s="1"/>
      <c r="P754" s="1"/>
      <c r="Q754" s="1"/>
      <c r="R754" s="1"/>
      <c r="S754" s="1"/>
    </row>
    <row r="755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L755" si="185">SUM(H756:H767)</f>
        <v>3281040</v>
      </c>
      <c r="I755" s="184">
        <f t="shared" si="185"/>
        <v>2142000</v>
      </c>
      <c r="J755" s="184">
        <f t="shared" si="185"/>
        <v>1134000</v>
      </c>
      <c r="K755" s="184">
        <f t="shared" si="185"/>
        <v>1008000</v>
      </c>
      <c r="L755" s="184">
        <f t="shared" si="185"/>
        <v>672000</v>
      </c>
      <c r="M755" s="1"/>
      <c r="N755" s="1"/>
      <c r="O755" s="1"/>
      <c r="P755" s="1"/>
      <c r="Q755" s="1"/>
      <c r="R755" s="1"/>
      <c r="S755" s="1"/>
    </row>
    <row r="756" outlineLevel="1">
      <c r="A756" s="1"/>
      <c r="B756" s="1"/>
      <c r="C756" s="1"/>
      <c r="D756" s="1"/>
      <c r="E756" s="1"/>
      <c r="F756" s="13"/>
      <c r="G756" s="155"/>
      <c r="H756" s="186">
        <f t="shared" ref="H756:L756" si="186">IF(COLUMN() &lt; (COLUMN($H$756) + (ROW()-ROW($H$756))), 0, IF(COLUMN() = (COLUMN($H$756) + (ROW()-ROW($H$756))), INDEX($H$738:$L$738, 1, COLUMN()-COLUMN($H$738)+1), IF(H740=0, OFFSET(H756, 0, -$H$739) * $H$753, 0)))</f>
        <v>3281040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86">
        <f t="shared" si="186"/>
        <v>0</v>
      </c>
      <c r="M756" s="1"/>
      <c r="N756" s="1"/>
      <c r="O756" s="1"/>
      <c r="P756" s="1"/>
      <c r="Q756" s="1"/>
      <c r="R756" s="1"/>
      <c r="S756" s="1"/>
    </row>
    <row r="757" outlineLevel="1">
      <c r="A757" s="1"/>
      <c r="B757" s="1"/>
      <c r="C757" s="1"/>
      <c r="D757" s="1"/>
      <c r="E757" s="1"/>
      <c r="F757" s="13"/>
      <c r="G757" s="155"/>
      <c r="H757" s="186">
        <f t="shared" ref="H757:L757" si="187">IF(COLUMN() &lt; (COLUMN($H$756) + (ROW()-ROW($H$756))), 0, IF(COLUMN() = (COLUMN($H$756) + (ROW()-ROW($H$756))), INDEX($H$738:$L$738, 1, COLUMN()-COLUMN($H$738)+1), IF(H741=0, OFFSET(H757, 0, -$H$739) * $H$753, 0)))</f>
        <v>0</v>
      </c>
      <c r="I757" s="186">
        <f t="shared" si="187"/>
        <v>2142000</v>
      </c>
      <c r="J757" s="186">
        <f t="shared" si="187"/>
        <v>0</v>
      </c>
      <c r="K757" s="186">
        <f t="shared" si="187"/>
        <v>0</v>
      </c>
      <c r="L757" s="186">
        <f t="shared" si="187"/>
        <v>0</v>
      </c>
      <c r="M757" s="1"/>
      <c r="N757" s="1"/>
      <c r="O757" s="1"/>
      <c r="P757" s="1"/>
      <c r="Q757" s="1"/>
      <c r="R757" s="1"/>
      <c r="S757" s="1"/>
    </row>
    <row r="758" outlineLevel="1">
      <c r="A758" s="1"/>
      <c r="B758" s="1"/>
      <c r="C758" s="1"/>
      <c r="D758" s="1"/>
      <c r="E758" s="1"/>
      <c r="F758" s="13"/>
      <c r="G758" s="155"/>
      <c r="H758" s="186">
        <f t="shared" ref="H758:L758" si="188">IF(COLUMN() &lt; (COLUMN($H$756) + (ROW()-ROW($H$756))), 0, IF(COLUMN() = (COLUMN($H$756) + (ROW()-ROW($H$756))), INDEX($H$738:$L$738, 1, COLUMN()-COLUMN($H$738)+1), IF(H742=0, OFFSET(H758, 0, -$H$739) * $H$753, 0)))</f>
        <v>0</v>
      </c>
      <c r="I758" s="186">
        <f t="shared" si="188"/>
        <v>0</v>
      </c>
      <c r="J758" s="186">
        <f t="shared" si="188"/>
        <v>1134000</v>
      </c>
      <c r="K758" s="186">
        <f t="shared" si="188"/>
        <v>0</v>
      </c>
      <c r="L758" s="186">
        <f t="shared" si="188"/>
        <v>0</v>
      </c>
      <c r="M758" s="1"/>
      <c r="N758" s="1"/>
      <c r="O758" s="1"/>
      <c r="P758" s="1"/>
      <c r="Q758" s="1"/>
      <c r="R758" s="1"/>
      <c r="S758" s="1"/>
    </row>
    <row r="759" outlineLevel="1">
      <c r="A759" s="1"/>
      <c r="B759" s="1"/>
      <c r="C759" s="1"/>
      <c r="D759" s="1"/>
      <c r="E759" s="1"/>
      <c r="F759" s="13"/>
      <c r="G759" s="155"/>
      <c r="H759" s="186">
        <f t="shared" ref="H759:L759" si="189">IF(COLUMN() &lt; (COLUMN($H$756) + (ROW()-ROW($H$756))), 0, IF(COLUMN() = (COLUMN($H$756) + (ROW()-ROW($H$756))), INDEX($H$738:$L$738,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1008000</v>
      </c>
      <c r="L759" s="186">
        <f t="shared" si="189"/>
        <v>0</v>
      </c>
      <c r="M759" s="1"/>
      <c r="N759" s="1"/>
      <c r="O759" s="1"/>
      <c r="P759" s="1"/>
      <c r="Q759" s="1"/>
      <c r="R759" s="1"/>
      <c r="S759" s="1"/>
    </row>
    <row r="760" outlineLevel="1">
      <c r="A760" s="1"/>
      <c r="B760" s="1"/>
      <c r="C760" s="1"/>
      <c r="D760" s="1"/>
      <c r="E760" s="1"/>
      <c r="F760" s="13"/>
      <c r="G760" s="155"/>
      <c r="H760" s="186">
        <f t="shared" ref="H760:L760" si="190">IF(COLUMN() &lt; (COLUMN($H$756) + (ROW()-ROW($H$756))), 0, IF(COLUMN() = (COLUMN($H$756) + (ROW()-ROW($H$756))), INDEX($H$738:$L$738,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86">
        <f t="shared" si="190"/>
        <v>672000</v>
      </c>
      <c r="M760" s="1"/>
      <c r="N760" s="1"/>
      <c r="O760" s="1"/>
      <c r="P760" s="1"/>
      <c r="Q760" s="1"/>
      <c r="R760" s="1"/>
      <c r="S760" s="1"/>
    </row>
    <row r="761" outlineLevel="1">
      <c r="A761" s="1"/>
      <c r="B761" s="1"/>
      <c r="C761" s="1"/>
      <c r="D761" s="1"/>
      <c r="E761" s="1"/>
      <c r="F761" s="13"/>
      <c r="G761" s="155"/>
      <c r="H761" s="186">
        <f t="shared" ref="H761:L761" si="191">IF(COLUMN() &lt; (COLUMN($H$756) + (ROW()-ROW($H$756))), 0, IF(COLUMN() = (COLUMN($H$756) + (ROW()-ROW($H$756))), INDEX($H$738:$L$738,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86">
        <f t="shared" si="191"/>
        <v>0</v>
      </c>
      <c r="M761" s="1"/>
      <c r="N761" s="1"/>
      <c r="O761" s="1"/>
      <c r="P761" s="1"/>
      <c r="Q761" s="1"/>
      <c r="R761" s="1"/>
      <c r="S761" s="1"/>
    </row>
    <row r="762" outlineLevel="1">
      <c r="A762" s="1"/>
      <c r="B762" s="1"/>
      <c r="C762" s="1"/>
      <c r="D762" s="1"/>
      <c r="E762" s="1"/>
      <c r="F762" s="13"/>
      <c r="G762" s="155"/>
      <c r="H762" s="186">
        <f t="shared" ref="H762:L762" si="192">IF(COLUMN() &lt; (COLUMN($H$756) + (ROW()-ROW($H$756))), 0, IF(COLUMN() = (COLUMN($H$756) + (ROW()-ROW($H$756))), INDEX($H$738:$L$738,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86">
        <f t="shared" si="192"/>
        <v>0</v>
      </c>
      <c r="M762" s="1"/>
      <c r="N762" s="1"/>
      <c r="O762" s="1"/>
      <c r="P762" s="1"/>
      <c r="Q762" s="1"/>
      <c r="R762" s="1"/>
      <c r="S762" s="1"/>
    </row>
    <row r="763" outlineLevel="1">
      <c r="A763" s="1"/>
      <c r="B763" s="1"/>
      <c r="C763" s="1"/>
      <c r="D763" s="1"/>
      <c r="E763" s="1"/>
      <c r="F763" s="13"/>
      <c r="G763" s="155"/>
      <c r="H763" s="186">
        <f t="shared" ref="H763:L763" si="193">IF(COLUMN() &lt; (COLUMN($H$756) + (ROW()-ROW($H$756))), 0, IF(COLUMN() = (COLUMN($H$756) + (ROW()-ROW($H$756))), INDEX($H$738:$L$738,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86">
        <f t="shared" si="193"/>
        <v>0</v>
      </c>
      <c r="M763" s="1"/>
      <c r="N763" s="1"/>
      <c r="O763" s="1"/>
      <c r="P763" s="1"/>
      <c r="Q763" s="1"/>
      <c r="R763" s="1"/>
      <c r="S763" s="1"/>
    </row>
    <row r="764" outlineLevel="1">
      <c r="A764" s="1"/>
      <c r="B764" s="1"/>
      <c r="C764" s="1"/>
      <c r="D764" s="1"/>
      <c r="E764" s="1"/>
      <c r="F764" s="13"/>
      <c r="G764" s="155"/>
      <c r="H764" s="186">
        <f t="shared" ref="H764:L764" si="194">IF(COLUMN() &lt; (COLUMN($H$756) + (ROW()-ROW($H$756))), 0, IF(COLUMN() = (COLUMN($H$756) + (ROW()-ROW($H$756))), INDEX($H$738:$L$738,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86">
        <f t="shared" si="194"/>
        <v>0</v>
      </c>
      <c r="M764" s="1"/>
      <c r="N764" s="1"/>
      <c r="O764" s="1"/>
      <c r="P764" s="1"/>
      <c r="Q764" s="1"/>
      <c r="R764" s="1"/>
      <c r="S764" s="1"/>
    </row>
    <row r="765" outlineLevel="1">
      <c r="A765" s="1"/>
      <c r="B765" s="1"/>
      <c r="C765" s="1"/>
      <c r="D765" s="1"/>
      <c r="E765" s="1"/>
      <c r="F765" s="13"/>
      <c r="G765" s="155"/>
      <c r="H765" s="186">
        <f t="shared" ref="H765:L765" si="195">IF(COLUMN() &lt; (COLUMN($H$756) + (ROW()-ROW($H$756))), 0, IF(COLUMN() = (COLUMN($H$756) + (ROW()-ROW($H$756))), INDEX($H$738:$L$738,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86">
        <f t="shared" si="195"/>
        <v>0</v>
      </c>
      <c r="M765" s="1"/>
      <c r="N765" s="1"/>
      <c r="O765" s="1"/>
      <c r="P765" s="1"/>
      <c r="Q765" s="1"/>
      <c r="R765" s="1"/>
      <c r="S765" s="1"/>
    </row>
    <row r="766" outlineLevel="1">
      <c r="A766" s="1"/>
      <c r="B766" s="1"/>
      <c r="C766" s="1"/>
      <c r="D766" s="1"/>
      <c r="E766" s="1"/>
      <c r="F766" s="13"/>
      <c r="G766" s="155"/>
      <c r="H766" s="186">
        <f t="shared" ref="H766:L766" si="196">IF(COLUMN() &lt; (COLUMN($H$756) + (ROW()-ROW($H$756))), 0, IF(COLUMN() = (COLUMN($H$756) + (ROW()-ROW($H$756))), INDEX($H$738:$L$738,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86">
        <f t="shared" si="196"/>
        <v>0</v>
      </c>
      <c r="M766" s="1"/>
      <c r="N766" s="1"/>
      <c r="O766" s="1"/>
      <c r="P766" s="1"/>
      <c r="Q766" s="1"/>
      <c r="R766" s="1"/>
      <c r="S766" s="1"/>
    </row>
    <row r="767" outlineLevel="1">
      <c r="A767" s="1"/>
      <c r="B767" s="1"/>
      <c r="C767" s="1"/>
      <c r="D767" s="1"/>
      <c r="E767" s="1"/>
      <c r="F767" s="13"/>
      <c r="G767" s="155"/>
      <c r="H767" s="186">
        <f t="shared" ref="H767:L767" si="197">IF(COLUMN() &lt; (COLUMN($H$756) + (ROW()-ROW($H$756))), 0, IF(COLUMN() = (COLUMN($H$756) + (ROW()-ROW($H$756))), INDEX($H$738:$L$738,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86">
        <f t="shared" si="197"/>
        <v>0</v>
      </c>
      <c r="M767" s="1"/>
      <c r="N767" s="1"/>
      <c r="O767" s="1"/>
      <c r="P767" s="1"/>
      <c r="Q767" s="1"/>
      <c r="R767" s="1"/>
      <c r="S767" s="1"/>
    </row>
    <row r="768" outlineLevel="1">
      <c r="A768" s="192"/>
      <c r="B768" s="193"/>
      <c r="C768" s="192"/>
      <c r="D768" s="192"/>
      <c r="E768" s="172"/>
      <c r="F768" s="15"/>
      <c r="G768" s="188"/>
      <c r="H768" s="186">
        <f t="shared" ref="H768:L768" si="198">IF(COLUMN() &lt; (COLUMN($H$756) + (ROW()-ROW($H$756))), 0, IF(COLUMN() = (COLUMN($H$756) + (ROW()-ROW($H$756))), INDEX($H$738:$L$738,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86">
        <f t="shared" si="198"/>
        <v>0</v>
      </c>
      <c r="M768" s="192"/>
      <c r="N768" s="192"/>
      <c r="O768" s="192"/>
      <c r="P768" s="192"/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86"/>
      <c r="M769" s="192"/>
      <c r="N769" s="192"/>
      <c r="O769" s="192"/>
      <c r="P769" s="192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L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88">
        <f t="shared" si="199"/>
        <v>0</v>
      </c>
      <c r="M770" s="192"/>
      <c r="N770" s="192"/>
      <c r="O770" s="192"/>
      <c r="P770" s="192"/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L771" si="200">H771</f>
        <v>0</v>
      </c>
      <c r="J771" s="190">
        <f t="shared" si="200"/>
        <v>0</v>
      </c>
      <c r="K771" s="190">
        <f t="shared" si="200"/>
        <v>0</v>
      </c>
      <c r="L771" s="190">
        <f t="shared" si="200"/>
        <v>0</v>
      </c>
      <c r="M771" s="192"/>
      <c r="N771" s="192"/>
      <c r="O771" s="192"/>
      <c r="P771" s="192"/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L772" si="201">H772*H773</f>
        <v>0</v>
      </c>
      <c r="J772" s="188">
        <f t="shared" si="201"/>
        <v>0</v>
      </c>
      <c r="K772" s="188">
        <f t="shared" si="201"/>
        <v>0</v>
      </c>
      <c r="L772" s="188">
        <f t="shared" si="201"/>
        <v>0</v>
      </c>
      <c r="M772" s="192"/>
      <c r="N772" s="192"/>
      <c r="O772" s="192"/>
      <c r="P772" s="192"/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54">
        <v>0.0</v>
      </c>
      <c r="M773" s="192"/>
      <c r="N773" s="192"/>
      <c r="O773" s="192"/>
      <c r="P773" s="192"/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L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88">
        <f t="shared" si="202"/>
        <v>0</v>
      </c>
      <c r="M774" s="192"/>
      <c r="N774" s="192"/>
      <c r="O774" s="192"/>
      <c r="P774" s="192"/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5"/>
      <c r="M775" s="192"/>
      <c r="N775" s="192"/>
      <c r="O775" s="192"/>
      <c r="P775" s="192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5"/>
      <c r="M776" s="192"/>
      <c r="N776" s="192"/>
      <c r="O776" s="192"/>
      <c r="P776" s="192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18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63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L779" si="203">SUM(H782,H785,H788,H791,H794)</f>
        <v>0</v>
      </c>
      <c r="I779" s="173">
        <f t="shared" si="203"/>
        <v>8572000</v>
      </c>
      <c r="J779" s="173">
        <f t="shared" si="203"/>
        <v>5534000</v>
      </c>
      <c r="K779" s="173">
        <f t="shared" si="203"/>
        <v>4026000</v>
      </c>
      <c r="L779" s="173">
        <f t="shared" si="203"/>
        <v>2686000</v>
      </c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391</v>
      </c>
      <c r="E781" s="1"/>
      <c r="F781" s="1"/>
      <c r="G781" s="128"/>
      <c r="H781" s="128">
        <f t="shared" ref="H781:L781" si="204">IFERROR(H782/H$779,0)</f>
        <v>0</v>
      </c>
      <c r="I781" s="128">
        <f t="shared" si="204"/>
        <v>0.4153056463</v>
      </c>
      <c r="J781" s="128">
        <f t="shared" si="204"/>
        <v>0.447415974</v>
      </c>
      <c r="K781" s="128">
        <f t="shared" si="204"/>
        <v>0.4153005464</v>
      </c>
      <c r="L781" s="128">
        <f t="shared" si="204"/>
        <v>0.4169769173</v>
      </c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76" t="s">
        <v>285</v>
      </c>
      <c r="D782" s="176" t="s">
        <v>392</v>
      </c>
      <c r="E782" s="1"/>
      <c r="F782" s="1"/>
      <c r="G782" s="173"/>
      <c r="H782" s="173">
        <f t="shared" ref="H782:L782" si="205">SUM(H827,H872,H917,H963,H1008)</f>
        <v>0</v>
      </c>
      <c r="I782" s="173">
        <f t="shared" si="205"/>
        <v>3560000</v>
      </c>
      <c r="J782" s="173">
        <f t="shared" si="205"/>
        <v>2476000</v>
      </c>
      <c r="K782" s="173">
        <f t="shared" si="205"/>
        <v>1672000</v>
      </c>
      <c r="L782" s="173">
        <f t="shared" si="205"/>
        <v>1120000</v>
      </c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78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76" t="s">
        <v>287</v>
      </c>
      <c r="D784" s="176" t="s">
        <v>393</v>
      </c>
      <c r="E784" s="1"/>
      <c r="F784" s="1"/>
      <c r="G784" s="128"/>
      <c r="H784" s="128">
        <f t="shared" ref="H784:L784" si="206">IFERROR(H785/H$779,0)</f>
        <v>0</v>
      </c>
      <c r="I784" s="128">
        <f t="shared" si="206"/>
        <v>0.2984134391</v>
      </c>
      <c r="J784" s="128">
        <f t="shared" si="206"/>
        <v>0.2739428984</v>
      </c>
      <c r="K784" s="128">
        <f t="shared" si="206"/>
        <v>0.2985593641</v>
      </c>
      <c r="L784" s="128">
        <f t="shared" si="206"/>
        <v>0.2970960536</v>
      </c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76" t="s">
        <v>285</v>
      </c>
      <c r="D785" s="176" t="s">
        <v>394</v>
      </c>
      <c r="E785" s="1"/>
      <c r="F785" s="1"/>
      <c r="G785" s="173"/>
      <c r="H785" s="173">
        <f t="shared" ref="H785:L785" si="207">SUM(H830,H875,H920,H966,H1011)</f>
        <v>0</v>
      </c>
      <c r="I785" s="173">
        <f t="shared" si="207"/>
        <v>2558000</v>
      </c>
      <c r="J785" s="173">
        <f t="shared" si="207"/>
        <v>1516000</v>
      </c>
      <c r="K785" s="173">
        <f t="shared" si="207"/>
        <v>1202000</v>
      </c>
      <c r="L785" s="173">
        <f t="shared" si="207"/>
        <v>798000</v>
      </c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78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76" t="s">
        <v>287</v>
      </c>
      <c r="D787" s="13" t="s">
        <v>395</v>
      </c>
      <c r="E787" s="1"/>
      <c r="F787" s="1"/>
      <c r="G787" s="128"/>
      <c r="H787" s="128">
        <f t="shared" ref="H787:L787" si="208">IFERROR(H788/H$779,0)</f>
        <v>0</v>
      </c>
      <c r="I787" s="128">
        <f t="shared" si="208"/>
        <v>0.0363975735</v>
      </c>
      <c r="J787" s="128">
        <f t="shared" si="208"/>
        <v>0.03469461511</v>
      </c>
      <c r="K787" s="128">
        <f t="shared" si="208"/>
        <v>0.03576751118</v>
      </c>
      <c r="L787" s="128">
        <f t="shared" si="208"/>
        <v>0.03574087863</v>
      </c>
      <c r="M787" s="1"/>
      <c r="N787" s="1"/>
      <c r="O787" s="1"/>
      <c r="P787" s="1"/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396</v>
      </c>
      <c r="E788" s="1"/>
      <c r="F788" s="1"/>
      <c r="G788" s="173"/>
      <c r="H788" s="173">
        <f t="shared" ref="H788:L788" si="209">SUM(H833,H878,H923)</f>
        <v>0</v>
      </c>
      <c r="I788" s="173">
        <f t="shared" si="209"/>
        <v>312000</v>
      </c>
      <c r="J788" s="173">
        <f t="shared" si="209"/>
        <v>192000</v>
      </c>
      <c r="K788" s="173">
        <f t="shared" si="209"/>
        <v>144000</v>
      </c>
      <c r="L788" s="173">
        <f t="shared" si="209"/>
        <v>96000</v>
      </c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78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76" t="s">
        <v>287</v>
      </c>
      <c r="D790" s="13" t="s">
        <v>397</v>
      </c>
      <c r="E790" s="1"/>
      <c r="F790" s="1"/>
      <c r="G790" s="128"/>
      <c r="H790" s="128">
        <f t="shared" ref="H790:L790" si="210">IFERROR(H791/H$779,0)</f>
        <v>0</v>
      </c>
      <c r="I790" s="128">
        <f t="shared" si="210"/>
        <v>0.2498833411</v>
      </c>
      <c r="J790" s="128">
        <f t="shared" si="210"/>
        <v>0.2439465125</v>
      </c>
      <c r="K790" s="128">
        <f t="shared" si="210"/>
        <v>0.2503725782</v>
      </c>
      <c r="L790" s="128">
        <f t="shared" si="210"/>
        <v>0.2501861504</v>
      </c>
      <c r="M790" s="1"/>
      <c r="N790" s="1"/>
      <c r="O790" s="1"/>
      <c r="P790" s="1"/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398</v>
      </c>
      <c r="E791" s="1"/>
      <c r="F791" s="1"/>
      <c r="G791" s="173"/>
      <c r="H791" s="173">
        <f t="shared" ref="H791:L791" si="211">SUM(H836,H881,H926)</f>
        <v>0</v>
      </c>
      <c r="I791" s="173">
        <f t="shared" si="211"/>
        <v>2142000</v>
      </c>
      <c r="J791" s="173">
        <f t="shared" si="211"/>
        <v>1350000</v>
      </c>
      <c r="K791" s="173">
        <f t="shared" si="211"/>
        <v>1008000</v>
      </c>
      <c r="L791" s="173">
        <f t="shared" si="211"/>
        <v>672000</v>
      </c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43"/>
      <c r="L792" s="143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76" t="s">
        <v>287</v>
      </c>
      <c r="D793" s="176" t="s">
        <v>399</v>
      </c>
      <c r="E793" s="1"/>
      <c r="F793" s="1"/>
      <c r="G793" s="128"/>
      <c r="H793" s="128">
        <f t="shared" ref="H793:L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28">
        <f t="shared" si="212"/>
        <v>0</v>
      </c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76" t="s">
        <v>285</v>
      </c>
      <c r="D794" s="176" t="s">
        <v>400</v>
      </c>
      <c r="E794" s="1"/>
      <c r="F794" s="1"/>
      <c r="G794" s="173"/>
      <c r="H794" s="173">
        <f t="shared" ref="H794:L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73">
        <f t="shared" si="213"/>
        <v>0</v>
      </c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43"/>
      <c r="M795" s="1"/>
      <c r="N795" s="1"/>
      <c r="O795" s="1"/>
      <c r="P795" s="1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32</v>
      </c>
      <c r="I797" s="197"/>
      <c r="J797" s="197"/>
      <c r="K797" s="197"/>
      <c r="L797" s="197"/>
      <c r="M797" s="198"/>
      <c r="N797" s="198"/>
      <c r="O797" s="198"/>
      <c r="P797" s="198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0.0196055625</v>
      </c>
      <c r="H798" s="149">
        <f>SUM($H$416)</f>
        <v>3136890</v>
      </c>
      <c r="I798" s="197"/>
      <c r="J798" s="197"/>
      <c r="K798" s="197"/>
      <c r="L798" s="197"/>
      <c r="M798" s="172"/>
      <c r="N798" s="172"/>
      <c r="O798" s="172"/>
      <c r="P798" s="172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56"/>
      <c r="M799" s="160"/>
      <c r="N799" s="160"/>
      <c r="O799" s="160"/>
      <c r="P799" s="160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160000000</v>
      </c>
      <c r="I800" s="149"/>
      <c r="J800" s="149"/>
      <c r="K800" s="149"/>
      <c r="L800" s="149"/>
      <c r="M800" s="160"/>
      <c r="N800" s="160"/>
      <c r="O800" s="160"/>
      <c r="P800" s="160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49"/>
      <c r="M801" s="160"/>
      <c r="N801" s="160"/>
      <c r="O801" s="160"/>
      <c r="P801" s="160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0.039211125</v>
      </c>
      <c r="H802" s="145">
        <v>0.0</v>
      </c>
      <c r="I802" s="145">
        <v>0.0</v>
      </c>
      <c r="J802" s="145">
        <v>0.1</v>
      </c>
      <c r="K802" s="145">
        <v>0.0</v>
      </c>
      <c r="L802" s="145">
        <v>0.0</v>
      </c>
      <c r="M802" s="145"/>
      <c r="N802" s="145"/>
      <c r="O802" s="145"/>
      <c r="P802" s="145"/>
      <c r="Q802" s="145"/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6273780</v>
      </c>
      <c r="H803" s="149"/>
      <c r="I803" s="149"/>
      <c r="J803" s="149"/>
      <c r="K803" s="149"/>
      <c r="L803" s="149"/>
      <c r="M803" s="160"/>
      <c r="N803" s="160"/>
      <c r="O803" s="160"/>
      <c r="P803" s="160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3136890</v>
      </c>
      <c r="I804" s="149">
        <f t="shared" ref="I804:L804" si="214">H804+I813</f>
        <v>3136890</v>
      </c>
      <c r="J804" s="149">
        <f t="shared" si="214"/>
        <v>3456890</v>
      </c>
      <c r="K804" s="149">
        <f t="shared" si="214"/>
        <v>3456890</v>
      </c>
      <c r="L804" s="149">
        <f t="shared" si="214"/>
        <v>3456890</v>
      </c>
      <c r="M804" s="199" t="str">
        <f>#REF!</f>
        <v>#REF!</v>
      </c>
      <c r="N804" s="199"/>
      <c r="O804" s="199"/>
      <c r="P804" s="199"/>
      <c r="Q804" s="199"/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3136890</v>
      </c>
      <c r="H805" s="149">
        <f>$G$895*H802</f>
        <v>0</v>
      </c>
      <c r="I805" s="149">
        <f t="shared" ref="I805:L805" si="215">$G$805*I802</f>
        <v>0</v>
      </c>
      <c r="J805" s="149">
        <f t="shared" si="215"/>
        <v>313689</v>
      </c>
      <c r="K805" s="149">
        <f t="shared" si="215"/>
        <v>0</v>
      </c>
      <c r="L805" s="149">
        <f t="shared" si="215"/>
        <v>0</v>
      </c>
      <c r="M805" s="199">
        <f>SUM(H805:L805)</f>
        <v>313689</v>
      </c>
      <c r="N805" s="199"/>
      <c r="O805" s="199"/>
      <c r="P805" s="199"/>
      <c r="Q805" s="199"/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42"/>
      <c r="M806" s="160"/>
      <c r="N806" s="160"/>
      <c r="O806" s="160"/>
      <c r="P806" s="160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L807" si="216">$H$800-H804</f>
        <v>156863110</v>
      </c>
      <c r="I807" s="149">
        <f t="shared" si="216"/>
        <v>156863110</v>
      </c>
      <c r="J807" s="149">
        <f t="shared" si="216"/>
        <v>156543110</v>
      </c>
      <c r="K807" s="149">
        <f t="shared" si="216"/>
        <v>156543110</v>
      </c>
      <c r="L807" s="149">
        <f t="shared" si="216"/>
        <v>156543110</v>
      </c>
      <c r="M807" s="160"/>
      <c r="N807" s="160"/>
      <c r="O807" s="160"/>
      <c r="P807" s="160"/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M808" si="217">IFERROR(H804/$H$890,0)</f>
        <v>0.01388004425</v>
      </c>
      <c r="I808" s="142">
        <f t="shared" si="217"/>
        <v>0.01388004425</v>
      </c>
      <c r="J808" s="142">
        <f t="shared" si="217"/>
        <v>0.01529597345</v>
      </c>
      <c r="K808" s="142">
        <f t="shared" si="217"/>
        <v>0.01529597345</v>
      </c>
      <c r="L808" s="142">
        <f t="shared" si="217"/>
        <v>0.01529597345</v>
      </c>
      <c r="M808" s="200">
        <f t="shared" si="217"/>
        <v>0</v>
      </c>
      <c r="N808" s="200"/>
      <c r="O808" s="200"/>
      <c r="P808" s="200"/>
      <c r="Q808" s="200"/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M809" si="218">IFERROR(1-(H804/$H$800),0)</f>
        <v>0.9803944375</v>
      </c>
      <c r="I809" s="142">
        <f t="shared" si="218"/>
        <v>0.9803944375</v>
      </c>
      <c r="J809" s="142">
        <f t="shared" si="218"/>
        <v>0.9783944375</v>
      </c>
      <c r="K809" s="142">
        <f t="shared" si="218"/>
        <v>0.9783944375</v>
      </c>
      <c r="L809" s="142">
        <f t="shared" si="218"/>
        <v>0.9783944375</v>
      </c>
      <c r="M809" s="200">
        <f t="shared" si="218"/>
        <v>0</v>
      </c>
      <c r="N809" s="200"/>
      <c r="O809" s="200"/>
      <c r="P809" s="200"/>
      <c r="Q809" s="200"/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58"/>
      <c r="M810" s="198"/>
      <c r="N810" s="198"/>
      <c r="O810" s="198"/>
      <c r="P810" s="19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L811" si="219">ROUNDUP(H805/H812,0)</f>
        <v>0</v>
      </c>
      <c r="I811" s="190">
        <f t="shared" si="219"/>
        <v>0</v>
      </c>
      <c r="J811" s="190">
        <f t="shared" si="219"/>
        <v>8</v>
      </c>
      <c r="K811" s="190">
        <f t="shared" si="219"/>
        <v>0</v>
      </c>
      <c r="L811" s="190">
        <f t="shared" si="219"/>
        <v>0</v>
      </c>
      <c r="M811" s="201">
        <f>SUM(H811:L811)</f>
        <v>8</v>
      </c>
      <c r="N811" s="201"/>
      <c r="O811" s="201"/>
      <c r="P811" s="201"/>
      <c r="Q811" s="201"/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56">
        <v>44500.0</v>
      </c>
      <c r="M812" s="198"/>
      <c r="N812" s="198"/>
      <c r="O812" s="198"/>
      <c r="P812" s="198"/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L813" si="220">SUM(H827,H830,H833,H836,H839)</f>
        <v>0</v>
      </c>
      <c r="I813" s="188">
        <f t="shared" si="220"/>
        <v>0</v>
      </c>
      <c r="J813" s="188">
        <f t="shared" si="220"/>
        <v>320000</v>
      </c>
      <c r="K813" s="188">
        <f t="shared" si="220"/>
        <v>0</v>
      </c>
      <c r="L813" s="188">
        <f t="shared" si="220"/>
        <v>0</v>
      </c>
      <c r="M813" s="196">
        <f>SUM(H813:L813)</f>
        <v>320000</v>
      </c>
      <c r="N813" s="160"/>
      <c r="O813" s="160"/>
      <c r="P813" s="160"/>
      <c r="Q813" s="160"/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203">
        <v>0.5</v>
      </c>
      <c r="M814" s="198"/>
      <c r="N814" s="198"/>
      <c r="O814" s="198"/>
      <c r="P814" s="198"/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203">
        <v>0.4</v>
      </c>
      <c r="M815" s="198"/>
      <c r="N815" s="198"/>
      <c r="O815" s="198"/>
      <c r="P815" s="198"/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203">
        <v>0.05</v>
      </c>
      <c r="M816" s="198"/>
      <c r="N816" s="198"/>
      <c r="O816" s="198"/>
      <c r="P816" s="198"/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203">
        <v>0.05</v>
      </c>
      <c r="M817" s="198"/>
      <c r="N817" s="198"/>
      <c r="O817" s="198"/>
      <c r="P817" s="198"/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203">
        <v>0.0</v>
      </c>
      <c r="M818" s="198"/>
      <c r="N818" s="198"/>
      <c r="O818" s="198"/>
      <c r="P818" s="198"/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204">
        <v>70000.0</v>
      </c>
      <c r="M819" s="198"/>
      <c r="N819" s="198"/>
      <c r="O819" s="198"/>
      <c r="P819" s="198"/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204">
        <v>10000.0</v>
      </c>
      <c r="M820" s="198"/>
      <c r="N820" s="198"/>
      <c r="O820" s="198"/>
      <c r="P820" s="198"/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204">
        <v>10000.0</v>
      </c>
      <c r="M821" s="198"/>
      <c r="N821" s="198"/>
      <c r="O821" s="198"/>
      <c r="P821" s="198"/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204">
        <v>100000.0</v>
      </c>
      <c r="M822" s="198"/>
      <c r="N822" s="198"/>
      <c r="O822" s="198"/>
      <c r="P822" s="198"/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204">
        <v>0.0</v>
      </c>
      <c r="M823" s="198"/>
      <c r="N823" s="198"/>
      <c r="O823" s="198"/>
      <c r="P823" s="198"/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62">
        <f>IFERROR(__xludf.DUMMYFUNCTION("MATCH(
  MIN(FILTER(L819:L823,L819:L823&gt;0)),
  L819:L823,
  0
)
"),2.0)</f>
        <v>2</v>
      </c>
      <c r="M824" s="198"/>
      <c r="N824" s="198"/>
      <c r="O824" s="198"/>
      <c r="P824" s="198"/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48"/>
      <c r="M825" s="198"/>
      <c r="N825" s="198"/>
      <c r="O825" s="198"/>
      <c r="P825" s="19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L826" si="221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1"/>
        <v>0</v>
      </c>
      <c r="J826" s="148">
        <f t="shared" si="221"/>
        <v>4</v>
      </c>
      <c r="K826" s="148">
        <f t="shared" si="221"/>
        <v>0</v>
      </c>
      <c r="L826" s="148">
        <f t="shared" si="221"/>
        <v>0</v>
      </c>
      <c r="M826" s="198"/>
      <c r="N826" s="198"/>
      <c r="O826" s="198"/>
      <c r="P826" s="198"/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L827" si="222">(H826*H819)</f>
        <v>0</v>
      </c>
      <c r="I827" s="150">
        <f t="shared" si="222"/>
        <v>0</v>
      </c>
      <c r="J827" s="150">
        <f t="shared" si="222"/>
        <v>280000</v>
      </c>
      <c r="K827" s="150">
        <f t="shared" si="222"/>
        <v>0</v>
      </c>
      <c r="L827" s="150">
        <f t="shared" si="222"/>
        <v>0</v>
      </c>
      <c r="M827" s="198"/>
      <c r="N827" s="198"/>
      <c r="O827" s="198"/>
      <c r="P827" s="198"/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48"/>
      <c r="M828" s="198"/>
      <c r="N828" s="198"/>
      <c r="O828" s="198"/>
      <c r="P828" s="19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L829" si="223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3"/>
        <v>0</v>
      </c>
      <c r="J829" s="148">
        <f t="shared" si="223"/>
        <v>4</v>
      </c>
      <c r="K829" s="148">
        <f t="shared" si="223"/>
        <v>0</v>
      </c>
      <c r="L829" s="148">
        <f t="shared" si="223"/>
        <v>0</v>
      </c>
      <c r="M829" s="198"/>
      <c r="N829" s="198"/>
      <c r="O829" s="198"/>
      <c r="P829" s="198"/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L830" si="224">(H820*H829)</f>
        <v>0</v>
      </c>
      <c r="I830" s="150">
        <f t="shared" si="224"/>
        <v>0</v>
      </c>
      <c r="J830" s="150">
        <f t="shared" si="224"/>
        <v>40000</v>
      </c>
      <c r="K830" s="150">
        <f t="shared" si="224"/>
        <v>0</v>
      </c>
      <c r="L830" s="150">
        <f t="shared" si="224"/>
        <v>0</v>
      </c>
      <c r="M830" s="198"/>
      <c r="N830" s="198"/>
      <c r="O830" s="198"/>
      <c r="P830" s="198"/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48"/>
      <c r="M831" s="198"/>
      <c r="N831" s="198"/>
      <c r="O831" s="198"/>
      <c r="P831" s="19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L832" si="225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5"/>
        <v>0</v>
      </c>
      <c r="J832" s="148">
        <f t="shared" si="225"/>
        <v>0</v>
      </c>
      <c r="K832" s="148">
        <f t="shared" si="225"/>
        <v>0</v>
      </c>
      <c r="L832" s="148">
        <f t="shared" si="225"/>
        <v>0</v>
      </c>
      <c r="M832" s="198"/>
      <c r="N832" s="198"/>
      <c r="O832" s="198"/>
      <c r="P832" s="198"/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L833" si="226">(H821*H832)</f>
        <v>0</v>
      </c>
      <c r="I833" s="150">
        <f t="shared" si="226"/>
        <v>0</v>
      </c>
      <c r="J833" s="150">
        <f t="shared" si="226"/>
        <v>0</v>
      </c>
      <c r="K833" s="150">
        <f t="shared" si="226"/>
        <v>0</v>
      </c>
      <c r="L833" s="150">
        <f t="shared" si="226"/>
        <v>0</v>
      </c>
      <c r="M833" s="198"/>
      <c r="N833" s="198"/>
      <c r="O833" s="198"/>
      <c r="P833" s="198"/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48"/>
      <c r="M834" s="198"/>
      <c r="N834" s="198"/>
      <c r="O834" s="198"/>
      <c r="P834" s="19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L835" si="227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7"/>
        <v>0</v>
      </c>
      <c r="J835" s="148">
        <f t="shared" si="227"/>
        <v>0</v>
      </c>
      <c r="K835" s="148">
        <f t="shared" si="227"/>
        <v>0</v>
      </c>
      <c r="L835" s="148">
        <f t="shared" si="227"/>
        <v>0</v>
      </c>
      <c r="M835" s="198"/>
      <c r="N835" s="198"/>
      <c r="O835" s="198"/>
      <c r="P835" s="198"/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L836" si="228">(H822*H835)</f>
        <v>0</v>
      </c>
      <c r="I836" s="150">
        <f t="shared" si="228"/>
        <v>0</v>
      </c>
      <c r="J836" s="150">
        <f t="shared" si="228"/>
        <v>0</v>
      </c>
      <c r="K836" s="150">
        <f t="shared" si="228"/>
        <v>0</v>
      </c>
      <c r="L836" s="150">
        <f t="shared" si="228"/>
        <v>0</v>
      </c>
      <c r="M836" s="198"/>
      <c r="N836" s="198"/>
      <c r="O836" s="198"/>
      <c r="P836" s="198"/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48"/>
      <c r="M837" s="198"/>
      <c r="N837" s="198"/>
      <c r="O837" s="198"/>
      <c r="P837" s="19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L838" si="229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29"/>
        <v>0</v>
      </c>
      <c r="J838" s="148">
        <f t="shared" si="229"/>
        <v>0</v>
      </c>
      <c r="K838" s="148">
        <f t="shared" si="229"/>
        <v>0</v>
      </c>
      <c r="L838" s="148">
        <f t="shared" si="229"/>
        <v>0</v>
      </c>
      <c r="M838" s="198"/>
      <c r="N838" s="198"/>
      <c r="O838" s="198"/>
      <c r="P838" s="198"/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L839" si="230">(H823*H838)</f>
        <v>0</v>
      </c>
      <c r="I839" s="150">
        <f t="shared" si="230"/>
        <v>0</v>
      </c>
      <c r="J839" s="150">
        <f t="shared" si="230"/>
        <v>0</v>
      </c>
      <c r="K839" s="150">
        <f t="shared" si="230"/>
        <v>0</v>
      </c>
      <c r="L839" s="150">
        <f t="shared" si="230"/>
        <v>0</v>
      </c>
      <c r="M839" s="198"/>
      <c r="N839" s="198"/>
      <c r="O839" s="198"/>
      <c r="P839" s="198"/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60"/>
      <c r="M840" s="198"/>
      <c r="N840" s="198"/>
      <c r="O840" s="198"/>
      <c r="P840" s="198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43</v>
      </c>
      <c r="I842" s="206"/>
      <c r="J842" s="206"/>
      <c r="K842" s="206"/>
      <c r="L842" s="206"/>
      <c r="M842" s="198"/>
      <c r="N842" s="198"/>
      <c r="O842" s="198"/>
      <c r="P842" s="198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0.02521813953</v>
      </c>
      <c r="H843" s="149">
        <f>H442</f>
        <v>3253140</v>
      </c>
      <c r="I843" s="149"/>
      <c r="J843" s="149"/>
      <c r="K843" s="149"/>
      <c r="L843" s="149"/>
      <c r="M843" s="160"/>
      <c r="N843" s="160"/>
      <c r="O843" s="160"/>
      <c r="P843" s="160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56"/>
      <c r="M844" s="160"/>
      <c r="N844" s="160"/>
      <c r="O844" s="160"/>
      <c r="P844" s="160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129000000</v>
      </c>
      <c r="I845" s="149"/>
      <c r="J845" s="149"/>
      <c r="K845" s="149"/>
      <c r="L845" s="149"/>
      <c r="M845" s="160"/>
      <c r="N845" s="160"/>
      <c r="O845" s="160"/>
      <c r="P845" s="160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49"/>
      <c r="M846" s="160"/>
      <c r="N846" s="160"/>
      <c r="O846" s="160"/>
      <c r="P846" s="160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0.0756544186</v>
      </c>
      <c r="H847" s="167">
        <v>0.0</v>
      </c>
      <c r="I847" s="145">
        <v>0.0</v>
      </c>
      <c r="J847" s="145">
        <v>0.1</v>
      </c>
      <c r="K847" s="145">
        <v>0.0</v>
      </c>
      <c r="L847" s="145">
        <v>0.0</v>
      </c>
      <c r="M847" s="145"/>
      <c r="N847" s="145"/>
      <c r="O847" s="145"/>
      <c r="P847" s="145"/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9759420</v>
      </c>
      <c r="H848" s="19"/>
      <c r="I848" s="19"/>
      <c r="J848" s="19"/>
      <c r="K848" s="19"/>
      <c r="L848" s="19"/>
      <c r="M848" s="16"/>
      <c r="N848" s="16"/>
      <c r="O848" s="16"/>
      <c r="P848" s="16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3253140</v>
      </c>
      <c r="I849" s="149">
        <f t="shared" ref="I849:L849" si="231">H849+I858</f>
        <v>3253140</v>
      </c>
      <c r="J849" s="149">
        <f t="shared" si="231"/>
        <v>3913140</v>
      </c>
      <c r="K849" s="149">
        <f t="shared" si="231"/>
        <v>3913140</v>
      </c>
      <c r="L849" s="149">
        <f t="shared" si="231"/>
        <v>3913140</v>
      </c>
      <c r="M849" s="199">
        <f t="shared" ref="M849:M850" si="233">SUM(H849:L849)</f>
        <v>18245700</v>
      </c>
      <c r="N849" s="199"/>
      <c r="O849" s="199"/>
      <c r="P849" s="199"/>
      <c r="Q849" s="199"/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6506280</v>
      </c>
      <c r="H850" s="149">
        <f t="shared" ref="H850:L850" si="232">$G$850*H847</f>
        <v>0</v>
      </c>
      <c r="I850" s="149">
        <f t="shared" si="232"/>
        <v>0</v>
      </c>
      <c r="J850" s="149">
        <f t="shared" si="232"/>
        <v>650628</v>
      </c>
      <c r="K850" s="149">
        <f t="shared" si="232"/>
        <v>0</v>
      </c>
      <c r="L850" s="149">
        <f t="shared" si="232"/>
        <v>0</v>
      </c>
      <c r="M850" s="199">
        <f t="shared" si="233"/>
        <v>650628</v>
      </c>
      <c r="N850" s="199"/>
      <c r="O850" s="199"/>
      <c r="P850" s="199"/>
      <c r="Q850" s="199"/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42"/>
      <c r="M851" s="160"/>
      <c r="N851" s="160"/>
      <c r="O851" s="160"/>
      <c r="P851" s="160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L852" si="234">$H$845-H849</f>
        <v>125746860</v>
      </c>
      <c r="I852" s="149">
        <f t="shared" si="234"/>
        <v>125746860</v>
      </c>
      <c r="J852" s="149">
        <f t="shared" si="234"/>
        <v>125086860</v>
      </c>
      <c r="K852" s="149">
        <f t="shared" si="234"/>
        <v>125086860</v>
      </c>
      <c r="L852" s="149">
        <f t="shared" si="234"/>
        <v>125086860</v>
      </c>
      <c r="M852" s="160"/>
      <c r="N852" s="160"/>
      <c r="O852" s="160"/>
      <c r="P852" s="160"/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M853" si="235">IFERROR(H849/$H$845,0)</f>
        <v>0.02521813953</v>
      </c>
      <c r="I853" s="142">
        <f t="shared" si="235"/>
        <v>0.02521813953</v>
      </c>
      <c r="J853" s="142">
        <f t="shared" si="235"/>
        <v>0.0303344186</v>
      </c>
      <c r="K853" s="142">
        <f t="shared" si="235"/>
        <v>0.0303344186</v>
      </c>
      <c r="L853" s="142">
        <f t="shared" si="235"/>
        <v>0.0303344186</v>
      </c>
      <c r="M853" s="200">
        <f t="shared" si="235"/>
        <v>0.1414395349</v>
      </c>
      <c r="N853" s="200"/>
      <c r="O853" s="200"/>
      <c r="P853" s="200"/>
      <c r="Q853" s="200"/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M854" si="236">IFERROR(1-(H849/$H$845),0)</f>
        <v>0.9747818605</v>
      </c>
      <c r="I854" s="142">
        <f t="shared" si="236"/>
        <v>0.9747818605</v>
      </c>
      <c r="J854" s="142">
        <f t="shared" si="236"/>
        <v>0.9696655814</v>
      </c>
      <c r="K854" s="142">
        <f t="shared" si="236"/>
        <v>0.9696655814</v>
      </c>
      <c r="L854" s="142">
        <f t="shared" si="236"/>
        <v>0.9696655814</v>
      </c>
      <c r="M854" s="200">
        <f t="shared" si="236"/>
        <v>0.8585604651</v>
      </c>
      <c r="N854" s="200"/>
      <c r="O854" s="200"/>
      <c r="P854" s="200"/>
      <c r="Q854" s="200"/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7"/>
      <c r="M855" s="208"/>
      <c r="N855" s="208"/>
      <c r="O855" s="208"/>
      <c r="P855" s="208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L856" si="237">ROUNDUP(H850/H857,0)</f>
        <v>0</v>
      </c>
      <c r="I856" s="190">
        <f t="shared" si="237"/>
        <v>0</v>
      </c>
      <c r="J856" s="190">
        <f t="shared" si="237"/>
        <v>30</v>
      </c>
      <c r="K856" s="190">
        <f t="shared" si="237"/>
        <v>0</v>
      </c>
      <c r="L856" s="190">
        <f t="shared" si="237"/>
        <v>0</v>
      </c>
      <c r="M856" s="201">
        <f>SUM(H856:L856)</f>
        <v>30</v>
      </c>
      <c r="N856" s="201"/>
      <c r="O856" s="201"/>
      <c r="P856" s="201"/>
      <c r="Q856" s="201"/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56">
        <v>22000.0</v>
      </c>
      <c r="M857" s="198"/>
      <c r="N857" s="198"/>
      <c r="O857" s="198"/>
      <c r="P857" s="198"/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L858" si="238">SUM(H872,H875,H878,H881,H884)</f>
        <v>0</v>
      </c>
      <c r="I858" s="188">
        <f t="shared" si="238"/>
        <v>0</v>
      </c>
      <c r="J858" s="188">
        <f t="shared" si="238"/>
        <v>660000</v>
      </c>
      <c r="K858" s="188">
        <f t="shared" si="238"/>
        <v>0</v>
      </c>
      <c r="L858" s="188">
        <f t="shared" si="238"/>
        <v>0</v>
      </c>
      <c r="M858" s="196">
        <f>SUM(H858:L858)</f>
        <v>660000</v>
      </c>
      <c r="N858" s="160"/>
      <c r="O858" s="160"/>
      <c r="P858" s="160"/>
      <c r="Q858" s="160"/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203">
        <v>0.4</v>
      </c>
      <c r="M859" s="198"/>
      <c r="N859" s="198"/>
      <c r="O859" s="198"/>
      <c r="P859" s="198"/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203">
        <v>0.4</v>
      </c>
      <c r="M860" s="198"/>
      <c r="N860" s="198"/>
      <c r="O860" s="198"/>
      <c r="P860" s="198"/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203">
        <v>0.1</v>
      </c>
      <c r="M861" s="198"/>
      <c r="N861" s="198"/>
      <c r="O861" s="198"/>
      <c r="P861" s="198"/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203">
        <v>0.1</v>
      </c>
      <c r="M862" s="198"/>
      <c r="N862" s="198"/>
      <c r="O862" s="198"/>
      <c r="P862" s="198"/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203">
        <v>0.0</v>
      </c>
      <c r="M863" s="198"/>
      <c r="N863" s="198"/>
      <c r="O863" s="198"/>
      <c r="P863" s="198"/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204">
        <v>25000.0</v>
      </c>
      <c r="M864" s="198"/>
      <c r="N864" s="198"/>
      <c r="O864" s="198"/>
      <c r="P864" s="198"/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204">
        <v>10000.0</v>
      </c>
      <c r="M865" s="198"/>
      <c r="N865" s="198"/>
      <c r="O865" s="198"/>
      <c r="P865" s="198"/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204">
        <v>8000.0</v>
      </c>
      <c r="M866" s="198"/>
      <c r="N866" s="198"/>
      <c r="O866" s="198"/>
      <c r="P866" s="198"/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204">
        <v>72000.0</v>
      </c>
      <c r="M867" s="198"/>
      <c r="N867" s="198"/>
      <c r="O867" s="198"/>
      <c r="P867" s="198"/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204">
        <v>0.0</v>
      </c>
      <c r="M868" s="198"/>
      <c r="N868" s="198"/>
      <c r="O868" s="198"/>
      <c r="P868" s="198"/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62">
        <f>IFERROR(__xludf.DUMMYFUNCTION("MATCH(
  MIN(FILTER(L864:L868,L864:L868&gt;0)),
  L864:L868,
  0
)
"),3.0)</f>
        <v>3</v>
      </c>
      <c r="M869" s="198"/>
      <c r="N869" s="198"/>
      <c r="O869" s="198"/>
      <c r="P869" s="198"/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48"/>
      <c r="M870" s="198"/>
      <c r="N870" s="198"/>
      <c r="O870" s="198"/>
      <c r="P870" s="19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L871" si="239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39"/>
        <v>0</v>
      </c>
      <c r="J871" s="148">
        <f t="shared" si="239"/>
        <v>12</v>
      </c>
      <c r="K871" s="148">
        <f t="shared" si="239"/>
        <v>0</v>
      </c>
      <c r="L871" s="148">
        <f t="shared" si="239"/>
        <v>0</v>
      </c>
      <c r="M871" s="198"/>
      <c r="N871" s="198"/>
      <c r="O871" s="198"/>
      <c r="P871" s="198"/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L872" si="240">(H871*H864)</f>
        <v>0</v>
      </c>
      <c r="I872" s="150">
        <f t="shared" si="240"/>
        <v>0</v>
      </c>
      <c r="J872" s="150">
        <f t="shared" si="240"/>
        <v>300000</v>
      </c>
      <c r="K872" s="150">
        <f t="shared" si="240"/>
        <v>0</v>
      </c>
      <c r="L872" s="150">
        <f t="shared" si="240"/>
        <v>0</v>
      </c>
      <c r="M872" s="198"/>
      <c r="N872" s="198"/>
      <c r="O872" s="198"/>
      <c r="P872" s="198"/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48"/>
      <c r="M873" s="198"/>
      <c r="N873" s="198"/>
      <c r="O873" s="198"/>
      <c r="P873" s="19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L874" si="241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1"/>
        <v>0</v>
      </c>
      <c r="J874" s="148">
        <f t="shared" si="241"/>
        <v>12</v>
      </c>
      <c r="K874" s="148">
        <f t="shared" si="241"/>
        <v>0</v>
      </c>
      <c r="L874" s="148">
        <f t="shared" si="241"/>
        <v>0</v>
      </c>
      <c r="M874" s="198"/>
      <c r="N874" s="198"/>
      <c r="O874" s="198"/>
      <c r="P874" s="198"/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L875" si="242">(H865*H874)</f>
        <v>0</v>
      </c>
      <c r="I875" s="150">
        <f t="shared" si="242"/>
        <v>0</v>
      </c>
      <c r="J875" s="150">
        <f t="shared" si="242"/>
        <v>120000</v>
      </c>
      <c r="K875" s="150">
        <f t="shared" si="242"/>
        <v>0</v>
      </c>
      <c r="L875" s="150">
        <f t="shared" si="242"/>
        <v>0</v>
      </c>
      <c r="M875" s="198"/>
      <c r="N875" s="198"/>
      <c r="O875" s="198"/>
      <c r="P875" s="198"/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48"/>
      <c r="M876" s="198"/>
      <c r="N876" s="198"/>
      <c r="O876" s="198"/>
      <c r="P876" s="19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L877" si="243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3"/>
        <v>0</v>
      </c>
      <c r="J877" s="148">
        <f t="shared" si="243"/>
        <v>3</v>
      </c>
      <c r="K877" s="148">
        <f t="shared" si="243"/>
        <v>0</v>
      </c>
      <c r="L877" s="148">
        <f t="shared" si="243"/>
        <v>0</v>
      </c>
      <c r="M877" s="198"/>
      <c r="N877" s="198"/>
      <c r="O877" s="198"/>
      <c r="P877" s="198"/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L878" si="244">(H866*H877)</f>
        <v>0</v>
      </c>
      <c r="I878" s="150">
        <f t="shared" si="244"/>
        <v>0</v>
      </c>
      <c r="J878" s="150">
        <f t="shared" si="244"/>
        <v>24000</v>
      </c>
      <c r="K878" s="150">
        <f t="shared" si="244"/>
        <v>0</v>
      </c>
      <c r="L878" s="150">
        <f t="shared" si="244"/>
        <v>0</v>
      </c>
      <c r="M878" s="198"/>
      <c r="N878" s="198"/>
      <c r="O878" s="198"/>
      <c r="P878" s="198"/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48"/>
      <c r="M879" s="198"/>
      <c r="N879" s="198"/>
      <c r="O879" s="198"/>
      <c r="P879" s="19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L880" si="245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5"/>
        <v>0</v>
      </c>
      <c r="J880" s="148">
        <f t="shared" si="245"/>
        <v>3</v>
      </c>
      <c r="K880" s="148">
        <f t="shared" si="245"/>
        <v>0</v>
      </c>
      <c r="L880" s="148">
        <f t="shared" si="245"/>
        <v>0</v>
      </c>
      <c r="M880" s="198"/>
      <c r="N880" s="198"/>
      <c r="O880" s="198"/>
      <c r="P880" s="198"/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L881" si="246">(H867*H880)</f>
        <v>0</v>
      </c>
      <c r="I881" s="150">
        <f t="shared" si="246"/>
        <v>0</v>
      </c>
      <c r="J881" s="150">
        <f t="shared" si="246"/>
        <v>216000</v>
      </c>
      <c r="K881" s="150">
        <f t="shared" si="246"/>
        <v>0</v>
      </c>
      <c r="L881" s="150">
        <f t="shared" si="246"/>
        <v>0</v>
      </c>
      <c r="M881" s="198"/>
      <c r="N881" s="198"/>
      <c r="O881" s="198"/>
      <c r="P881" s="198"/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48"/>
      <c r="M882" s="198"/>
      <c r="N882" s="198"/>
      <c r="O882" s="198"/>
      <c r="P882" s="19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L883" si="247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7"/>
        <v>0</v>
      </c>
      <c r="J883" s="148">
        <f t="shared" si="247"/>
        <v>0</v>
      </c>
      <c r="K883" s="148">
        <f t="shared" si="247"/>
        <v>0</v>
      </c>
      <c r="L883" s="148">
        <f t="shared" si="247"/>
        <v>0</v>
      </c>
      <c r="M883" s="198"/>
      <c r="N883" s="198"/>
      <c r="O883" s="198"/>
      <c r="P883" s="198"/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L884" si="248">(H868*H883)</f>
        <v>0</v>
      </c>
      <c r="I884" s="150">
        <f t="shared" si="248"/>
        <v>0</v>
      </c>
      <c r="J884" s="150">
        <f t="shared" si="248"/>
        <v>0</v>
      </c>
      <c r="K884" s="150">
        <f t="shared" si="248"/>
        <v>0</v>
      </c>
      <c r="L884" s="150">
        <f t="shared" si="248"/>
        <v>0</v>
      </c>
      <c r="M884" s="198"/>
      <c r="N884" s="198"/>
      <c r="O884" s="198"/>
      <c r="P884" s="198"/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63"/>
      <c r="M885" s="1"/>
      <c r="N885" s="1"/>
      <c r="O885" s="1"/>
      <c r="P885" s="1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226</v>
      </c>
      <c r="I887" s="209"/>
      <c r="J887" s="209"/>
      <c r="K887" s="209"/>
      <c r="L887" s="209"/>
      <c r="M887" s="198"/>
      <c r="N887" s="198"/>
      <c r="O887" s="198"/>
      <c r="P887" s="198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0.06385725664</v>
      </c>
      <c r="H888" s="210">
        <f>H$468</f>
        <v>14431740</v>
      </c>
      <c r="I888" s="209"/>
      <c r="J888" s="209"/>
      <c r="K888" s="209"/>
      <c r="L888" s="209"/>
      <c r="M888" s="198"/>
      <c r="N888" s="198"/>
      <c r="O888" s="198"/>
      <c r="P888" s="198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158"/>
      <c r="M889" s="211"/>
      <c r="N889" s="211"/>
      <c r="O889" s="211"/>
      <c r="P889" s="211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226000000</v>
      </c>
      <c r="I890" s="212"/>
      <c r="J890" s="212"/>
      <c r="K890" s="212"/>
      <c r="L890" s="212"/>
      <c r="M890" s="211"/>
      <c r="N890" s="211"/>
      <c r="O890" s="211"/>
      <c r="P890" s="211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2"/>
      <c r="M891" s="211"/>
      <c r="N891" s="211"/>
      <c r="O891" s="211"/>
      <c r="P891" s="211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0.1277145133</v>
      </c>
      <c r="H892" s="213">
        <v>0.0</v>
      </c>
      <c r="I892" s="213">
        <v>0.32</v>
      </c>
      <c r="J892" s="213">
        <v>0.17</v>
      </c>
      <c r="K892" s="213">
        <v>0.15</v>
      </c>
      <c r="L892" s="213">
        <v>0.1</v>
      </c>
      <c r="M892" s="211"/>
      <c r="N892" s="211"/>
      <c r="O892" s="211"/>
      <c r="P892" s="211"/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28863480</v>
      </c>
      <c r="H893" s="149"/>
      <c r="I893" s="149"/>
      <c r="J893" s="149"/>
      <c r="K893" s="149"/>
      <c r="L893" s="149"/>
      <c r="M893" s="211"/>
      <c r="N893" s="211"/>
      <c r="O893" s="211"/>
      <c r="P893" s="211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14431740</v>
      </c>
      <c r="I894" s="149">
        <f t="shared" ref="I894:L894" si="249">H894+I903</f>
        <v>19055740</v>
      </c>
      <c r="J894" s="149">
        <f t="shared" si="249"/>
        <v>21507740</v>
      </c>
      <c r="K894" s="149">
        <f t="shared" si="249"/>
        <v>23679740</v>
      </c>
      <c r="L894" s="149">
        <f t="shared" si="249"/>
        <v>25127740</v>
      </c>
      <c r="M894" s="214">
        <f t="shared" ref="M894:M895" si="251">SUM(H894:L894)</f>
        <v>103802700</v>
      </c>
      <c r="N894" s="211"/>
      <c r="O894" s="211"/>
      <c r="P894" s="211"/>
      <c r="Q894" s="211"/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14431740</v>
      </c>
      <c r="H895" s="149">
        <f t="shared" ref="H895:L895" si="250">$G$895*H892</f>
        <v>0</v>
      </c>
      <c r="I895" s="149">
        <f t="shared" si="250"/>
        <v>4618156.8</v>
      </c>
      <c r="J895" s="149">
        <f t="shared" si="250"/>
        <v>2453395.8</v>
      </c>
      <c r="K895" s="149">
        <f t="shared" si="250"/>
        <v>2164761</v>
      </c>
      <c r="L895" s="149">
        <f t="shared" si="250"/>
        <v>1443174</v>
      </c>
      <c r="M895" s="214">
        <f t="shared" si="251"/>
        <v>10679487.6</v>
      </c>
      <c r="N895" s="211"/>
      <c r="O895" s="211"/>
      <c r="P895" s="211"/>
      <c r="Q895" s="211"/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3"/>
      <c r="M896" s="211"/>
      <c r="N896" s="211"/>
      <c r="O896" s="211"/>
      <c r="P896" s="211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L897" si="252">$H$890-H894</f>
        <v>211568260</v>
      </c>
      <c r="I897" s="149">
        <f t="shared" si="252"/>
        <v>206944260</v>
      </c>
      <c r="J897" s="149">
        <f t="shared" si="252"/>
        <v>204492260</v>
      </c>
      <c r="K897" s="149">
        <f t="shared" si="252"/>
        <v>202320260</v>
      </c>
      <c r="L897" s="149">
        <f t="shared" si="252"/>
        <v>200872260</v>
      </c>
      <c r="M897" s="149"/>
      <c r="N897" s="149"/>
      <c r="O897" s="149"/>
      <c r="P897" s="149"/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M898" si="253">IFERROR(H894/$H$890,0)</f>
        <v>0.06385725664</v>
      </c>
      <c r="I898" s="142">
        <f t="shared" si="253"/>
        <v>0.08431743363</v>
      </c>
      <c r="J898" s="142">
        <f t="shared" si="253"/>
        <v>0.09516699115</v>
      </c>
      <c r="K898" s="142">
        <f t="shared" si="253"/>
        <v>0.1047776106</v>
      </c>
      <c r="L898" s="142">
        <f t="shared" si="253"/>
        <v>0.1111846903</v>
      </c>
      <c r="M898" s="215">
        <f t="shared" si="253"/>
        <v>0.4593039823</v>
      </c>
      <c r="N898" s="215"/>
      <c r="O898" s="215"/>
      <c r="P898" s="215"/>
      <c r="Q898" s="215"/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M899" si="254">IFERROR(1-(H894/$H$890),0)</f>
        <v>0.9361427434</v>
      </c>
      <c r="I899" s="216">
        <f t="shared" si="254"/>
        <v>0.9156825664</v>
      </c>
      <c r="J899" s="216">
        <f t="shared" si="254"/>
        <v>0.9048330088</v>
      </c>
      <c r="K899" s="216">
        <f t="shared" si="254"/>
        <v>0.8952223894</v>
      </c>
      <c r="L899" s="216">
        <f t="shared" si="254"/>
        <v>0.8888153097</v>
      </c>
      <c r="M899" s="215">
        <f t="shared" si="254"/>
        <v>0.5406960177</v>
      </c>
      <c r="N899" s="215"/>
      <c r="O899" s="215"/>
      <c r="P899" s="215"/>
      <c r="Q899" s="215"/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158"/>
      <c r="M900" s="211"/>
      <c r="N900" s="211"/>
      <c r="O900" s="211"/>
      <c r="P900" s="211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L901" si="255">ROUNDUP(H895/H902,0)</f>
        <v>0</v>
      </c>
      <c r="I901" s="217">
        <f t="shared" si="255"/>
        <v>256</v>
      </c>
      <c r="J901" s="217">
        <f t="shared" si="255"/>
        <v>136</v>
      </c>
      <c r="K901" s="217">
        <f t="shared" si="255"/>
        <v>120</v>
      </c>
      <c r="L901" s="217">
        <f t="shared" si="255"/>
        <v>80</v>
      </c>
      <c r="M901" s="218">
        <f>SUM(H901:L901)</f>
        <v>592</v>
      </c>
      <c r="N901" s="211"/>
      <c r="O901" s="211"/>
      <c r="P901" s="211"/>
      <c r="Q901" s="211"/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56">
        <v>18100.0</v>
      </c>
      <c r="M902" s="198"/>
      <c r="N902" s="198"/>
      <c r="O902" s="198"/>
      <c r="P902" s="198"/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L903" si="256">SUM(H917,H920,H923,H926,H929)</f>
        <v>0</v>
      </c>
      <c r="I903" s="188">
        <f t="shared" si="256"/>
        <v>4624000</v>
      </c>
      <c r="J903" s="188">
        <f t="shared" si="256"/>
        <v>2452000</v>
      </c>
      <c r="K903" s="188">
        <f t="shared" si="256"/>
        <v>2172000</v>
      </c>
      <c r="L903" s="188">
        <f t="shared" si="256"/>
        <v>1448000</v>
      </c>
      <c r="M903" s="214">
        <f>SUM(H903:L903)</f>
        <v>10696000</v>
      </c>
      <c r="N903" s="214"/>
      <c r="O903" s="214"/>
      <c r="P903" s="214"/>
      <c r="Q903" s="214"/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203">
        <v>0.25</v>
      </c>
      <c r="M904" s="198"/>
      <c r="N904" s="198"/>
      <c r="O904" s="198"/>
      <c r="P904" s="198"/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203">
        <v>0.35</v>
      </c>
      <c r="M905" s="198"/>
      <c r="N905" s="198"/>
      <c r="O905" s="198"/>
      <c r="P905" s="198"/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203">
        <v>0.2</v>
      </c>
      <c r="M906" s="198"/>
      <c r="N906" s="198"/>
      <c r="O906" s="198"/>
      <c r="P906" s="198"/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203">
        <v>0.2</v>
      </c>
      <c r="M907" s="198"/>
      <c r="N907" s="198"/>
      <c r="O907" s="198"/>
      <c r="P907" s="198"/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203">
        <v>0.0</v>
      </c>
      <c r="M908" s="198"/>
      <c r="N908" s="198"/>
      <c r="O908" s="198"/>
      <c r="P908" s="198"/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204">
        <v>20000.0</v>
      </c>
      <c r="M909" s="198"/>
      <c r="N909" s="198"/>
      <c r="O909" s="198"/>
      <c r="P909" s="198"/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204">
        <v>10000.0</v>
      </c>
      <c r="M910" s="198"/>
      <c r="N910" s="198"/>
      <c r="O910" s="198"/>
      <c r="P910" s="198"/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204">
        <v>6000.0</v>
      </c>
      <c r="M911" s="198"/>
      <c r="N911" s="198"/>
      <c r="O911" s="198"/>
      <c r="P911" s="198"/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204">
        <v>42000.0</v>
      </c>
      <c r="M912" s="198"/>
      <c r="N912" s="198"/>
      <c r="O912" s="198"/>
      <c r="P912" s="198"/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204">
        <v>0.0</v>
      </c>
      <c r="M913" s="198"/>
      <c r="N913" s="198"/>
      <c r="O913" s="198"/>
      <c r="P913" s="198"/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62">
        <f>IFERROR(__xludf.DUMMYFUNCTION("MATCH(
  MIN(FILTER(L909:L913,L909:L913&gt;0)),
  L909:L913,
  0
)
"),3.0)</f>
        <v>3</v>
      </c>
      <c r="M914" s="198"/>
      <c r="N914" s="198"/>
      <c r="O914" s="198"/>
      <c r="P914" s="198"/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48"/>
      <c r="M915" s="198"/>
      <c r="N915" s="198"/>
      <c r="O915" s="198"/>
      <c r="P915" s="19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L916" si="257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7"/>
        <v>64</v>
      </c>
      <c r="J916" s="148">
        <f t="shared" si="257"/>
        <v>34</v>
      </c>
      <c r="K916" s="148">
        <f t="shared" si="257"/>
        <v>30</v>
      </c>
      <c r="L916" s="148">
        <f t="shared" si="257"/>
        <v>20</v>
      </c>
      <c r="M916" s="198"/>
      <c r="N916" s="198"/>
      <c r="O916" s="198"/>
      <c r="P916" s="198"/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L917" si="258">(H916*H909)</f>
        <v>0</v>
      </c>
      <c r="I917" s="150">
        <f t="shared" si="258"/>
        <v>1280000</v>
      </c>
      <c r="J917" s="150">
        <f t="shared" si="258"/>
        <v>680000</v>
      </c>
      <c r="K917" s="150">
        <f t="shared" si="258"/>
        <v>600000</v>
      </c>
      <c r="L917" s="150">
        <f t="shared" si="258"/>
        <v>400000</v>
      </c>
      <c r="M917" s="198"/>
      <c r="N917" s="198"/>
      <c r="O917" s="198"/>
      <c r="P917" s="198"/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48"/>
      <c r="M918" s="198"/>
      <c r="N918" s="198"/>
      <c r="O918" s="198"/>
      <c r="P918" s="19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L919" si="259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59"/>
        <v>89</v>
      </c>
      <c r="J919" s="148">
        <f t="shared" si="259"/>
        <v>47</v>
      </c>
      <c r="K919" s="148">
        <f t="shared" si="259"/>
        <v>42</v>
      </c>
      <c r="L919" s="148">
        <f t="shared" si="259"/>
        <v>28</v>
      </c>
      <c r="M919" s="198"/>
      <c r="N919" s="198"/>
      <c r="O919" s="198"/>
      <c r="P919" s="198"/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L920" si="260">(H910*H919)</f>
        <v>0</v>
      </c>
      <c r="I920" s="150">
        <f t="shared" si="260"/>
        <v>890000</v>
      </c>
      <c r="J920" s="150">
        <f t="shared" si="260"/>
        <v>470000</v>
      </c>
      <c r="K920" s="150">
        <f t="shared" si="260"/>
        <v>420000</v>
      </c>
      <c r="L920" s="150">
        <f t="shared" si="260"/>
        <v>280000</v>
      </c>
      <c r="M920" s="198"/>
      <c r="N920" s="198"/>
      <c r="O920" s="198"/>
      <c r="P920" s="198"/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48"/>
      <c r="M921" s="198"/>
      <c r="N921" s="198"/>
      <c r="O921" s="198"/>
      <c r="P921" s="19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L922" si="261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61"/>
        <v>52</v>
      </c>
      <c r="J922" s="148">
        <f t="shared" si="261"/>
        <v>28</v>
      </c>
      <c r="K922" s="148">
        <f t="shared" si="261"/>
        <v>24</v>
      </c>
      <c r="L922" s="148">
        <f t="shared" si="261"/>
        <v>16</v>
      </c>
      <c r="M922" s="198"/>
      <c r="N922" s="198"/>
      <c r="O922" s="198"/>
      <c r="P922" s="198"/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L923" si="262">(H911*H922)</f>
        <v>0</v>
      </c>
      <c r="I923" s="150">
        <f t="shared" si="262"/>
        <v>312000</v>
      </c>
      <c r="J923" s="150">
        <f t="shared" si="262"/>
        <v>168000</v>
      </c>
      <c r="K923" s="150">
        <f t="shared" si="262"/>
        <v>144000</v>
      </c>
      <c r="L923" s="150">
        <f t="shared" si="262"/>
        <v>96000</v>
      </c>
      <c r="M923" s="198"/>
      <c r="N923" s="198"/>
      <c r="O923" s="198"/>
      <c r="P923" s="198"/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48"/>
      <c r="M924" s="198"/>
      <c r="N924" s="198"/>
      <c r="O924" s="198"/>
      <c r="P924" s="19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L925" si="263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3"/>
        <v>51</v>
      </c>
      <c r="J925" s="148">
        <f t="shared" si="263"/>
        <v>27</v>
      </c>
      <c r="K925" s="148">
        <f t="shared" si="263"/>
        <v>24</v>
      </c>
      <c r="L925" s="148">
        <f t="shared" si="263"/>
        <v>16</v>
      </c>
      <c r="M925" s="198"/>
      <c r="N925" s="198"/>
      <c r="O925" s="198"/>
      <c r="P925" s="198"/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L926" si="264">(H912*H925)</f>
        <v>0</v>
      </c>
      <c r="I926" s="150">
        <f t="shared" si="264"/>
        <v>2142000</v>
      </c>
      <c r="J926" s="150">
        <f t="shared" si="264"/>
        <v>1134000</v>
      </c>
      <c r="K926" s="150">
        <f t="shared" si="264"/>
        <v>1008000</v>
      </c>
      <c r="L926" s="150">
        <f t="shared" si="264"/>
        <v>672000</v>
      </c>
      <c r="M926" s="198"/>
      <c r="N926" s="198"/>
      <c r="O926" s="198"/>
      <c r="P926" s="198"/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48"/>
      <c r="M927" s="198"/>
      <c r="N927" s="198"/>
      <c r="O927" s="198"/>
      <c r="P927" s="19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L928" si="265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5"/>
        <v>0</v>
      </c>
      <c r="J928" s="148">
        <f t="shared" si="265"/>
        <v>0</v>
      </c>
      <c r="K928" s="148">
        <f t="shared" si="265"/>
        <v>0</v>
      </c>
      <c r="L928" s="148">
        <f t="shared" si="265"/>
        <v>0</v>
      </c>
      <c r="M928" s="198"/>
      <c r="N928" s="198"/>
      <c r="O928" s="198"/>
      <c r="P928" s="198"/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L929" si="266">(H913*H928)</f>
        <v>0</v>
      </c>
      <c r="I929" s="150">
        <f t="shared" si="266"/>
        <v>0</v>
      </c>
      <c r="J929" s="150">
        <f t="shared" si="266"/>
        <v>0</v>
      </c>
      <c r="K929" s="150">
        <f t="shared" si="266"/>
        <v>0</v>
      </c>
      <c r="L929" s="150">
        <f t="shared" si="266"/>
        <v>0</v>
      </c>
      <c r="M929" s="198"/>
      <c r="N929" s="198"/>
      <c r="O929" s="198"/>
      <c r="P929" s="198"/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60"/>
      <c r="M930" s="198"/>
      <c r="N930" s="198"/>
      <c r="O930" s="198"/>
      <c r="P930" s="198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63"/>
      <c r="M931" s="1"/>
      <c r="N931" s="1"/>
      <c r="O931" s="1"/>
      <c r="P931" s="1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532</v>
      </c>
      <c r="I933" s="206"/>
      <c r="J933" s="206"/>
      <c r="K933" s="206"/>
      <c r="L933" s="206"/>
      <c r="M933" s="198"/>
      <c r="N933" s="198"/>
      <c r="O933" s="198"/>
      <c r="P933" s="198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0.3807503133</v>
      </c>
      <c r="H934" s="149">
        <f>SUM($H$494)</f>
        <v>18230325</v>
      </c>
      <c r="I934" s="149"/>
      <c r="J934" s="149"/>
      <c r="K934" s="149"/>
      <c r="L934" s="149"/>
      <c r="M934" s="160"/>
      <c r="N934" s="160"/>
      <c r="O934" s="160"/>
      <c r="P934" s="160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56"/>
      <c r="M935" s="160"/>
      <c r="N935" s="160"/>
      <c r="O935" s="160"/>
      <c r="P935" s="160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47880000</v>
      </c>
      <c r="I936" s="149"/>
      <c r="J936" s="149"/>
      <c r="K936" s="149"/>
      <c r="L936" s="149"/>
      <c r="M936" s="160"/>
      <c r="N936" s="160"/>
      <c r="O936" s="160"/>
      <c r="P936" s="160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49"/>
      <c r="M937" s="160"/>
      <c r="N937" s="160"/>
      <c r="O937" s="160"/>
      <c r="P937" s="160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0.5711254699</v>
      </c>
      <c r="H938" s="213">
        <v>0.0</v>
      </c>
      <c r="I938" s="213">
        <v>0.32</v>
      </c>
      <c r="J938" s="213">
        <v>0.17</v>
      </c>
      <c r="K938" s="213">
        <v>0.15</v>
      </c>
      <c r="L938" s="213">
        <v>0.1</v>
      </c>
      <c r="M938" s="200">
        <f>SUM(H938:L938)</f>
        <v>0.74</v>
      </c>
      <c r="N938" s="200"/>
      <c r="O938" s="200"/>
      <c r="P938" s="200"/>
      <c r="Q938" s="200"/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27345487.5</v>
      </c>
      <c r="H939" s="19"/>
      <c r="I939" s="19"/>
      <c r="J939" s="19"/>
      <c r="K939" s="19"/>
      <c r="L939" s="19"/>
      <c r="M939" s="16"/>
      <c r="N939" s="16"/>
      <c r="O939" s="16"/>
      <c r="P939" s="16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18230325</v>
      </c>
      <c r="I940" s="149">
        <f t="shared" ref="I940:L940" si="267">H940+I949</f>
        <v>21150325</v>
      </c>
      <c r="J940" s="149">
        <f t="shared" si="267"/>
        <v>22706325</v>
      </c>
      <c r="K940" s="149">
        <f t="shared" si="267"/>
        <v>24078325</v>
      </c>
      <c r="L940" s="149">
        <f t="shared" si="267"/>
        <v>24992325</v>
      </c>
      <c r="M940" s="199">
        <f t="shared" ref="M940:M941" si="269">SUM(H940:L940)</f>
        <v>111157625</v>
      </c>
      <c r="N940" s="199"/>
      <c r="O940" s="199"/>
      <c r="P940" s="199"/>
      <c r="Q940" s="199"/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9115162.5</v>
      </c>
      <c r="H941" s="149">
        <f t="shared" ref="H941:L941" si="268">$G$941*H938</f>
        <v>0</v>
      </c>
      <c r="I941" s="149">
        <f t="shared" si="268"/>
        <v>2916852</v>
      </c>
      <c r="J941" s="149">
        <f t="shared" si="268"/>
        <v>1549577.625</v>
      </c>
      <c r="K941" s="149">
        <f t="shared" si="268"/>
        <v>1367274.375</v>
      </c>
      <c r="L941" s="149">
        <f t="shared" si="268"/>
        <v>911516.25</v>
      </c>
      <c r="M941" s="199">
        <f t="shared" si="269"/>
        <v>6745220.25</v>
      </c>
      <c r="N941" s="199"/>
      <c r="O941" s="199"/>
      <c r="P941" s="199"/>
      <c r="Q941" s="199"/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49"/>
      <c r="M942" s="160"/>
      <c r="N942" s="160"/>
      <c r="O942" s="160"/>
      <c r="P942" s="160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L943" si="270">$H$936-H940</f>
        <v>29649675</v>
      </c>
      <c r="I943" s="149">
        <f t="shared" si="270"/>
        <v>26729675</v>
      </c>
      <c r="J943" s="149">
        <f t="shared" si="270"/>
        <v>25173675</v>
      </c>
      <c r="K943" s="149">
        <f t="shared" si="270"/>
        <v>23801675</v>
      </c>
      <c r="L943" s="149">
        <f t="shared" si="270"/>
        <v>22887675</v>
      </c>
      <c r="M943" s="160"/>
      <c r="N943" s="160"/>
      <c r="O943" s="160"/>
      <c r="P943" s="160"/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M944" si="271">IFERROR(H940/$H$936,0)</f>
        <v>0.3807503133</v>
      </c>
      <c r="I944" s="142">
        <f t="shared" si="271"/>
        <v>0.4417361111</v>
      </c>
      <c r="J944" s="142">
        <f t="shared" si="271"/>
        <v>0.4742340226</v>
      </c>
      <c r="K944" s="142">
        <f t="shared" si="271"/>
        <v>0.5028889933</v>
      </c>
      <c r="L944" s="142">
        <f t="shared" si="271"/>
        <v>0.5219783835</v>
      </c>
      <c r="M944" s="200">
        <f t="shared" si="271"/>
        <v>2.321587824</v>
      </c>
      <c r="N944" s="200"/>
      <c r="O944" s="200"/>
      <c r="P944" s="200"/>
      <c r="Q944" s="200"/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M945" si="272">IFERROR(1-(H940/$H$936),0)</f>
        <v>0.6192496867</v>
      </c>
      <c r="I945" s="142">
        <f t="shared" si="272"/>
        <v>0.5582638889</v>
      </c>
      <c r="J945" s="142">
        <f t="shared" si="272"/>
        <v>0.5257659774</v>
      </c>
      <c r="K945" s="142">
        <f t="shared" si="272"/>
        <v>0.4971110067</v>
      </c>
      <c r="L945" s="142">
        <f t="shared" si="272"/>
        <v>0.4780216165</v>
      </c>
      <c r="M945" s="200">
        <f t="shared" si="272"/>
        <v>-1.321587824</v>
      </c>
      <c r="N945" s="200"/>
      <c r="O945" s="200"/>
      <c r="P945" s="200"/>
      <c r="Q945" s="200"/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58"/>
      <c r="M946" s="198"/>
      <c r="N946" s="198"/>
      <c r="O946" s="198"/>
      <c r="P946" s="19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L947" si="273">ROUNDUP(H941/H948,0)</f>
        <v>0</v>
      </c>
      <c r="I947" s="190">
        <f t="shared" si="273"/>
        <v>332</v>
      </c>
      <c r="J947" s="190">
        <f t="shared" si="273"/>
        <v>177</v>
      </c>
      <c r="K947" s="190">
        <f t="shared" si="273"/>
        <v>156</v>
      </c>
      <c r="L947" s="190">
        <f t="shared" si="273"/>
        <v>104</v>
      </c>
      <c r="M947" s="201">
        <f>SUM(H947:L947)</f>
        <v>769</v>
      </c>
      <c r="N947" s="201"/>
      <c r="O947" s="201"/>
      <c r="P947" s="201"/>
      <c r="Q947" s="201"/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56">
        <v>8800.0</v>
      </c>
      <c r="M948" s="198"/>
      <c r="N948" s="198"/>
      <c r="O948" s="198"/>
      <c r="P948" s="198"/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L949" si="274">SUM(H963,H966,H969,H972,H975)</f>
        <v>0</v>
      </c>
      <c r="I949" s="188">
        <f t="shared" si="274"/>
        <v>2920000</v>
      </c>
      <c r="J949" s="188">
        <f t="shared" si="274"/>
        <v>1556000</v>
      </c>
      <c r="K949" s="188">
        <f t="shared" si="274"/>
        <v>1372000</v>
      </c>
      <c r="L949" s="188">
        <f t="shared" si="274"/>
        <v>914000</v>
      </c>
      <c r="M949" s="196">
        <f>SUM(H949:L949)</f>
        <v>6762000</v>
      </c>
      <c r="N949" s="160"/>
      <c r="O949" s="160"/>
      <c r="P949" s="160"/>
      <c r="Q949" s="160"/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203">
        <v>0.6</v>
      </c>
      <c r="M950" s="198"/>
      <c r="N950" s="198"/>
      <c r="O950" s="198"/>
      <c r="P950" s="198"/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203">
        <v>0.4</v>
      </c>
      <c r="M951" s="198"/>
      <c r="N951" s="198"/>
      <c r="O951" s="198"/>
      <c r="P951" s="198"/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203">
        <v>0.0</v>
      </c>
      <c r="M952" s="198"/>
      <c r="N952" s="198"/>
      <c r="O952" s="198"/>
      <c r="P952" s="198"/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203">
        <v>0.0</v>
      </c>
      <c r="M953" s="198"/>
      <c r="N953" s="198"/>
      <c r="O953" s="198"/>
      <c r="P953" s="198"/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203">
        <v>0.0</v>
      </c>
      <c r="M954" s="198"/>
      <c r="N954" s="198"/>
      <c r="O954" s="198"/>
      <c r="P954" s="198"/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204">
        <v>8000.0</v>
      </c>
      <c r="M955" s="198"/>
      <c r="N955" s="198"/>
      <c r="O955" s="198"/>
      <c r="P955" s="198"/>
      <c r="Q955" s="198"/>
      <c r="R955" s="198"/>
      <c r="S955" s="198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204">
        <v>10000.0</v>
      </c>
      <c r="M956" s="198"/>
      <c r="N956" s="198"/>
      <c r="O956" s="198"/>
      <c r="P956" s="198"/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204">
        <v>0.0</v>
      </c>
      <c r="M957" s="198"/>
      <c r="N957" s="198"/>
      <c r="O957" s="198"/>
      <c r="P957" s="198"/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204">
        <v>0.0</v>
      </c>
      <c r="M958" s="198"/>
      <c r="N958" s="198"/>
      <c r="O958" s="198"/>
      <c r="P958" s="198"/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204">
        <v>0.0</v>
      </c>
      <c r="M959" s="198"/>
      <c r="N959" s="198"/>
      <c r="O959" s="198"/>
      <c r="P959" s="198"/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62">
        <f>IFERROR(__xludf.DUMMYFUNCTION("MATCH(
  MIN(FILTER(L955:L959,L955:L959&gt;0)),
  L955:L959,
  0
)
"),1.0)</f>
        <v>1</v>
      </c>
      <c r="M960" s="198"/>
      <c r="N960" s="198"/>
      <c r="O960" s="198"/>
      <c r="P960" s="198"/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48"/>
      <c r="M961" s="198"/>
      <c r="N961" s="198"/>
      <c r="O961" s="198"/>
      <c r="P961" s="19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L962" si="275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5"/>
        <v>200</v>
      </c>
      <c r="J962" s="148">
        <f t="shared" si="275"/>
        <v>107</v>
      </c>
      <c r="K962" s="148">
        <f t="shared" si="275"/>
        <v>94</v>
      </c>
      <c r="L962" s="148">
        <f t="shared" si="275"/>
        <v>63</v>
      </c>
      <c r="M962" s="198"/>
      <c r="N962" s="198"/>
      <c r="O962" s="198"/>
      <c r="P962" s="198"/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L963" si="276">(H962*H955)</f>
        <v>0</v>
      </c>
      <c r="I963" s="150">
        <f t="shared" si="276"/>
        <v>1600000</v>
      </c>
      <c r="J963" s="150">
        <f t="shared" si="276"/>
        <v>856000</v>
      </c>
      <c r="K963" s="150">
        <f t="shared" si="276"/>
        <v>752000</v>
      </c>
      <c r="L963" s="150">
        <f t="shared" si="276"/>
        <v>504000</v>
      </c>
      <c r="M963" s="198"/>
      <c r="N963" s="198"/>
      <c r="O963" s="198"/>
      <c r="P963" s="198"/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48"/>
      <c r="M964" s="198"/>
      <c r="N964" s="198"/>
      <c r="O964" s="198"/>
      <c r="P964" s="19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L965" si="277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7"/>
        <v>132</v>
      </c>
      <c r="J965" s="148">
        <f t="shared" si="277"/>
        <v>70</v>
      </c>
      <c r="K965" s="148">
        <f t="shared" si="277"/>
        <v>62</v>
      </c>
      <c r="L965" s="148">
        <f t="shared" si="277"/>
        <v>41</v>
      </c>
      <c r="M965" s="198"/>
      <c r="N965" s="198"/>
      <c r="O965" s="198"/>
      <c r="P965" s="198"/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L966" si="278">(H956*H965)</f>
        <v>0</v>
      </c>
      <c r="I966" s="150">
        <f t="shared" si="278"/>
        <v>1320000</v>
      </c>
      <c r="J966" s="150">
        <f t="shared" si="278"/>
        <v>700000</v>
      </c>
      <c r="K966" s="150">
        <f t="shared" si="278"/>
        <v>620000</v>
      </c>
      <c r="L966" s="150">
        <f t="shared" si="278"/>
        <v>410000</v>
      </c>
      <c r="M966" s="198"/>
      <c r="N966" s="198"/>
      <c r="O966" s="198"/>
      <c r="P966" s="198"/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48"/>
      <c r="M967" s="198"/>
      <c r="N967" s="198"/>
      <c r="O967" s="198"/>
      <c r="P967" s="19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L968" si="279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79"/>
        <v>0</v>
      </c>
      <c r="J968" s="148">
        <f t="shared" si="279"/>
        <v>0</v>
      </c>
      <c r="K968" s="148">
        <f t="shared" si="279"/>
        <v>0</v>
      </c>
      <c r="L968" s="148">
        <f t="shared" si="279"/>
        <v>0</v>
      </c>
      <c r="M968" s="198"/>
      <c r="N968" s="198"/>
      <c r="O968" s="198"/>
      <c r="P968" s="198"/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L969" si="280">(H957*H968)</f>
        <v>0</v>
      </c>
      <c r="I969" s="150">
        <f t="shared" si="280"/>
        <v>0</v>
      </c>
      <c r="J969" s="150">
        <f t="shared" si="280"/>
        <v>0</v>
      </c>
      <c r="K969" s="150">
        <f t="shared" si="280"/>
        <v>0</v>
      </c>
      <c r="L969" s="150">
        <f t="shared" si="280"/>
        <v>0</v>
      </c>
      <c r="M969" s="198"/>
      <c r="N969" s="198"/>
      <c r="O969" s="198"/>
      <c r="P969" s="198"/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48"/>
      <c r="M970" s="198"/>
      <c r="N970" s="198"/>
      <c r="O970" s="198"/>
      <c r="P970" s="19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L971" si="281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81"/>
        <v>0</v>
      </c>
      <c r="J971" s="148">
        <f t="shared" si="281"/>
        <v>0</v>
      </c>
      <c r="K971" s="148">
        <f t="shared" si="281"/>
        <v>0</v>
      </c>
      <c r="L971" s="148">
        <f t="shared" si="281"/>
        <v>0</v>
      </c>
      <c r="M971" s="198"/>
      <c r="N971" s="198"/>
      <c r="O971" s="198"/>
      <c r="P971" s="198"/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L972" si="282">(H958*H971)</f>
        <v>0</v>
      </c>
      <c r="I972" s="150">
        <f t="shared" si="282"/>
        <v>0</v>
      </c>
      <c r="J972" s="150">
        <f t="shared" si="282"/>
        <v>0</v>
      </c>
      <c r="K972" s="150">
        <f t="shared" si="282"/>
        <v>0</v>
      </c>
      <c r="L972" s="150">
        <f t="shared" si="282"/>
        <v>0</v>
      </c>
      <c r="M972" s="198"/>
      <c r="N972" s="198"/>
      <c r="O972" s="198"/>
      <c r="P972" s="198"/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48"/>
      <c r="M973" s="198"/>
      <c r="N973" s="198"/>
      <c r="O973" s="198"/>
      <c r="P973" s="19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L974" si="283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3"/>
        <v>0</v>
      </c>
      <c r="J974" s="148">
        <f t="shared" si="283"/>
        <v>0</v>
      </c>
      <c r="K974" s="148">
        <f t="shared" si="283"/>
        <v>0</v>
      </c>
      <c r="L974" s="148">
        <f t="shared" si="283"/>
        <v>0</v>
      </c>
      <c r="M974" s="198"/>
      <c r="N974" s="198"/>
      <c r="O974" s="198"/>
      <c r="P974" s="198"/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L975" si="284">(H959*H974)</f>
        <v>0</v>
      </c>
      <c r="I975" s="150">
        <f t="shared" si="284"/>
        <v>0</v>
      </c>
      <c r="J975" s="150">
        <f t="shared" si="284"/>
        <v>0</v>
      </c>
      <c r="K975" s="150">
        <f t="shared" si="284"/>
        <v>0</v>
      </c>
      <c r="L975" s="150">
        <f t="shared" si="284"/>
        <v>0</v>
      </c>
      <c r="M975" s="198"/>
      <c r="N975" s="198"/>
      <c r="O975" s="198"/>
      <c r="P975" s="198"/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60"/>
      <c r="M976" s="198"/>
      <c r="N976" s="198"/>
      <c r="O976" s="198"/>
      <c r="P976" s="198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251</v>
      </c>
      <c r="I978" s="206"/>
      <c r="J978" s="206"/>
      <c r="K978" s="206"/>
      <c r="L978" s="206"/>
      <c r="M978" s="198"/>
      <c r="N978" s="198"/>
      <c r="O978" s="198"/>
      <c r="P978" s="198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0.5102031873</v>
      </c>
      <c r="H979" s="149">
        <f>SUM($H$520)</f>
        <v>6403050</v>
      </c>
      <c r="I979" s="149"/>
      <c r="J979" s="149"/>
      <c r="K979" s="149"/>
      <c r="L979" s="149"/>
      <c r="M979" s="160"/>
      <c r="N979" s="160"/>
      <c r="O979" s="160"/>
      <c r="P979" s="160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56"/>
      <c r="M980" s="160"/>
      <c r="N980" s="160"/>
      <c r="O980" s="160"/>
      <c r="P980" s="160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12550000</v>
      </c>
      <c r="I981" s="149"/>
      <c r="J981" s="149"/>
      <c r="K981" s="149"/>
      <c r="L981" s="149"/>
      <c r="M981" s="160"/>
      <c r="N981" s="160"/>
      <c r="O981" s="160"/>
      <c r="P981" s="160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49"/>
      <c r="M982" s="160"/>
      <c r="N982" s="160"/>
      <c r="O982" s="160"/>
      <c r="P982" s="160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0.7653047809</v>
      </c>
      <c r="H983" s="219">
        <v>0.0</v>
      </c>
      <c r="I983" s="213">
        <v>0.32</v>
      </c>
      <c r="J983" s="213">
        <v>0.17</v>
      </c>
      <c r="K983" s="213">
        <v>0.15</v>
      </c>
      <c r="L983" s="213">
        <v>0.1</v>
      </c>
      <c r="M983" s="160"/>
      <c r="N983" s="160"/>
      <c r="O983" s="160"/>
      <c r="P983" s="160"/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9604575</v>
      </c>
      <c r="H984" s="19"/>
      <c r="I984" s="19"/>
      <c r="J984" s="19"/>
      <c r="K984" s="19"/>
      <c r="L984" s="19"/>
      <c r="M984" s="16"/>
      <c r="N984" s="16"/>
      <c r="O984" s="16"/>
      <c r="P984" s="16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6403050</v>
      </c>
      <c r="I985" s="149">
        <f t="shared" ref="I985:L985" si="285">H985+I994</f>
        <v>7431050</v>
      </c>
      <c r="J985" s="149">
        <f t="shared" si="285"/>
        <v>7977050</v>
      </c>
      <c r="K985" s="149">
        <f t="shared" si="285"/>
        <v>8459050</v>
      </c>
      <c r="L985" s="149">
        <f t="shared" si="285"/>
        <v>8783050</v>
      </c>
      <c r="M985" s="199">
        <f t="shared" ref="M985:M986" si="287">SUM(H985:L985)</f>
        <v>39053250</v>
      </c>
      <c r="N985" s="199"/>
      <c r="O985" s="199"/>
      <c r="P985" s="199"/>
      <c r="Q985" s="199"/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3201525</v>
      </c>
      <c r="H986" s="149">
        <f t="shared" ref="H986:L986" si="286">$G$986*H983</f>
        <v>0</v>
      </c>
      <c r="I986" s="149">
        <f t="shared" si="286"/>
        <v>1024488</v>
      </c>
      <c r="J986" s="149">
        <f t="shared" si="286"/>
        <v>544259.25</v>
      </c>
      <c r="K986" s="149">
        <f t="shared" si="286"/>
        <v>480228.75</v>
      </c>
      <c r="L986" s="149">
        <f t="shared" si="286"/>
        <v>320152.5</v>
      </c>
      <c r="M986" s="199">
        <f t="shared" si="287"/>
        <v>2369128.5</v>
      </c>
      <c r="N986" s="199"/>
      <c r="O986" s="199"/>
      <c r="P986" s="199"/>
      <c r="Q986" s="199"/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49"/>
      <c r="M987" s="160"/>
      <c r="N987" s="160"/>
      <c r="O987" s="160"/>
      <c r="P987" s="160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L988" si="288">$H$981-H985</f>
        <v>6146950</v>
      </c>
      <c r="I988" s="149">
        <f t="shared" si="288"/>
        <v>5118950</v>
      </c>
      <c r="J988" s="149">
        <f t="shared" si="288"/>
        <v>4572950</v>
      </c>
      <c r="K988" s="149">
        <f t="shared" si="288"/>
        <v>4090950</v>
      </c>
      <c r="L988" s="149">
        <f t="shared" si="288"/>
        <v>3766950</v>
      </c>
      <c r="M988" s="160"/>
      <c r="N988" s="160"/>
      <c r="O988" s="160"/>
      <c r="P988" s="160"/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L989" si="289">IFERROR(SUM(H994,H979)/$H$981,0)</f>
        <v>0.5102031873</v>
      </c>
      <c r="I989" s="142">
        <f t="shared" si="289"/>
        <v>0.0819123506</v>
      </c>
      <c r="J989" s="142">
        <f t="shared" si="289"/>
        <v>0.0435059761</v>
      </c>
      <c r="K989" s="142">
        <f t="shared" si="289"/>
        <v>0.0384063745</v>
      </c>
      <c r="L989" s="142">
        <f t="shared" si="289"/>
        <v>0.02581673307</v>
      </c>
      <c r="M989" s="200">
        <f>IFERROR(M985/$H$981,0)</f>
        <v>3.111812749</v>
      </c>
      <c r="N989" s="200"/>
      <c r="O989" s="200"/>
      <c r="P989" s="200"/>
      <c r="Q989" s="200"/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L990" si="290">IFERROR(1-(H979/$H$981),0)</f>
        <v>0.4897968127</v>
      </c>
      <c r="I990" s="216">
        <f t="shared" si="290"/>
        <v>1</v>
      </c>
      <c r="J990" s="216">
        <f t="shared" si="290"/>
        <v>1</v>
      </c>
      <c r="K990" s="216">
        <f t="shared" si="290"/>
        <v>1</v>
      </c>
      <c r="L990" s="216">
        <f t="shared" si="290"/>
        <v>1</v>
      </c>
      <c r="M990" s="200">
        <f>IFERROR(1-(M985/$H$981),0)</f>
        <v>-2.111812749</v>
      </c>
      <c r="N990" s="200"/>
      <c r="O990" s="200"/>
      <c r="P990" s="200"/>
      <c r="Q990" s="200"/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207"/>
      <c r="M991" s="198"/>
      <c r="N991" s="198"/>
      <c r="O991" s="198"/>
      <c r="P991" s="198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L992" si="291">ROUNDUP(H986/H993,0)</f>
        <v>0</v>
      </c>
      <c r="I992" s="190">
        <f t="shared" si="291"/>
        <v>143</v>
      </c>
      <c r="J992" s="190">
        <f t="shared" si="291"/>
        <v>76</v>
      </c>
      <c r="K992" s="190">
        <f t="shared" si="291"/>
        <v>67</v>
      </c>
      <c r="L992" s="190">
        <f t="shared" si="291"/>
        <v>45</v>
      </c>
      <c r="M992" s="201">
        <f>SUM(H992:L992)</f>
        <v>331</v>
      </c>
      <c r="N992" s="201"/>
      <c r="O992" s="201"/>
      <c r="P992" s="201"/>
      <c r="Q992" s="201"/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56">
        <v>7200.0</v>
      </c>
      <c r="M993" s="198"/>
      <c r="N993" s="198"/>
      <c r="O993" s="198"/>
      <c r="P993" s="198"/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L994" si="292">SUM(H1008,H1011,H1014,H1017,H1020)</f>
        <v>0</v>
      </c>
      <c r="I994" s="188">
        <f t="shared" si="292"/>
        <v>1028000</v>
      </c>
      <c r="J994" s="188">
        <f t="shared" si="292"/>
        <v>546000</v>
      </c>
      <c r="K994" s="188">
        <f t="shared" si="292"/>
        <v>482000</v>
      </c>
      <c r="L994" s="188">
        <f t="shared" si="292"/>
        <v>324000</v>
      </c>
      <c r="M994" s="196">
        <f>SUM(H994:L994)</f>
        <v>2380000</v>
      </c>
      <c r="N994" s="160"/>
      <c r="O994" s="160"/>
      <c r="P994" s="160"/>
      <c r="Q994" s="160"/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203">
        <v>0.6</v>
      </c>
      <c r="M995" s="198"/>
      <c r="N995" s="198"/>
      <c r="O995" s="198"/>
      <c r="P995" s="198"/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203">
        <v>0.4</v>
      </c>
      <c r="M996" s="198"/>
      <c r="N996" s="198"/>
      <c r="O996" s="198"/>
      <c r="P996" s="198"/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203">
        <v>0.0</v>
      </c>
      <c r="M997" s="198"/>
      <c r="N997" s="198"/>
      <c r="O997" s="198"/>
      <c r="P997" s="198"/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203">
        <v>0.0</v>
      </c>
      <c r="M998" s="198"/>
      <c r="N998" s="198"/>
      <c r="O998" s="198"/>
      <c r="P998" s="198"/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203">
        <v>0.0</v>
      </c>
      <c r="M999" s="198"/>
      <c r="N999" s="198"/>
      <c r="O999" s="198"/>
      <c r="P999" s="198"/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204">
        <v>8000.0</v>
      </c>
      <c r="M1000" s="225"/>
      <c r="N1000" s="225"/>
      <c r="O1000" s="225"/>
      <c r="P1000" s="225"/>
      <c r="Q1000" s="225"/>
      <c r="R1000" s="225"/>
      <c r="S1000" s="225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204">
        <v>6000.0</v>
      </c>
      <c r="M1001" s="198"/>
      <c r="N1001" s="198"/>
      <c r="O1001" s="198"/>
      <c r="P1001" s="198"/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204">
        <v>0.0</v>
      </c>
      <c r="M1002" s="198"/>
      <c r="N1002" s="198"/>
      <c r="O1002" s="198"/>
      <c r="P1002" s="198"/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204">
        <v>0.0</v>
      </c>
      <c r="M1003" s="198"/>
      <c r="N1003" s="198"/>
      <c r="O1003" s="198"/>
      <c r="P1003" s="198"/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204">
        <v>0.0</v>
      </c>
      <c r="M1004" s="198"/>
      <c r="N1004" s="198"/>
      <c r="O1004" s="198"/>
      <c r="P1004" s="198"/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62">
        <f>IFERROR(__xludf.DUMMYFUNCTION("MATCH(
  MIN(FILTER(L1000:L1004,L1000:L1004&gt;0)),
  L1000:L1004,
  0
)
"),2.0)</f>
        <v>2</v>
      </c>
      <c r="M1005" s="198"/>
      <c r="N1005" s="198"/>
      <c r="O1005" s="198"/>
      <c r="P1005" s="198"/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48"/>
      <c r="M1006" s="198"/>
      <c r="N1006" s="198"/>
      <c r="O1006" s="198"/>
      <c r="P1006" s="19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L1007" si="293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93"/>
        <v>85</v>
      </c>
      <c r="J1007" s="148">
        <f t="shared" si="293"/>
        <v>45</v>
      </c>
      <c r="K1007" s="148">
        <f t="shared" si="293"/>
        <v>40</v>
      </c>
      <c r="L1007" s="148">
        <f t="shared" si="293"/>
        <v>27</v>
      </c>
      <c r="M1007" s="198"/>
      <c r="N1007" s="198"/>
      <c r="O1007" s="198"/>
      <c r="P1007" s="198"/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L1008" si="294">(H1007*H1000)</f>
        <v>0</v>
      </c>
      <c r="I1008" s="150">
        <f t="shared" si="294"/>
        <v>680000</v>
      </c>
      <c r="J1008" s="150">
        <f t="shared" si="294"/>
        <v>360000</v>
      </c>
      <c r="K1008" s="150">
        <f t="shared" si="294"/>
        <v>320000</v>
      </c>
      <c r="L1008" s="150">
        <f t="shared" si="294"/>
        <v>216000</v>
      </c>
      <c r="M1008" s="198"/>
      <c r="N1008" s="198"/>
      <c r="O1008" s="198"/>
      <c r="P1008" s="198"/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48"/>
      <c r="M1009" s="198"/>
      <c r="N1009" s="198"/>
      <c r="O1009" s="198"/>
      <c r="P1009" s="19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L1010" si="295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5"/>
        <v>58</v>
      </c>
      <c r="J1010" s="148">
        <f t="shared" si="295"/>
        <v>31</v>
      </c>
      <c r="K1010" s="148">
        <f t="shared" si="295"/>
        <v>27</v>
      </c>
      <c r="L1010" s="148">
        <f t="shared" si="295"/>
        <v>18</v>
      </c>
      <c r="M1010" s="198"/>
      <c r="N1010" s="198"/>
      <c r="O1010" s="198"/>
      <c r="P1010" s="198"/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L1011" si="296">(H1001*H1010)</f>
        <v>0</v>
      </c>
      <c r="I1011" s="150">
        <f t="shared" si="296"/>
        <v>348000</v>
      </c>
      <c r="J1011" s="150">
        <f t="shared" si="296"/>
        <v>186000</v>
      </c>
      <c r="K1011" s="150">
        <f t="shared" si="296"/>
        <v>162000</v>
      </c>
      <c r="L1011" s="150">
        <f t="shared" si="296"/>
        <v>108000</v>
      </c>
      <c r="M1011" s="198"/>
      <c r="N1011" s="198"/>
      <c r="O1011" s="198"/>
      <c r="P1011" s="198"/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48"/>
      <c r="M1012" s="198"/>
      <c r="N1012" s="198"/>
      <c r="O1012" s="198"/>
      <c r="P1012" s="19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L1013" si="297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7"/>
        <v>0</v>
      </c>
      <c r="J1013" s="148">
        <f t="shared" si="297"/>
        <v>0</v>
      </c>
      <c r="K1013" s="148">
        <f t="shared" si="297"/>
        <v>0</v>
      </c>
      <c r="L1013" s="148">
        <f t="shared" si="297"/>
        <v>0</v>
      </c>
      <c r="M1013" s="198"/>
      <c r="N1013" s="198"/>
      <c r="O1013" s="198"/>
      <c r="P1013" s="198"/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L1014" si="298">(H1002*H1013)</f>
        <v>0</v>
      </c>
      <c r="I1014" s="150">
        <f t="shared" si="298"/>
        <v>0</v>
      </c>
      <c r="J1014" s="150">
        <f t="shared" si="298"/>
        <v>0</v>
      </c>
      <c r="K1014" s="150">
        <f t="shared" si="298"/>
        <v>0</v>
      </c>
      <c r="L1014" s="150">
        <f t="shared" si="298"/>
        <v>0</v>
      </c>
      <c r="M1014" s="198"/>
      <c r="N1014" s="198"/>
      <c r="O1014" s="198"/>
      <c r="P1014" s="198"/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48"/>
      <c r="M1015" s="198"/>
      <c r="N1015" s="198"/>
      <c r="O1015" s="198"/>
      <c r="P1015" s="19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L1016" si="299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299"/>
        <v>0</v>
      </c>
      <c r="J1016" s="148">
        <f t="shared" si="299"/>
        <v>0</v>
      </c>
      <c r="K1016" s="148">
        <f t="shared" si="299"/>
        <v>0</v>
      </c>
      <c r="L1016" s="148">
        <f t="shared" si="299"/>
        <v>0</v>
      </c>
      <c r="M1016" s="198"/>
      <c r="N1016" s="198"/>
      <c r="O1016" s="198"/>
      <c r="P1016" s="198"/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L1017" si="300">(H1003*H1016)</f>
        <v>0</v>
      </c>
      <c r="I1017" s="150">
        <f t="shared" si="300"/>
        <v>0</v>
      </c>
      <c r="J1017" s="150">
        <f t="shared" si="300"/>
        <v>0</v>
      </c>
      <c r="K1017" s="150">
        <f t="shared" si="300"/>
        <v>0</v>
      </c>
      <c r="L1017" s="150">
        <f t="shared" si="300"/>
        <v>0</v>
      </c>
      <c r="M1017" s="198"/>
      <c r="N1017" s="198"/>
      <c r="O1017" s="198"/>
      <c r="P1017" s="198"/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48"/>
      <c r="M1018" s="198"/>
      <c r="N1018" s="198"/>
      <c r="O1018" s="198"/>
      <c r="P1018" s="19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L1019" si="301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301"/>
        <v>0</v>
      </c>
      <c r="J1019" s="148">
        <f t="shared" si="301"/>
        <v>0</v>
      </c>
      <c r="K1019" s="148">
        <f t="shared" si="301"/>
        <v>0</v>
      </c>
      <c r="L1019" s="148">
        <f t="shared" si="301"/>
        <v>0</v>
      </c>
      <c r="M1019" s="198"/>
      <c r="N1019" s="198"/>
      <c r="O1019" s="198"/>
      <c r="P1019" s="198"/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L1020" si="302">(H1004*H1019)</f>
        <v>0</v>
      </c>
      <c r="I1020" s="150">
        <f t="shared" si="302"/>
        <v>0</v>
      </c>
      <c r="J1020" s="150">
        <f t="shared" si="302"/>
        <v>0</v>
      </c>
      <c r="K1020" s="150">
        <f t="shared" si="302"/>
        <v>0</v>
      </c>
      <c r="L1020" s="150">
        <f t="shared" si="302"/>
        <v>0</v>
      </c>
      <c r="M1020" s="198"/>
      <c r="N1020" s="198"/>
      <c r="O1020" s="198"/>
      <c r="P1020" s="198"/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60"/>
      <c r="M1021" s="198"/>
      <c r="N1021" s="198"/>
      <c r="O1021" s="198"/>
      <c r="P1021" s="198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"/>
      <c r="N1022" s="1"/>
      <c r="O1022" s="1"/>
      <c r="P1022" s="1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78"/>
      <c r="M1023" s="1"/>
      <c r="N1023" s="1"/>
      <c r="O1023" s="1"/>
      <c r="P1023" s="1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L1024" si="303">SUM(H1027,H1064,H1081,)</f>
        <v>48912500</v>
      </c>
      <c r="I1024" s="173">
        <f t="shared" si="303"/>
        <v>8611600</v>
      </c>
      <c r="J1024" s="173">
        <f t="shared" si="303"/>
        <v>5577560</v>
      </c>
      <c r="K1024" s="173">
        <f t="shared" si="303"/>
        <v>4323516</v>
      </c>
      <c r="L1024" s="173">
        <f t="shared" si="303"/>
        <v>2892307.6</v>
      </c>
      <c r="M1024" s="223">
        <f>SUM(H1024:L1024)</f>
        <v>70317483.6</v>
      </c>
      <c r="N1024" s="223"/>
      <c r="O1024" s="223"/>
      <c r="P1024" s="223"/>
      <c r="Q1024" s="223"/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63"/>
      <c r="M1025" s="1"/>
      <c r="N1025" s="1"/>
      <c r="O1025" s="1"/>
      <c r="P1025" s="1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63"/>
      <c r="M1026" s="1"/>
      <c r="N1026" s="1"/>
      <c r="O1026" s="1"/>
      <c r="P1026" s="1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L1027" si="304">SUM(H1029,H1036,H1043,H1050,H1057,)</f>
        <v>48876500</v>
      </c>
      <c r="I1027" s="178">
        <f t="shared" si="304"/>
        <v>0</v>
      </c>
      <c r="J1027" s="178">
        <f t="shared" si="304"/>
        <v>0</v>
      </c>
      <c r="K1027" s="178">
        <f t="shared" si="304"/>
        <v>0</v>
      </c>
      <c r="L1027" s="178">
        <f t="shared" si="304"/>
        <v>0</v>
      </c>
      <c r="M1027" s="223">
        <f>SUM(H1027:L1027)</f>
        <v>48876500</v>
      </c>
      <c r="N1027" s="223"/>
      <c r="O1027" s="223"/>
      <c r="P1027" s="223"/>
      <c r="Q1027" s="223"/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178"/>
      <c r="M1028" s="223"/>
      <c r="N1028" s="223"/>
      <c r="O1028" s="223"/>
      <c r="P1028" s="223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L1029" si="305">SUM(H1030:H1034)</f>
        <v>3373000</v>
      </c>
      <c r="I1029" s="178">
        <f t="shared" si="305"/>
        <v>0</v>
      </c>
      <c r="J1029" s="178">
        <f t="shared" si="305"/>
        <v>0</v>
      </c>
      <c r="K1029" s="178">
        <f t="shared" si="305"/>
        <v>0</v>
      </c>
      <c r="L1029" s="178">
        <f t="shared" si="305"/>
        <v>0</v>
      </c>
      <c r="M1029" s="1"/>
      <c r="N1029" s="1"/>
      <c r="O1029" s="1"/>
      <c r="P1029" s="1"/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2200000</v>
      </c>
      <c r="I1030" s="178" t="str">
        <f t="shared" ref="I1030:L1030" si="306">I428</f>
        <v/>
      </c>
      <c r="J1030" s="178" t="str">
        <f t="shared" si="306"/>
        <v/>
      </c>
      <c r="K1030" s="178" t="str">
        <f t="shared" si="306"/>
        <v/>
      </c>
      <c r="L1030" s="178" t="str">
        <f t="shared" si="306"/>
        <v/>
      </c>
      <c r="M1030" s="1"/>
      <c r="N1030" s="1"/>
      <c r="O1030" s="1"/>
      <c r="P1030" s="1"/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158000</v>
      </c>
      <c r="I1031" s="178" t="str">
        <f t="shared" ref="I1031:L1031" si="307">I430</f>
        <v/>
      </c>
      <c r="J1031" s="178" t="str">
        <f t="shared" si="307"/>
        <v/>
      </c>
      <c r="K1031" s="178" t="str">
        <f t="shared" si="307"/>
        <v/>
      </c>
      <c r="L1031" s="178" t="str">
        <f t="shared" si="307"/>
        <v/>
      </c>
      <c r="M1031" s="1"/>
      <c r="N1031" s="1"/>
      <c r="O1031" s="1"/>
      <c r="P1031" s="1"/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L1032" si="308">I432</f>
        <v/>
      </c>
      <c r="J1032" s="178" t="str">
        <f t="shared" si="308"/>
        <v/>
      </c>
      <c r="K1032" s="178" t="str">
        <f t="shared" si="308"/>
        <v/>
      </c>
      <c r="L1032" s="178" t="str">
        <f t="shared" si="308"/>
        <v/>
      </c>
      <c r="M1032" s="1"/>
      <c r="N1032" s="1"/>
      <c r="O1032" s="1"/>
      <c r="P1032" s="1"/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1015000</v>
      </c>
      <c r="I1033" s="178" t="str">
        <f t="shared" ref="I1033:L1033" si="309">I434</f>
        <v/>
      </c>
      <c r="J1033" s="178" t="str">
        <f t="shared" si="309"/>
        <v/>
      </c>
      <c r="K1033" s="178" t="str">
        <f t="shared" si="309"/>
        <v/>
      </c>
      <c r="L1033" s="178" t="str">
        <f t="shared" si="309"/>
        <v/>
      </c>
      <c r="M1033" s="1"/>
      <c r="N1033" s="1"/>
      <c r="O1033" s="1"/>
      <c r="P1033" s="1"/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L1034" si="310">I436</f>
        <v/>
      </c>
      <c r="J1034" s="178" t="str">
        <f t="shared" si="310"/>
        <v/>
      </c>
      <c r="K1034" s="178" t="str">
        <f t="shared" si="310"/>
        <v/>
      </c>
      <c r="L1034" s="178" t="str">
        <f t="shared" si="310"/>
        <v/>
      </c>
      <c r="M1034" s="1"/>
      <c r="N1034" s="1"/>
      <c r="O1034" s="1"/>
      <c r="P1034" s="1"/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78"/>
      <c r="M1035" s="1"/>
      <c r="N1035" s="1"/>
      <c r="O1035" s="1"/>
      <c r="P1035" s="1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L1036" si="311">SUM(H1037:H1041)</f>
        <v>3498000</v>
      </c>
      <c r="I1036" s="178">
        <f t="shared" si="311"/>
        <v>0</v>
      </c>
      <c r="J1036" s="178">
        <f t="shared" si="311"/>
        <v>0</v>
      </c>
      <c r="K1036" s="178">
        <f t="shared" si="311"/>
        <v>0</v>
      </c>
      <c r="L1036" s="178">
        <f t="shared" si="311"/>
        <v>0</v>
      </c>
      <c r="M1036" s="1"/>
      <c r="N1036" s="1"/>
      <c r="O1036" s="1"/>
      <c r="P1036" s="1"/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2400000</v>
      </c>
      <c r="I1037" s="178" t="str">
        <f t="shared" ref="I1037:L1037" si="312">I454</f>
        <v/>
      </c>
      <c r="J1037" s="178" t="str">
        <f t="shared" si="312"/>
        <v/>
      </c>
      <c r="K1037" s="178" t="str">
        <f t="shared" si="312"/>
        <v/>
      </c>
      <c r="L1037" s="178" t="str">
        <f t="shared" si="312"/>
        <v/>
      </c>
      <c r="M1037" s="1"/>
      <c r="N1037" s="1"/>
      <c r="O1037" s="1"/>
      <c r="P1037" s="1"/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108000</v>
      </c>
      <c r="I1038" s="178" t="str">
        <f t="shared" ref="I1038:L1038" si="313">I456</f>
        <v/>
      </c>
      <c r="J1038" s="178" t="str">
        <f t="shared" si="313"/>
        <v/>
      </c>
      <c r="K1038" s="178" t="str">
        <f t="shared" si="313"/>
        <v/>
      </c>
      <c r="L1038" s="178" t="str">
        <f t="shared" si="313"/>
        <v/>
      </c>
      <c r="M1038" s="1"/>
      <c r="N1038" s="1"/>
      <c r="O1038" s="1"/>
      <c r="P1038" s="1"/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L1039" si="314">I458</f>
        <v/>
      </c>
      <c r="J1039" s="178" t="str">
        <f t="shared" si="314"/>
        <v/>
      </c>
      <c r="K1039" s="178" t="str">
        <f t="shared" si="314"/>
        <v/>
      </c>
      <c r="L1039" s="178" t="str">
        <f t="shared" si="314"/>
        <v/>
      </c>
      <c r="M1039" s="1"/>
      <c r="N1039" s="1"/>
      <c r="O1039" s="1"/>
      <c r="P1039" s="1"/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990000</v>
      </c>
      <c r="I1040" s="178" t="str">
        <f t="shared" ref="I1040:L1040" si="315">I460</f>
        <v/>
      </c>
      <c r="J1040" s="178" t="str">
        <f t="shared" si="315"/>
        <v/>
      </c>
      <c r="K1040" s="178" t="str">
        <f t="shared" si="315"/>
        <v/>
      </c>
      <c r="L1040" s="178" t="str">
        <f t="shared" si="315"/>
        <v/>
      </c>
      <c r="M1040" s="1"/>
      <c r="N1040" s="1"/>
      <c r="O1040" s="1"/>
      <c r="P1040" s="1"/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L1041" si="316">I462</f>
        <v/>
      </c>
      <c r="J1041" s="178" t="str">
        <f t="shared" si="316"/>
        <v/>
      </c>
      <c r="K1041" s="178" t="str">
        <f t="shared" si="316"/>
        <v/>
      </c>
      <c r="L1041" s="178" t="str">
        <f t="shared" si="316"/>
        <v/>
      </c>
      <c r="M1041" s="1"/>
      <c r="N1041" s="1"/>
      <c r="O1041" s="1"/>
      <c r="P1041" s="1"/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78"/>
      <c r="M1042" s="1"/>
      <c r="N1042" s="1"/>
      <c r="O1042" s="1"/>
      <c r="P1042" s="1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L1043" si="317">SUM(H1044:H1048)</f>
        <v>15518000</v>
      </c>
      <c r="I1043" s="178">
        <f t="shared" si="317"/>
        <v>0</v>
      </c>
      <c r="J1043" s="178">
        <f t="shared" si="317"/>
        <v>0</v>
      </c>
      <c r="K1043" s="178">
        <f t="shared" si="317"/>
        <v>0</v>
      </c>
      <c r="L1043" s="178">
        <f t="shared" si="317"/>
        <v>0</v>
      </c>
      <c r="M1043" s="1"/>
      <c r="N1043" s="1"/>
      <c r="O1043" s="1"/>
      <c r="P1043" s="1"/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11600000</v>
      </c>
      <c r="I1044" s="178"/>
      <c r="J1044" s="178"/>
      <c r="K1044" s="178"/>
      <c r="L1044" s="178"/>
      <c r="M1044" s="1"/>
      <c r="N1044" s="1"/>
      <c r="O1044" s="1"/>
      <c r="P1044" s="1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390000</v>
      </c>
      <c r="I1045" s="178"/>
      <c r="J1045" s="178"/>
      <c r="K1045" s="178"/>
      <c r="L1045" s="178"/>
      <c r="M1045" s="1"/>
      <c r="N1045" s="1"/>
      <c r="O1045" s="1"/>
      <c r="P1045" s="1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78"/>
      <c r="M1046" s="1"/>
      <c r="N1046" s="1"/>
      <c r="O1046" s="1"/>
      <c r="P1046" s="1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3528000</v>
      </c>
      <c r="I1047" s="178"/>
      <c r="J1047" s="178"/>
      <c r="K1047" s="178"/>
      <c r="L1047" s="178"/>
      <c r="M1047" s="1"/>
      <c r="N1047" s="1"/>
      <c r="O1047" s="1"/>
      <c r="P1047" s="1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78"/>
      <c r="M1048" s="1"/>
      <c r="N1048" s="1"/>
      <c r="O1048" s="1"/>
      <c r="P1048" s="1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78"/>
      <c r="M1049" s="1"/>
      <c r="N1049" s="1"/>
      <c r="O1049" s="1"/>
      <c r="P1049" s="1"/>
      <c r="Q1049" s="1"/>
      <c r="R1049" s="1"/>
      <c r="S1049" s="1"/>
    </row>
    <row r="1050" collapsed="1">
      <c r="A1050" s="1"/>
      <c r="B1050" s="1"/>
      <c r="C1050" s="1"/>
      <c r="D1050" s="1"/>
      <c r="E1050" s="13" t="s">
        <v>49</v>
      </c>
      <c r="G1050" s="178"/>
      <c r="H1050" s="188">
        <f t="shared" ref="H1050:L1050" si="318">SUM(H1051:H1055)</f>
        <v>19602500</v>
      </c>
      <c r="I1050" s="178">
        <f t="shared" si="318"/>
        <v>0</v>
      </c>
      <c r="J1050" s="178">
        <f t="shared" si="318"/>
        <v>0</v>
      </c>
      <c r="K1050" s="178">
        <f t="shared" si="318"/>
        <v>0</v>
      </c>
      <c r="L1050" s="178">
        <f t="shared" si="318"/>
        <v>0</v>
      </c>
      <c r="M1050" s="1"/>
      <c r="N1050" s="1"/>
      <c r="O1050" s="1"/>
      <c r="P1050" s="1"/>
      <c r="Q1050" s="1"/>
      <c r="R1050" s="1"/>
      <c r="S1050" s="1"/>
    </row>
    <row r="1051" hidden="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18280000</v>
      </c>
      <c r="I1051" s="178"/>
      <c r="J1051" s="178"/>
      <c r="K1051" s="178"/>
      <c r="L1051" s="178"/>
      <c r="M1051" s="1"/>
      <c r="N1051" s="1"/>
      <c r="O1051" s="1"/>
      <c r="P1051" s="1"/>
      <c r="Q1051" s="1"/>
      <c r="R1051" s="1"/>
      <c r="S1051" s="1"/>
    </row>
    <row r="1052" hidden="1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1322500</v>
      </c>
      <c r="I1052" s="178"/>
      <c r="J1052" s="178"/>
      <c r="K1052" s="178"/>
      <c r="L1052" s="178"/>
      <c r="M1052" s="1"/>
      <c r="N1052" s="1"/>
      <c r="O1052" s="1"/>
      <c r="P1052" s="1"/>
      <c r="Q1052" s="1"/>
      <c r="R1052" s="1"/>
      <c r="S1052" s="1"/>
    </row>
    <row r="1053" hidden="1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78"/>
      <c r="M1053" s="1"/>
      <c r="N1053" s="1"/>
      <c r="O1053" s="1"/>
      <c r="P1053" s="1"/>
      <c r="Q1053" s="1"/>
      <c r="R1053" s="1"/>
      <c r="S1053" s="1"/>
    </row>
    <row r="1054" hidden="1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78"/>
      <c r="M1054" s="1"/>
      <c r="N1054" s="1"/>
      <c r="O1054" s="1"/>
      <c r="P1054" s="1"/>
      <c r="Q1054" s="1"/>
      <c r="R1054" s="1"/>
      <c r="S1054" s="1"/>
    </row>
    <row r="1055" hidden="1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78"/>
      <c r="M1055" s="1"/>
      <c r="N1055" s="1"/>
      <c r="O1055" s="1"/>
      <c r="P1055" s="1"/>
      <c r="Q1055" s="1"/>
      <c r="R1055" s="1"/>
      <c r="S1055" s="1"/>
    </row>
    <row r="1056" hidden="1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78"/>
      <c r="M1056" s="1"/>
      <c r="N1056" s="1"/>
      <c r="O1056" s="1"/>
      <c r="P1056" s="1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L1057" si="319">SUM(H1058:H1062)</f>
        <v>6885000</v>
      </c>
      <c r="I1057" s="178">
        <f t="shared" si="319"/>
        <v>0</v>
      </c>
      <c r="J1057" s="178">
        <f t="shared" si="319"/>
        <v>0</v>
      </c>
      <c r="K1057" s="178">
        <f t="shared" si="319"/>
        <v>0</v>
      </c>
      <c r="L1057" s="178">
        <f t="shared" si="319"/>
        <v>0</v>
      </c>
      <c r="M1057" s="1"/>
      <c r="N1057" s="1"/>
      <c r="O1057" s="1"/>
      <c r="P1057" s="1"/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6480000</v>
      </c>
      <c r="I1058" s="178"/>
      <c r="J1058" s="178"/>
      <c r="K1058" s="178"/>
      <c r="L1058" s="178"/>
      <c r="M1058" s="1"/>
      <c r="N1058" s="1"/>
      <c r="O1058" s="1"/>
      <c r="P1058" s="1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405000</v>
      </c>
      <c r="I1059" s="178"/>
      <c r="J1059" s="178"/>
      <c r="K1059" s="178"/>
      <c r="L1059" s="178"/>
      <c r="M1059" s="1"/>
      <c r="N1059" s="1"/>
      <c r="O1059" s="1"/>
      <c r="P1059" s="1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78"/>
      <c r="M1060" s="1"/>
      <c r="N1060" s="1"/>
      <c r="O1060" s="1"/>
      <c r="P1060" s="1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78"/>
      <c r="M1061" s="1"/>
      <c r="N1061" s="1"/>
      <c r="O1061" s="1"/>
      <c r="P1061" s="1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78"/>
      <c r="M1062" s="1"/>
      <c r="N1062" s="1"/>
      <c r="O1062" s="1"/>
      <c r="P1062" s="1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78"/>
      <c r="M1063" s="1"/>
      <c r="N1063" s="1"/>
      <c r="O1063" s="1"/>
      <c r="P1063" s="1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L1064" si="320">SUM(H1066,H1071,H1076,)</f>
        <v>36000</v>
      </c>
      <c r="I1064" s="178">
        <f t="shared" si="320"/>
        <v>39600</v>
      </c>
      <c r="J1064" s="178">
        <f t="shared" si="320"/>
        <v>43560</v>
      </c>
      <c r="K1064" s="178">
        <f t="shared" si="320"/>
        <v>297516</v>
      </c>
      <c r="L1064" s="178">
        <f t="shared" si="320"/>
        <v>206307.6</v>
      </c>
      <c r="M1064" s="223">
        <f>SUM(H1064:L1064)</f>
        <v>622983.6</v>
      </c>
      <c r="N1064" s="223"/>
      <c r="O1064" s="223"/>
      <c r="P1064" s="223"/>
      <c r="Q1064" s="223"/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178"/>
      <c r="M1065" s="223"/>
      <c r="N1065" s="223"/>
      <c r="O1065" s="223"/>
      <c r="P1065" s="223"/>
      <c r="Q1065" s="223"/>
      <c r="R1065" s="223"/>
      <c r="S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L1066" si="321">SUM(H1067:H1069)</f>
        <v>13500</v>
      </c>
      <c r="I1066" s="178">
        <f t="shared" si="321"/>
        <v>14850</v>
      </c>
      <c r="J1066" s="178">
        <f t="shared" si="321"/>
        <v>16335</v>
      </c>
      <c r="K1066" s="178">
        <f t="shared" si="321"/>
        <v>17968.5</v>
      </c>
      <c r="L1066" s="178">
        <f t="shared" si="321"/>
        <v>19765.35</v>
      </c>
      <c r="M1066" s="1"/>
      <c r="N1066" s="1"/>
      <c r="O1066" s="1"/>
      <c r="P1066" s="1"/>
      <c r="Q1066" s="1"/>
      <c r="R1066" s="1"/>
      <c r="S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L1067" si="322">H571</f>
        <v>0</v>
      </c>
      <c r="I1067" s="178">
        <f t="shared" si="322"/>
        <v>0</v>
      </c>
      <c r="J1067" s="178">
        <f t="shared" si="322"/>
        <v>0</v>
      </c>
      <c r="K1067" s="178">
        <f t="shared" si="322"/>
        <v>0</v>
      </c>
      <c r="L1067" s="178">
        <f t="shared" si="322"/>
        <v>0</v>
      </c>
      <c r="M1067" s="1"/>
      <c r="N1067" s="1"/>
      <c r="O1067" s="1"/>
      <c r="P1067" s="1"/>
      <c r="Q1067" s="1"/>
      <c r="R1067" s="1"/>
      <c r="S1067" s="1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L1068" si="323">H605</f>
        <v>0</v>
      </c>
      <c r="I1068" s="178">
        <f t="shared" si="323"/>
        <v>0</v>
      </c>
      <c r="J1068" s="178">
        <f t="shared" si="323"/>
        <v>0</v>
      </c>
      <c r="K1068" s="178">
        <f t="shared" si="323"/>
        <v>0</v>
      </c>
      <c r="L1068" s="178">
        <f t="shared" si="323"/>
        <v>0</v>
      </c>
      <c r="M1068" s="1"/>
      <c r="N1068" s="1"/>
      <c r="O1068" s="1"/>
      <c r="P1068" s="1"/>
      <c r="Q1068" s="1"/>
      <c r="R1068" s="1"/>
      <c r="S1068" s="1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L1069" si="324">H624</f>
        <v>13500</v>
      </c>
      <c r="I1069" s="178">
        <f t="shared" si="324"/>
        <v>14850</v>
      </c>
      <c r="J1069" s="178">
        <f t="shared" si="324"/>
        <v>16335</v>
      </c>
      <c r="K1069" s="178">
        <f t="shared" si="324"/>
        <v>17968.5</v>
      </c>
      <c r="L1069" s="178">
        <f t="shared" si="324"/>
        <v>19765.35</v>
      </c>
      <c r="M1069" s="1"/>
      <c r="N1069" s="1"/>
      <c r="O1069" s="1"/>
      <c r="P1069" s="1"/>
      <c r="Q1069" s="1"/>
      <c r="R1069" s="1"/>
      <c r="S1069" s="1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78"/>
      <c r="M1070" s="1"/>
      <c r="N1070" s="1"/>
      <c r="O1070" s="1"/>
      <c r="P1070" s="1"/>
      <c r="Q1070" s="1"/>
      <c r="R1070" s="1"/>
      <c r="S1070" s="1"/>
    </row>
    <row r="1071" collapsed="1">
      <c r="A1071" s="1"/>
      <c r="B1071" s="1"/>
      <c r="C1071" s="1"/>
      <c r="D1071" s="1"/>
      <c r="E1071" s="13" t="s">
        <v>47</v>
      </c>
      <c r="G1071" s="178"/>
      <c r="H1071" s="178">
        <f t="shared" ref="H1071:L1071" si="325">SUM(H1072:H1074)</f>
        <v>22500</v>
      </c>
      <c r="I1071" s="178">
        <f t="shared" si="325"/>
        <v>24750</v>
      </c>
      <c r="J1071" s="178">
        <f t="shared" si="325"/>
        <v>27225</v>
      </c>
      <c r="K1071" s="178">
        <f t="shared" si="325"/>
        <v>29947.5</v>
      </c>
      <c r="L1071" s="178">
        <f t="shared" si="325"/>
        <v>52142.25</v>
      </c>
      <c r="M1071" s="1"/>
      <c r="N1071" s="1"/>
      <c r="O1071" s="1"/>
      <c r="P1071" s="1"/>
      <c r="Q1071" s="1"/>
      <c r="R1071" s="1"/>
      <c r="S1071" s="1"/>
    </row>
    <row r="1072" hidden="1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L1072" si="326">H646</f>
        <v>0</v>
      </c>
      <c r="I1072" s="178">
        <f t="shared" si="326"/>
        <v>0</v>
      </c>
      <c r="J1072" s="178">
        <f t="shared" si="326"/>
        <v>0</v>
      </c>
      <c r="K1072" s="178">
        <f t="shared" si="326"/>
        <v>0</v>
      </c>
      <c r="L1072" s="178">
        <f t="shared" si="326"/>
        <v>19200</v>
      </c>
      <c r="M1072" s="1"/>
      <c r="N1072" s="1"/>
      <c r="O1072" s="1"/>
      <c r="P1072" s="1"/>
      <c r="Q1072" s="1"/>
      <c r="R1072" s="1"/>
      <c r="S1072" s="1"/>
    </row>
    <row r="1073" hidden="1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L1073" si="327">H679</f>
        <v>0</v>
      </c>
      <c r="I1073" s="178">
        <f t="shared" si="327"/>
        <v>0</v>
      </c>
      <c r="J1073" s="178">
        <f t="shared" si="327"/>
        <v>0</v>
      </c>
      <c r="K1073" s="178">
        <f t="shared" si="327"/>
        <v>0</v>
      </c>
      <c r="L1073" s="178">
        <f t="shared" si="327"/>
        <v>0</v>
      </c>
      <c r="M1073" s="1"/>
      <c r="N1073" s="1"/>
      <c r="O1073" s="1"/>
      <c r="P1073" s="1"/>
      <c r="Q1073" s="1"/>
      <c r="R1073" s="1"/>
      <c r="S1073" s="1"/>
    </row>
    <row r="1074" hidden="1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L1074" si="328">H698</f>
        <v>22500</v>
      </c>
      <c r="I1074" s="178">
        <f t="shared" si="328"/>
        <v>24750</v>
      </c>
      <c r="J1074" s="178">
        <f t="shared" si="328"/>
        <v>27225</v>
      </c>
      <c r="K1074" s="178">
        <f t="shared" si="328"/>
        <v>29947.5</v>
      </c>
      <c r="L1074" s="178">
        <f t="shared" si="328"/>
        <v>32942.25</v>
      </c>
      <c r="M1074" s="1"/>
      <c r="N1074" s="1"/>
      <c r="O1074" s="1"/>
      <c r="P1074" s="1"/>
      <c r="Q1074" s="1"/>
      <c r="R1074" s="1"/>
      <c r="S1074" s="1"/>
    </row>
    <row r="1075" hidden="1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78"/>
      <c r="M1075" s="1"/>
      <c r="N1075" s="1"/>
      <c r="O1075" s="1"/>
      <c r="P1075" s="1"/>
      <c r="Q1075" s="1"/>
      <c r="R1075" s="1"/>
      <c r="S1075" s="1"/>
    </row>
    <row r="1076" collapsed="1">
      <c r="A1076" s="1"/>
      <c r="B1076" s="1"/>
      <c r="C1076" s="1"/>
      <c r="D1076" s="1"/>
      <c r="E1076" s="13" t="s">
        <v>48</v>
      </c>
      <c r="G1076" s="178"/>
      <c r="H1076" s="178">
        <f t="shared" ref="H1076:L1076" si="329">SUM(H1077:H1079)</f>
        <v>0</v>
      </c>
      <c r="I1076" s="178">
        <f t="shared" si="329"/>
        <v>0</v>
      </c>
      <c r="J1076" s="178">
        <f t="shared" si="329"/>
        <v>0</v>
      </c>
      <c r="K1076" s="178">
        <f t="shared" si="329"/>
        <v>249600</v>
      </c>
      <c r="L1076" s="178">
        <f t="shared" si="329"/>
        <v>134400</v>
      </c>
      <c r="M1076" s="1"/>
      <c r="N1076" s="1"/>
      <c r="O1076" s="1"/>
      <c r="P1076" s="1"/>
      <c r="Q1076" s="1"/>
      <c r="R1076" s="1"/>
      <c r="S1076" s="1"/>
    </row>
    <row r="1077" hidden="1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L1077" si="330">H720</f>
        <v>0</v>
      </c>
      <c r="I1077" s="178">
        <f t="shared" si="330"/>
        <v>0</v>
      </c>
      <c r="J1077" s="178">
        <f t="shared" si="330"/>
        <v>0</v>
      </c>
      <c r="K1077" s="178">
        <f t="shared" si="330"/>
        <v>249600</v>
      </c>
      <c r="L1077" s="178">
        <f t="shared" si="330"/>
        <v>134400</v>
      </c>
      <c r="M1077" s="1"/>
      <c r="N1077" s="1"/>
      <c r="O1077" s="1"/>
      <c r="P1077" s="1"/>
      <c r="Q1077" s="1"/>
      <c r="R1077" s="1"/>
      <c r="S1077" s="1"/>
    </row>
    <row r="1078" hidden="1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L1078" si="331">H754</f>
        <v>0</v>
      </c>
      <c r="I1078" s="178">
        <f t="shared" si="331"/>
        <v>0</v>
      </c>
      <c r="J1078" s="178">
        <f t="shared" si="331"/>
        <v>0</v>
      </c>
      <c r="K1078" s="178">
        <f t="shared" si="331"/>
        <v>0</v>
      </c>
      <c r="L1078" s="178">
        <f t="shared" si="331"/>
        <v>0</v>
      </c>
      <c r="M1078" s="1"/>
      <c r="N1078" s="1"/>
      <c r="O1078" s="1"/>
      <c r="P1078" s="1"/>
      <c r="Q1078" s="1"/>
      <c r="R1078" s="1"/>
      <c r="S1078" s="1"/>
    </row>
    <row r="1079" hidden="1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L1079" si="332">H774</f>
        <v>0</v>
      </c>
      <c r="I1079" s="178">
        <f t="shared" si="332"/>
        <v>0</v>
      </c>
      <c r="J1079" s="178">
        <f t="shared" si="332"/>
        <v>0</v>
      </c>
      <c r="K1079" s="178">
        <f t="shared" si="332"/>
        <v>0</v>
      </c>
      <c r="L1079" s="178">
        <f t="shared" si="332"/>
        <v>0</v>
      </c>
      <c r="M1079" s="1"/>
      <c r="N1079" s="1"/>
      <c r="O1079" s="1"/>
      <c r="P1079" s="1"/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78"/>
      <c r="M1080" s="1"/>
      <c r="N1080" s="1"/>
      <c r="O1080" s="1"/>
      <c r="P1080" s="1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L1081" si="333">SUM(H1083,H1090,H1097,H1104,H1111,)</f>
        <v>0</v>
      </c>
      <c r="I1081" s="178">
        <f t="shared" si="333"/>
        <v>8572000</v>
      </c>
      <c r="J1081" s="178">
        <f t="shared" si="333"/>
        <v>5534000</v>
      </c>
      <c r="K1081" s="178">
        <f t="shared" si="333"/>
        <v>4026000</v>
      </c>
      <c r="L1081" s="178">
        <f t="shared" si="333"/>
        <v>2686000</v>
      </c>
      <c r="M1081" s="223">
        <f>SUM(H1081:L1081)</f>
        <v>20818000</v>
      </c>
      <c r="N1081" s="223"/>
      <c r="O1081" s="223"/>
      <c r="P1081" s="223"/>
      <c r="Q1081" s="223"/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178"/>
      <c r="M1082" s="223"/>
      <c r="N1082" s="223"/>
      <c r="O1082" s="223"/>
      <c r="P1082" s="223"/>
      <c r="Q1082" s="223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L1083" si="334">SUM(H1084:H1088)</f>
        <v>0</v>
      </c>
      <c r="I1083" s="178">
        <f t="shared" si="334"/>
        <v>0</v>
      </c>
      <c r="J1083" s="178">
        <f t="shared" si="334"/>
        <v>320000</v>
      </c>
      <c r="K1083" s="178">
        <f t="shared" si="334"/>
        <v>0</v>
      </c>
      <c r="L1083" s="178">
        <f t="shared" si="334"/>
        <v>0</v>
      </c>
      <c r="M1083" s="1"/>
      <c r="N1083" s="1"/>
      <c r="O1083" s="1"/>
      <c r="P1083" s="1"/>
      <c r="Q1083" s="1"/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L1084" si="335">H827</f>
        <v>0</v>
      </c>
      <c r="I1084" s="179">
        <f t="shared" si="335"/>
        <v>0</v>
      </c>
      <c r="J1084" s="179">
        <f t="shared" si="335"/>
        <v>280000</v>
      </c>
      <c r="K1084" s="179">
        <f t="shared" si="335"/>
        <v>0</v>
      </c>
      <c r="L1084" s="179">
        <f t="shared" si="335"/>
        <v>0</v>
      </c>
      <c r="M1084" s="1"/>
      <c r="N1084" s="1"/>
      <c r="O1084" s="1"/>
      <c r="P1084" s="1"/>
      <c r="Q1084" s="1"/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L1085" si="336">H830</f>
        <v>0</v>
      </c>
      <c r="I1085" s="179">
        <f t="shared" si="336"/>
        <v>0</v>
      </c>
      <c r="J1085" s="179">
        <f t="shared" si="336"/>
        <v>40000</v>
      </c>
      <c r="K1085" s="179">
        <f t="shared" si="336"/>
        <v>0</v>
      </c>
      <c r="L1085" s="179">
        <f t="shared" si="336"/>
        <v>0</v>
      </c>
      <c r="M1085" s="1"/>
      <c r="N1085" s="1"/>
      <c r="O1085" s="1"/>
      <c r="P1085" s="1"/>
      <c r="Q1085" s="1"/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L1086" si="337">H833</f>
        <v>0</v>
      </c>
      <c r="I1086" s="179">
        <f t="shared" si="337"/>
        <v>0</v>
      </c>
      <c r="J1086" s="179">
        <f t="shared" si="337"/>
        <v>0</v>
      </c>
      <c r="K1086" s="179">
        <f t="shared" si="337"/>
        <v>0</v>
      </c>
      <c r="L1086" s="179">
        <f t="shared" si="337"/>
        <v>0</v>
      </c>
      <c r="M1086" s="1"/>
      <c r="N1086" s="1"/>
      <c r="O1086" s="1"/>
      <c r="P1086" s="1"/>
      <c r="Q1086" s="1"/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L1087" si="338">H836</f>
        <v>0</v>
      </c>
      <c r="I1087" s="179">
        <f t="shared" si="338"/>
        <v>0</v>
      </c>
      <c r="J1087" s="179">
        <f t="shared" si="338"/>
        <v>0</v>
      </c>
      <c r="K1087" s="179">
        <f t="shared" si="338"/>
        <v>0</v>
      </c>
      <c r="L1087" s="179">
        <f t="shared" si="338"/>
        <v>0</v>
      </c>
      <c r="M1087" s="1"/>
      <c r="N1087" s="1"/>
      <c r="O1087" s="1"/>
      <c r="P1087" s="1"/>
      <c r="Q1087" s="1"/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L1088" si="339">H839</f>
        <v>0</v>
      </c>
      <c r="I1088" s="179">
        <f t="shared" si="339"/>
        <v>0</v>
      </c>
      <c r="J1088" s="179">
        <f t="shared" si="339"/>
        <v>0</v>
      </c>
      <c r="K1088" s="179">
        <f t="shared" si="339"/>
        <v>0</v>
      </c>
      <c r="L1088" s="179">
        <f t="shared" si="339"/>
        <v>0</v>
      </c>
      <c r="M1088" s="1"/>
      <c r="N1088" s="1"/>
      <c r="O1088" s="1"/>
      <c r="P1088" s="1"/>
      <c r="Q1088" s="1"/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78"/>
      <c r="M1089" s="1"/>
      <c r="N1089" s="1"/>
      <c r="O1089" s="1"/>
      <c r="P1089" s="1"/>
      <c r="Q1089" s="1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L1090" si="340">SUM(H1091:H1095)</f>
        <v>0</v>
      </c>
      <c r="I1090" s="178">
        <f t="shared" si="340"/>
        <v>0</v>
      </c>
      <c r="J1090" s="178">
        <f t="shared" si="340"/>
        <v>660000</v>
      </c>
      <c r="K1090" s="178">
        <f t="shared" si="340"/>
        <v>0</v>
      </c>
      <c r="L1090" s="178">
        <f t="shared" si="340"/>
        <v>0</v>
      </c>
      <c r="M1090" s="1"/>
      <c r="N1090" s="1"/>
      <c r="O1090" s="1"/>
      <c r="P1090" s="1"/>
      <c r="Q1090" s="1"/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L1091" si="341">H872</f>
        <v>0</v>
      </c>
      <c r="I1091" s="179">
        <f t="shared" si="341"/>
        <v>0</v>
      </c>
      <c r="J1091" s="179">
        <f t="shared" si="341"/>
        <v>300000</v>
      </c>
      <c r="K1091" s="179">
        <f t="shared" si="341"/>
        <v>0</v>
      </c>
      <c r="L1091" s="179">
        <f t="shared" si="341"/>
        <v>0</v>
      </c>
      <c r="M1091" s="1"/>
      <c r="N1091" s="1"/>
      <c r="O1091" s="1"/>
      <c r="P1091" s="1"/>
      <c r="Q1091" s="1"/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L1092" si="342">H875</f>
        <v>0</v>
      </c>
      <c r="I1092" s="179">
        <f t="shared" si="342"/>
        <v>0</v>
      </c>
      <c r="J1092" s="179">
        <f t="shared" si="342"/>
        <v>120000</v>
      </c>
      <c r="K1092" s="179">
        <f t="shared" si="342"/>
        <v>0</v>
      </c>
      <c r="L1092" s="179">
        <f t="shared" si="342"/>
        <v>0</v>
      </c>
      <c r="M1092" s="1"/>
      <c r="N1092" s="1"/>
      <c r="O1092" s="1"/>
      <c r="P1092" s="1"/>
      <c r="Q1092" s="1"/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L1093" si="343">H878</f>
        <v>0</v>
      </c>
      <c r="I1093" s="179">
        <f t="shared" si="343"/>
        <v>0</v>
      </c>
      <c r="J1093" s="179">
        <f t="shared" si="343"/>
        <v>24000</v>
      </c>
      <c r="K1093" s="179">
        <f t="shared" si="343"/>
        <v>0</v>
      </c>
      <c r="L1093" s="179">
        <f t="shared" si="343"/>
        <v>0</v>
      </c>
      <c r="M1093" s="1"/>
      <c r="N1093" s="1"/>
      <c r="O1093" s="1"/>
      <c r="P1093" s="1"/>
      <c r="Q1093" s="1"/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L1094" si="344">H881</f>
        <v>0</v>
      </c>
      <c r="I1094" s="179">
        <f t="shared" si="344"/>
        <v>0</v>
      </c>
      <c r="J1094" s="179">
        <f t="shared" si="344"/>
        <v>216000</v>
      </c>
      <c r="K1094" s="179">
        <f t="shared" si="344"/>
        <v>0</v>
      </c>
      <c r="L1094" s="179">
        <f t="shared" si="344"/>
        <v>0</v>
      </c>
      <c r="M1094" s="1"/>
      <c r="N1094" s="1"/>
      <c r="O1094" s="1"/>
      <c r="P1094" s="1"/>
      <c r="Q1094" s="1"/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L1095" si="345">H884</f>
        <v>0</v>
      </c>
      <c r="I1095" s="179">
        <f t="shared" si="345"/>
        <v>0</v>
      </c>
      <c r="J1095" s="179">
        <f t="shared" si="345"/>
        <v>0</v>
      </c>
      <c r="K1095" s="179">
        <f t="shared" si="345"/>
        <v>0</v>
      </c>
      <c r="L1095" s="179">
        <f t="shared" si="345"/>
        <v>0</v>
      </c>
      <c r="M1095" s="1"/>
      <c r="N1095" s="1"/>
      <c r="O1095" s="1"/>
      <c r="P1095" s="1"/>
      <c r="Q1095" s="1"/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L1097" si="346">SUM(H1098:H1102)</f>
        <v>0</v>
      </c>
      <c r="I1097" s="178">
        <f t="shared" si="346"/>
        <v>4624000</v>
      </c>
      <c r="J1097" s="178">
        <f t="shared" si="346"/>
        <v>2452000</v>
      </c>
      <c r="K1097" s="178">
        <f t="shared" si="346"/>
        <v>2172000</v>
      </c>
      <c r="L1097" s="178">
        <f t="shared" si="346"/>
        <v>1448000</v>
      </c>
      <c r="M1097" s="1"/>
      <c r="N1097" s="1"/>
      <c r="O1097" s="1"/>
      <c r="P1097" s="1"/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L1098" si="347">H917</f>
        <v>0</v>
      </c>
      <c r="I1098" s="180">
        <f t="shared" si="347"/>
        <v>1280000</v>
      </c>
      <c r="J1098" s="180">
        <f t="shared" si="347"/>
        <v>680000</v>
      </c>
      <c r="K1098" s="180">
        <f t="shared" si="347"/>
        <v>600000</v>
      </c>
      <c r="L1098" s="180">
        <f t="shared" si="347"/>
        <v>400000</v>
      </c>
      <c r="M1098" s="1"/>
      <c r="N1098" s="1"/>
      <c r="O1098" s="1"/>
      <c r="P1098" s="1"/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L1099" si="348">H920</f>
        <v>0</v>
      </c>
      <c r="I1099" s="170">
        <f t="shared" si="348"/>
        <v>890000</v>
      </c>
      <c r="J1099" s="170">
        <f t="shared" si="348"/>
        <v>470000</v>
      </c>
      <c r="K1099" s="170">
        <f t="shared" si="348"/>
        <v>420000</v>
      </c>
      <c r="L1099" s="170">
        <f t="shared" si="348"/>
        <v>280000</v>
      </c>
      <c r="M1099" s="1"/>
      <c r="N1099" s="1"/>
      <c r="O1099" s="1"/>
      <c r="P1099" s="1"/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L1100" si="349">H923</f>
        <v>0</v>
      </c>
      <c r="I1100" s="170">
        <f t="shared" si="349"/>
        <v>312000</v>
      </c>
      <c r="J1100" s="170">
        <f t="shared" si="349"/>
        <v>168000</v>
      </c>
      <c r="K1100" s="170">
        <f t="shared" si="349"/>
        <v>144000</v>
      </c>
      <c r="L1100" s="170">
        <f t="shared" si="349"/>
        <v>96000</v>
      </c>
      <c r="M1100" s="1"/>
      <c r="N1100" s="1"/>
      <c r="O1100" s="1"/>
      <c r="P1100" s="1"/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L1101" si="350">H926</f>
        <v>0</v>
      </c>
      <c r="I1101" s="170">
        <f t="shared" si="350"/>
        <v>2142000</v>
      </c>
      <c r="J1101" s="170">
        <f t="shared" si="350"/>
        <v>1134000</v>
      </c>
      <c r="K1101" s="170">
        <f t="shared" si="350"/>
        <v>1008000</v>
      </c>
      <c r="L1101" s="170">
        <f t="shared" si="350"/>
        <v>672000</v>
      </c>
      <c r="M1101" s="1"/>
      <c r="N1101" s="1"/>
      <c r="O1101" s="1"/>
      <c r="P1101" s="1"/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L1102" si="351">H929</f>
        <v>0</v>
      </c>
      <c r="I1102" s="170">
        <f t="shared" si="351"/>
        <v>0</v>
      </c>
      <c r="J1102" s="170">
        <f t="shared" si="351"/>
        <v>0</v>
      </c>
      <c r="K1102" s="170">
        <f t="shared" si="351"/>
        <v>0</v>
      </c>
      <c r="L1102" s="170">
        <f t="shared" si="351"/>
        <v>0</v>
      </c>
      <c r="M1102" s="1"/>
      <c r="N1102" s="1"/>
      <c r="O1102" s="1"/>
      <c r="P1102" s="1"/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L1104" si="352">SUM(H1105:H1109)</f>
        <v>0</v>
      </c>
      <c r="I1104" s="178">
        <f t="shared" si="352"/>
        <v>2920000</v>
      </c>
      <c r="J1104" s="178">
        <f t="shared" si="352"/>
        <v>1556000</v>
      </c>
      <c r="K1104" s="178">
        <f t="shared" si="352"/>
        <v>1372000</v>
      </c>
      <c r="L1104" s="178">
        <f t="shared" si="352"/>
        <v>914000</v>
      </c>
      <c r="M1104" s="1"/>
      <c r="N1104" s="1"/>
      <c r="O1104" s="1"/>
      <c r="P1104" s="1"/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L1105" si="353">H963</f>
        <v>0</v>
      </c>
      <c r="I1105" s="170">
        <f t="shared" si="353"/>
        <v>1600000</v>
      </c>
      <c r="J1105" s="170">
        <f t="shared" si="353"/>
        <v>856000</v>
      </c>
      <c r="K1105" s="170">
        <f t="shared" si="353"/>
        <v>752000</v>
      </c>
      <c r="L1105" s="170">
        <f t="shared" si="353"/>
        <v>504000</v>
      </c>
      <c r="M1105" s="1"/>
      <c r="N1105" s="1"/>
      <c r="O1105" s="1"/>
      <c r="P1105" s="1"/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L1106" si="354">H966</f>
        <v>0</v>
      </c>
      <c r="I1106" s="170">
        <f t="shared" si="354"/>
        <v>1320000</v>
      </c>
      <c r="J1106" s="170">
        <f t="shared" si="354"/>
        <v>700000</v>
      </c>
      <c r="K1106" s="170">
        <f t="shared" si="354"/>
        <v>620000</v>
      </c>
      <c r="L1106" s="170">
        <f t="shared" si="354"/>
        <v>410000</v>
      </c>
      <c r="M1106" s="1"/>
      <c r="N1106" s="1"/>
      <c r="O1106" s="1"/>
      <c r="P1106" s="1"/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L1107" si="355">H969</f>
        <v>0</v>
      </c>
      <c r="I1107" s="170">
        <f t="shared" si="355"/>
        <v>0</v>
      </c>
      <c r="J1107" s="170">
        <f t="shared" si="355"/>
        <v>0</v>
      </c>
      <c r="K1107" s="170">
        <f t="shared" si="355"/>
        <v>0</v>
      </c>
      <c r="L1107" s="170">
        <f t="shared" si="355"/>
        <v>0</v>
      </c>
      <c r="M1107" s="1"/>
      <c r="N1107" s="1"/>
      <c r="O1107" s="1"/>
      <c r="P1107" s="1"/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L1108" si="356">H972</f>
        <v>0</v>
      </c>
      <c r="I1108" s="170">
        <f t="shared" si="356"/>
        <v>0</v>
      </c>
      <c r="J1108" s="170">
        <f t="shared" si="356"/>
        <v>0</v>
      </c>
      <c r="K1108" s="170">
        <f t="shared" si="356"/>
        <v>0</v>
      </c>
      <c r="L1108" s="170">
        <f t="shared" si="356"/>
        <v>0</v>
      </c>
      <c r="M1108" s="1"/>
      <c r="N1108" s="1"/>
      <c r="O1108" s="1"/>
      <c r="P1108" s="1"/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L1109" si="357">H975</f>
        <v>0</v>
      </c>
      <c r="I1109" s="170">
        <f t="shared" si="357"/>
        <v>0</v>
      </c>
      <c r="J1109" s="170">
        <f t="shared" si="357"/>
        <v>0</v>
      </c>
      <c r="K1109" s="170">
        <f t="shared" si="357"/>
        <v>0</v>
      </c>
      <c r="L1109" s="170">
        <f t="shared" si="357"/>
        <v>0</v>
      </c>
      <c r="M1109" s="1"/>
      <c r="N1109" s="1"/>
      <c r="O1109" s="1"/>
      <c r="P1109" s="1"/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L1111" si="358">SUM(H1112:H1116)</f>
        <v>0</v>
      </c>
      <c r="I1111" s="178">
        <f t="shared" si="358"/>
        <v>1028000</v>
      </c>
      <c r="J1111" s="178">
        <f t="shared" si="358"/>
        <v>546000</v>
      </c>
      <c r="K1111" s="178">
        <f t="shared" si="358"/>
        <v>482000</v>
      </c>
      <c r="L1111" s="178">
        <f t="shared" si="358"/>
        <v>324000</v>
      </c>
      <c r="M1111" s="1"/>
      <c r="N1111" s="1"/>
      <c r="O1111" s="1"/>
      <c r="P1111" s="1"/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L1112" si="359">H1008</f>
        <v>0</v>
      </c>
      <c r="I1112" s="170">
        <f t="shared" si="359"/>
        <v>680000</v>
      </c>
      <c r="J1112" s="170">
        <f t="shared" si="359"/>
        <v>360000</v>
      </c>
      <c r="K1112" s="170">
        <f t="shared" si="359"/>
        <v>320000</v>
      </c>
      <c r="L1112" s="170">
        <f t="shared" si="359"/>
        <v>216000</v>
      </c>
      <c r="M1112" s="223"/>
      <c r="N1112" s="223"/>
      <c r="O1112" s="223"/>
      <c r="P1112" s="223"/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L1113" si="360">H1011</f>
        <v>0</v>
      </c>
      <c r="I1113" s="170">
        <f t="shared" si="360"/>
        <v>348000</v>
      </c>
      <c r="J1113" s="170">
        <f t="shared" si="360"/>
        <v>186000</v>
      </c>
      <c r="K1113" s="170">
        <f t="shared" si="360"/>
        <v>162000</v>
      </c>
      <c r="L1113" s="170">
        <f t="shared" si="360"/>
        <v>108000</v>
      </c>
      <c r="M1113" s="1"/>
      <c r="N1113" s="1"/>
      <c r="O1113" s="1"/>
      <c r="P1113" s="1"/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L1114" si="361">H1014</f>
        <v>0</v>
      </c>
      <c r="I1114" s="170">
        <f t="shared" si="361"/>
        <v>0</v>
      </c>
      <c r="J1114" s="170">
        <f t="shared" si="361"/>
        <v>0</v>
      </c>
      <c r="K1114" s="170">
        <f t="shared" si="361"/>
        <v>0</v>
      </c>
      <c r="L1114" s="170">
        <f t="shared" si="361"/>
        <v>0</v>
      </c>
      <c r="M1114" s="1"/>
      <c r="N1114" s="1"/>
      <c r="O1114" s="1"/>
      <c r="P1114" s="1"/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L1115" si="362">H1017</f>
        <v>0</v>
      </c>
      <c r="I1115" s="170">
        <f t="shared" si="362"/>
        <v>0</v>
      </c>
      <c r="J1115" s="170">
        <f t="shared" si="362"/>
        <v>0</v>
      </c>
      <c r="K1115" s="170">
        <f t="shared" si="362"/>
        <v>0</v>
      </c>
      <c r="L1115" s="170">
        <f t="shared" si="362"/>
        <v>0</v>
      </c>
      <c r="M1115" s="1"/>
      <c r="N1115" s="1"/>
      <c r="O1115" s="1"/>
      <c r="P1115" s="1"/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L1116" si="363">H1020</f>
        <v>0</v>
      </c>
      <c r="I1116" s="170">
        <f t="shared" si="363"/>
        <v>0</v>
      </c>
      <c r="J1116" s="170">
        <f t="shared" si="363"/>
        <v>0</v>
      </c>
      <c r="K1116" s="170">
        <f t="shared" si="363"/>
        <v>0</v>
      </c>
      <c r="L1116" s="170">
        <f t="shared" si="363"/>
        <v>0</v>
      </c>
      <c r="M1116" s="1"/>
      <c r="N1116" s="1"/>
      <c r="O1116" s="1"/>
      <c r="P1116" s="1"/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M1:M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11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5" t="s">
        <v>1</v>
      </c>
      <c r="M1" s="6"/>
      <c r="N1" s="6"/>
      <c r="O1" s="6"/>
      <c r="P1" s="6"/>
      <c r="Q1" s="6"/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401</v>
      </c>
      <c r="I2" s="9">
        <f t="shared" ref="I2:K2" si="1">H2+1</f>
        <v>10</v>
      </c>
      <c r="J2" s="9">
        <f t="shared" si="1"/>
        <v>11</v>
      </c>
      <c r="K2" s="9">
        <f t="shared" si="1"/>
        <v>12</v>
      </c>
      <c r="L2" s="10"/>
      <c r="M2" s="6"/>
      <c r="N2" s="6"/>
      <c r="O2" s="6"/>
      <c r="P2" s="6"/>
      <c r="Q2" s="6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12"/>
      <c r="L3" s="1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15"/>
      <c r="L5" s="124"/>
      <c r="M5" s="124"/>
      <c r="N5" s="124"/>
      <c r="O5" s="124"/>
      <c r="P5" s="124"/>
      <c r="Q5" s="124"/>
      <c r="R5" s="124"/>
      <c r="S5" s="124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15"/>
      <c r="L6" s="125"/>
      <c r="M6" s="125"/>
      <c r="N6" s="125"/>
      <c r="O6" s="125"/>
      <c r="P6" s="125"/>
      <c r="Q6" s="125"/>
      <c r="R6" s="125"/>
      <c r="S6" s="125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18"/>
      <c r="L7" s="123"/>
      <c r="M7" s="123"/>
      <c r="N7" s="123"/>
      <c r="O7" s="123"/>
      <c r="P7" s="123"/>
      <c r="Q7" s="123"/>
      <c r="R7" s="123"/>
      <c r="S7" s="123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- 2026'!P6</f>
        <v>6778080.706</v>
      </c>
      <c r="I8" s="120"/>
      <c r="J8" s="120"/>
      <c r="K8" s="120"/>
      <c r="L8" s="130"/>
      <c r="M8" s="130"/>
      <c r="N8" s="130"/>
      <c r="O8" s="130"/>
      <c r="P8" s="130"/>
      <c r="Q8" s="130"/>
      <c r="R8" s="130"/>
      <c r="S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- 2026'!P9</f>
        <v>436.3224284</v>
      </c>
      <c r="I9" s="122"/>
      <c r="J9" s="122"/>
      <c r="K9" s="122"/>
      <c r="L9" s="130"/>
      <c r="M9" s="130"/>
      <c r="N9" s="130"/>
      <c r="O9" s="130"/>
      <c r="P9" s="130"/>
      <c r="Q9" s="130"/>
      <c r="R9" s="130"/>
      <c r="S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15534.56862</v>
      </c>
      <c r="I10" s="123"/>
      <c r="J10" s="123"/>
      <c r="K10" s="123"/>
      <c r="L10" s="130"/>
      <c r="M10" s="130"/>
      <c r="N10" s="130"/>
      <c r="O10" s="130"/>
      <c r="P10" s="130"/>
      <c r="Q10" s="130"/>
      <c r="R10" s="130"/>
      <c r="S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3108.568624</v>
      </c>
      <c r="I11" s="124"/>
      <c r="J11" s="124"/>
      <c r="K11" s="124"/>
      <c r="L11" s="130"/>
      <c r="M11" s="130"/>
      <c r="N11" s="130"/>
      <c r="O11" s="130"/>
      <c r="P11" s="130"/>
      <c r="Q11" s="130"/>
      <c r="R11" s="130"/>
      <c r="S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12426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571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635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2514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5915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2791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545.4756725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18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15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12426</v>
      </c>
      <c r="I29" s="115"/>
      <c r="J29" s="115"/>
      <c r="K29" s="115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0.292692741</v>
      </c>
      <c r="I30" s="134"/>
      <c r="J30" s="134"/>
      <c r="K30" s="134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3637</v>
      </c>
      <c r="I31" s="115"/>
      <c r="J31" s="115"/>
      <c r="K31" s="115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35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15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571</v>
      </c>
      <c r="I34" s="115"/>
      <c r="J34" s="115"/>
      <c r="K34" s="115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26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114</v>
      </c>
      <c r="I36" s="115"/>
      <c r="J36" s="115"/>
      <c r="K36" s="115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15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15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635</v>
      </c>
      <c r="I39" s="115"/>
      <c r="J39" s="115"/>
      <c r="K39" s="115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26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158</v>
      </c>
      <c r="I41" s="115"/>
      <c r="J41" s="115"/>
      <c r="K41" s="115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15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15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2514</v>
      </c>
      <c r="I44" s="115"/>
      <c r="J44" s="115"/>
      <c r="K44" s="115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26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754</v>
      </c>
      <c r="I46" s="115"/>
      <c r="J46" s="115"/>
      <c r="K46" s="115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15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15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5915</v>
      </c>
      <c r="I49" s="115"/>
      <c r="J49" s="115"/>
      <c r="K49" s="115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26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1774</v>
      </c>
      <c r="I51" s="115"/>
      <c r="J51" s="115"/>
      <c r="K51" s="115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15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15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2791</v>
      </c>
      <c r="I54" s="115"/>
      <c r="J54" s="115"/>
      <c r="K54" s="115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26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837</v>
      </c>
      <c r="I56" s="115"/>
      <c r="J56" s="115"/>
      <c r="K56" s="115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15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15"/>
      <c r="L58" s="1"/>
      <c r="M58" s="1"/>
      <c r="N58" s="1"/>
      <c r="O58" s="1"/>
      <c r="P58" s="1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18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15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3637</v>
      </c>
      <c r="I61" s="115"/>
      <c r="J61" s="115"/>
      <c r="K61" s="115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1.074030795</v>
      </c>
      <c r="I62" s="138"/>
      <c r="J62" s="138"/>
      <c r="K62" s="138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3906.25</v>
      </c>
      <c r="I63" s="115"/>
      <c r="J63" s="115"/>
      <c r="K63" s="115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15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15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114</v>
      </c>
      <c r="I66" s="115"/>
      <c r="J66" s="115"/>
      <c r="K66" s="115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26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122.5</v>
      </c>
      <c r="I68" s="115"/>
      <c r="J68" s="115"/>
      <c r="K68" s="115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98</v>
      </c>
      <c r="I69" s="115"/>
      <c r="J69" s="115"/>
      <c r="K69" s="115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24.5</v>
      </c>
      <c r="I70" s="115"/>
      <c r="J70" s="115"/>
      <c r="K70" s="115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15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26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158</v>
      </c>
      <c r="I73" s="115"/>
      <c r="J73" s="115"/>
      <c r="K73" s="115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15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168.75</v>
      </c>
      <c r="I75" s="115"/>
      <c r="J75" s="115"/>
      <c r="K75" s="115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135</v>
      </c>
      <c r="I76" s="115"/>
      <c r="J76" s="115"/>
      <c r="K76" s="115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33.75</v>
      </c>
      <c r="I77" s="126"/>
      <c r="J77" s="126"/>
      <c r="K77" s="126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15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15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754</v>
      </c>
      <c r="I80" s="115"/>
      <c r="J80" s="115"/>
      <c r="K80" s="115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15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810</v>
      </c>
      <c r="I82" s="126"/>
      <c r="J82" s="126"/>
      <c r="K82" s="126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648</v>
      </c>
      <c r="I83" s="115"/>
      <c r="J83" s="115"/>
      <c r="K83" s="115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162</v>
      </c>
      <c r="I84" s="115"/>
      <c r="J84" s="115"/>
      <c r="K84" s="115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15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15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1774</v>
      </c>
      <c r="I87" s="126"/>
      <c r="J87" s="126"/>
      <c r="K87" s="126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15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1906.25</v>
      </c>
      <c r="I89" s="115"/>
      <c r="J89" s="115"/>
      <c r="K89" s="115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1525</v>
      </c>
      <c r="I90" s="115"/>
      <c r="J90" s="115"/>
      <c r="K90" s="115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381.25</v>
      </c>
      <c r="I91" s="115"/>
      <c r="J91" s="115"/>
      <c r="K91" s="115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15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15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837</v>
      </c>
      <c r="I94" s="115"/>
      <c r="J94" s="115"/>
      <c r="K94" s="115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15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898.75</v>
      </c>
      <c r="I96" s="115"/>
      <c r="J96" s="115"/>
      <c r="K96" s="115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719</v>
      </c>
      <c r="I97" s="115"/>
      <c r="J97" s="115"/>
      <c r="K97" s="115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179.75</v>
      </c>
      <c r="I98" s="115"/>
      <c r="J98" s="115"/>
      <c r="K98" s="115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15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15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18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15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3906.25</v>
      </c>
      <c r="I103" s="115"/>
      <c r="J103" s="115"/>
      <c r="K103" s="115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0.300288</v>
      </c>
      <c r="I104" s="143"/>
      <c r="J104" s="143"/>
      <c r="K104" s="143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0.09439884114</v>
      </c>
      <c r="I105" s="143"/>
      <c r="J105" s="143"/>
      <c r="K105" s="143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1173</v>
      </c>
      <c r="I106" s="115"/>
      <c r="J106" s="115"/>
      <c r="K106" s="115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41667.94544</v>
      </c>
      <c r="I107" s="115"/>
      <c r="J107" s="115"/>
      <c r="K107" s="115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48876500</v>
      </c>
      <c r="I108" s="115"/>
      <c r="J108" s="115"/>
      <c r="K108" s="115"/>
      <c r="L108" s="1"/>
      <c r="M108" s="1"/>
      <c r="N108" s="1"/>
      <c r="O108" s="1"/>
      <c r="P108" s="1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15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43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122.5</v>
      </c>
      <c r="I111" s="135"/>
      <c r="J111" s="135"/>
      <c r="K111" s="135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29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0.06479859895</v>
      </c>
      <c r="I113" s="143"/>
      <c r="J113" s="143"/>
      <c r="K113" s="143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37</v>
      </c>
      <c r="I114" s="148"/>
      <c r="J114" s="148"/>
      <c r="K114" s="148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91162.16216</v>
      </c>
      <c r="I115" s="150"/>
      <c r="J115" s="150"/>
      <c r="K115" s="150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3373000</v>
      </c>
      <c r="I116" s="150"/>
      <c r="J116" s="150"/>
      <c r="K116" s="150"/>
      <c r="L116" s="1"/>
      <c r="M116" s="1"/>
      <c r="N116" s="1"/>
      <c r="O116" s="1"/>
      <c r="P116" s="1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53"/>
      <c r="L117" s="1"/>
      <c r="M117" s="1"/>
      <c r="N117" s="1"/>
      <c r="O117" s="1"/>
      <c r="P117" s="1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53"/>
      <c r="L118" s="1"/>
      <c r="M118" s="1"/>
      <c r="N118" s="1"/>
      <c r="O118" s="1"/>
      <c r="P118" s="1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55"/>
      <c r="L119" s="1"/>
      <c r="M119" s="1"/>
      <c r="N119" s="1"/>
      <c r="O119" s="1"/>
      <c r="P119" s="1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55"/>
      <c r="L120" s="1"/>
      <c r="M120" s="1"/>
      <c r="N120" s="1"/>
      <c r="O120" s="1"/>
      <c r="P120" s="1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55"/>
      <c r="L121" s="1"/>
      <c r="M121" s="1"/>
      <c r="N121" s="1"/>
      <c r="O121" s="1"/>
      <c r="P121" s="1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100000.0</v>
      </c>
      <c r="I122" s="157"/>
      <c r="J122" s="157"/>
      <c r="K122" s="157"/>
      <c r="L122" s="1"/>
      <c r="M122" s="1"/>
      <c r="N122" s="1"/>
      <c r="O122" s="1"/>
      <c r="P122" s="1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57"/>
      <c r="L123" s="1"/>
      <c r="M123" s="1"/>
      <c r="N123" s="1"/>
      <c r="O123" s="1"/>
      <c r="P123" s="1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57"/>
      <c r="L124" s="1"/>
      <c r="M124" s="1"/>
      <c r="N124" s="1"/>
      <c r="O124" s="1"/>
      <c r="P124" s="1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57"/>
      <c r="L125" s="1"/>
      <c r="M125" s="1"/>
      <c r="N125" s="1"/>
      <c r="O125" s="1"/>
      <c r="P125" s="1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59"/>
      <c r="L126" s="1"/>
      <c r="M126" s="1"/>
      <c r="N126" s="1"/>
      <c r="O126" s="1"/>
      <c r="P126" s="1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62"/>
      <c r="K127" s="162"/>
      <c r="L127" s="1"/>
      <c r="M127" s="1"/>
      <c r="N127" s="1"/>
      <c r="O127" s="1"/>
      <c r="P127" s="1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22</v>
      </c>
      <c r="I128" s="148"/>
      <c r="J128" s="148"/>
      <c r="K128" s="148"/>
      <c r="L128" s="1"/>
      <c r="M128" s="1"/>
      <c r="N128" s="1"/>
      <c r="O128" s="1"/>
      <c r="P128" s="1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2200000</v>
      </c>
      <c r="I129" s="150"/>
      <c r="J129" s="150"/>
      <c r="K129" s="150"/>
      <c r="L129" s="1"/>
      <c r="M129" s="1"/>
      <c r="N129" s="1"/>
      <c r="O129" s="1"/>
      <c r="P129" s="1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5</v>
      </c>
      <c r="I130" s="148"/>
      <c r="J130" s="148"/>
      <c r="K130" s="148"/>
      <c r="L130" s="1"/>
      <c r="M130" s="1"/>
      <c r="N130" s="1"/>
      <c r="O130" s="1"/>
      <c r="P130" s="1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158000</v>
      </c>
      <c r="I131" s="150"/>
      <c r="J131" s="150"/>
      <c r="K131" s="150"/>
      <c r="L131" s="1"/>
      <c r="M131" s="1"/>
      <c r="N131" s="1"/>
      <c r="O131" s="1"/>
      <c r="P131" s="1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48"/>
      <c r="L132" s="1"/>
      <c r="M132" s="1"/>
      <c r="N132" s="1"/>
      <c r="O132" s="1"/>
      <c r="P132" s="1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50"/>
      <c r="L133" s="1"/>
      <c r="M133" s="1"/>
      <c r="N133" s="1"/>
      <c r="O133" s="1"/>
      <c r="P133" s="1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7</v>
      </c>
      <c r="I134" s="148"/>
      <c r="J134" s="148"/>
      <c r="K134" s="148"/>
      <c r="L134" s="1"/>
      <c r="M134" s="1"/>
      <c r="N134" s="1"/>
      <c r="O134" s="1"/>
      <c r="P134" s="1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1015000</v>
      </c>
      <c r="I135" s="150"/>
      <c r="J135" s="150"/>
      <c r="K135" s="150"/>
      <c r="L135" s="1"/>
      <c r="M135" s="1"/>
      <c r="N135" s="1"/>
      <c r="O135" s="1"/>
      <c r="P135" s="1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48"/>
      <c r="L136" s="1"/>
      <c r="M136" s="1"/>
      <c r="N136" s="1"/>
      <c r="O136" s="1"/>
      <c r="P136" s="1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50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63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43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168.75</v>
      </c>
      <c r="I140" s="148"/>
      <c r="J140" s="148"/>
      <c r="K140" s="148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29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0.08031496063</v>
      </c>
      <c r="I142" s="143"/>
      <c r="J142" s="143"/>
      <c r="K142" s="143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51</v>
      </c>
      <c r="I143" s="148"/>
      <c r="J143" s="148"/>
      <c r="K143" s="148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68588.23529</v>
      </c>
      <c r="I144" s="150"/>
      <c r="J144" s="150"/>
      <c r="K144" s="150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3498000</v>
      </c>
      <c r="I145" s="150"/>
      <c r="J145" s="150"/>
      <c r="K145" s="150"/>
      <c r="L145" s="1"/>
      <c r="M145" s="1"/>
      <c r="N145" s="1"/>
      <c r="O145" s="1"/>
      <c r="P145" s="1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55"/>
      <c r="L146" s="1"/>
      <c r="M146" s="1"/>
      <c r="N146" s="1"/>
      <c r="O146" s="1"/>
      <c r="P146" s="1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53"/>
      <c r="L147" s="1"/>
      <c r="M147" s="1"/>
      <c r="N147" s="1"/>
      <c r="O147" s="1"/>
      <c r="P147" s="1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55"/>
      <c r="L148" s="1"/>
      <c r="M148" s="1"/>
      <c r="N148" s="1"/>
      <c r="O148" s="1"/>
      <c r="P148" s="1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55"/>
      <c r="L149" s="1"/>
      <c r="M149" s="1"/>
      <c r="N149" s="1"/>
      <c r="O149" s="1"/>
      <c r="P149" s="1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55"/>
      <c r="L150" s="1"/>
      <c r="M150" s="1"/>
      <c r="N150" s="1"/>
      <c r="O150" s="1"/>
      <c r="P150" s="1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80000.0</v>
      </c>
      <c r="I151" s="159"/>
      <c r="J151" s="159"/>
      <c r="K151" s="159"/>
      <c r="L151" s="1"/>
      <c r="M151" s="1"/>
      <c r="N151" s="1"/>
      <c r="O151" s="1"/>
      <c r="P151" s="1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57"/>
      <c r="L152" s="1"/>
      <c r="M152" s="1"/>
      <c r="N152" s="1"/>
      <c r="O152" s="1"/>
      <c r="P152" s="1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57"/>
      <c r="L153" s="1"/>
      <c r="M153" s="1"/>
      <c r="N153" s="1"/>
      <c r="O153" s="1"/>
      <c r="P153" s="1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59"/>
      <c r="L154" s="1"/>
      <c r="M154" s="1"/>
      <c r="N154" s="1"/>
      <c r="O154" s="1"/>
      <c r="P154" s="1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59"/>
      <c r="L155" s="1"/>
      <c r="M155" s="1"/>
      <c r="N155" s="1"/>
      <c r="O155" s="1"/>
      <c r="P155" s="1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62"/>
      <c r="L156" s="1"/>
      <c r="M156" s="1"/>
      <c r="N156" s="1"/>
      <c r="O156" s="1"/>
      <c r="P156" s="1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30</v>
      </c>
      <c r="I157" s="148"/>
      <c r="J157" s="148"/>
      <c r="K157" s="148"/>
      <c r="L157" s="1"/>
      <c r="M157" s="1"/>
      <c r="N157" s="1"/>
      <c r="O157" s="1"/>
      <c r="P157" s="1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2400000</v>
      </c>
      <c r="I158" s="150"/>
      <c r="J158" s="150"/>
      <c r="K158" s="150"/>
      <c r="L158" s="1"/>
      <c r="M158" s="1"/>
      <c r="N158" s="1"/>
      <c r="O158" s="1"/>
      <c r="P158" s="1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6</v>
      </c>
      <c r="I159" s="148"/>
      <c r="J159" s="148"/>
      <c r="K159" s="148"/>
      <c r="L159" s="1"/>
      <c r="M159" s="1"/>
      <c r="N159" s="1"/>
      <c r="O159" s="1"/>
      <c r="P159" s="1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108000</v>
      </c>
      <c r="I160" s="150"/>
      <c r="J160" s="150"/>
      <c r="K160" s="150"/>
      <c r="L160" s="1"/>
      <c r="M160" s="1"/>
      <c r="N160" s="1"/>
      <c r="O160" s="1"/>
      <c r="P160" s="1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48"/>
      <c r="L161" s="1"/>
      <c r="M161" s="1"/>
      <c r="N161" s="1"/>
      <c r="O161" s="1"/>
      <c r="P161" s="1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50"/>
      <c r="L162" s="1"/>
      <c r="M162" s="1"/>
      <c r="N162" s="1"/>
      <c r="O162" s="1"/>
      <c r="P162" s="1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10</v>
      </c>
      <c r="I163" s="148"/>
      <c r="J163" s="148"/>
      <c r="K163" s="148"/>
      <c r="L163" s="1"/>
      <c r="M163" s="1"/>
      <c r="N163" s="1"/>
      <c r="O163" s="1"/>
      <c r="P163" s="1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990000</v>
      </c>
      <c r="I164" s="150"/>
      <c r="J164" s="150"/>
      <c r="K164" s="150"/>
      <c r="L164" s="1"/>
      <c r="M164" s="1"/>
      <c r="N164" s="1"/>
      <c r="O164" s="1"/>
      <c r="P164" s="1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5</v>
      </c>
      <c r="I165" s="148"/>
      <c r="J165" s="148"/>
      <c r="K165" s="148"/>
      <c r="L165" s="1"/>
      <c r="M165" s="1"/>
      <c r="N165" s="1"/>
      <c r="O165" s="1"/>
      <c r="P165" s="1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50"/>
      <c r="L166" s="1"/>
      <c r="M166" s="1"/>
      <c r="N166" s="1"/>
      <c r="O166" s="1"/>
      <c r="P166" s="1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50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43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43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810</v>
      </c>
      <c r="I170" s="148"/>
      <c r="J170" s="148"/>
      <c r="K170" s="148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29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0.09665871122</v>
      </c>
      <c r="I172" s="143"/>
      <c r="J172" s="143"/>
      <c r="K172" s="143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243</v>
      </c>
      <c r="I173" s="166"/>
      <c r="J173" s="166"/>
      <c r="K173" s="166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63860.0823</v>
      </c>
      <c r="I174" s="150"/>
      <c r="J174" s="150"/>
      <c r="K174" s="150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15518000</v>
      </c>
      <c r="I175" s="150"/>
      <c r="J175" s="150"/>
      <c r="K175" s="150"/>
      <c r="L175" s="1"/>
      <c r="M175" s="1"/>
      <c r="N175" s="1"/>
      <c r="O175" s="1"/>
      <c r="P175" s="1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53"/>
      <c r="L176" s="1"/>
      <c r="M176" s="1"/>
      <c r="N176" s="1"/>
      <c r="O176" s="1"/>
      <c r="P176" s="1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53"/>
      <c r="L177" s="1"/>
      <c r="M177" s="1"/>
      <c r="N177" s="1"/>
      <c r="O177" s="1"/>
      <c r="P177" s="1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55"/>
      <c r="L178" s="1"/>
      <c r="M178" s="1"/>
      <c r="N178" s="1"/>
      <c r="O178" s="1"/>
      <c r="P178" s="1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55"/>
      <c r="L179" s="1"/>
      <c r="M179" s="1"/>
      <c r="N179" s="1"/>
      <c r="O179" s="1"/>
      <c r="P179" s="1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55"/>
      <c r="L180" s="1"/>
      <c r="M180" s="1"/>
      <c r="N180" s="1"/>
      <c r="O180" s="1"/>
      <c r="P180" s="1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80000.0</v>
      </c>
      <c r="I181" s="157"/>
      <c r="J181" s="157"/>
      <c r="K181" s="157"/>
      <c r="L181" s="1"/>
      <c r="M181" s="1"/>
      <c r="N181" s="1"/>
      <c r="O181" s="1"/>
      <c r="P181" s="1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57"/>
      <c r="L182" s="1"/>
      <c r="M182" s="1"/>
      <c r="N182" s="1"/>
      <c r="O182" s="1"/>
      <c r="P182" s="1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57"/>
      <c r="L183" s="1"/>
      <c r="M183" s="1"/>
      <c r="N183" s="1"/>
      <c r="O183" s="1"/>
      <c r="P183" s="1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59"/>
      <c r="L184" s="1"/>
      <c r="M184" s="1"/>
      <c r="N184" s="1"/>
      <c r="O184" s="1"/>
      <c r="P184" s="1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59"/>
      <c r="L185" s="1"/>
      <c r="M185" s="1"/>
      <c r="N185" s="1"/>
      <c r="O185" s="1"/>
      <c r="P185" s="1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62"/>
      <c r="L186" s="1"/>
      <c r="M186" s="1"/>
      <c r="N186" s="1"/>
      <c r="O186" s="1"/>
      <c r="P186" s="1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145</v>
      </c>
      <c r="I187" s="148"/>
      <c r="J187" s="148"/>
      <c r="K187" s="148"/>
      <c r="L187" s="1"/>
      <c r="M187" s="1"/>
      <c r="N187" s="1"/>
      <c r="O187" s="1"/>
      <c r="P187" s="1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11600000</v>
      </c>
      <c r="I188" s="150"/>
      <c r="J188" s="150"/>
      <c r="K188" s="150"/>
      <c r="L188" s="1"/>
      <c r="M188" s="1"/>
      <c r="N188" s="1"/>
      <c r="O188" s="1"/>
      <c r="P188" s="1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26</v>
      </c>
      <c r="I189" s="148"/>
      <c r="J189" s="148"/>
      <c r="K189" s="148"/>
      <c r="L189" s="1"/>
      <c r="M189" s="1"/>
      <c r="N189" s="1"/>
      <c r="O189" s="1"/>
      <c r="P189" s="1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390000</v>
      </c>
      <c r="I190" s="150"/>
      <c r="J190" s="150"/>
      <c r="K190" s="150"/>
      <c r="L190" s="1"/>
      <c r="M190" s="1"/>
      <c r="N190" s="1"/>
      <c r="O190" s="1"/>
      <c r="P190" s="1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48"/>
      <c r="L191" s="1"/>
      <c r="M191" s="1"/>
      <c r="N191" s="1"/>
      <c r="O191" s="1"/>
      <c r="P191" s="1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50"/>
      <c r="L192" s="1"/>
      <c r="M192" s="1"/>
      <c r="N192" s="1"/>
      <c r="O192" s="1"/>
      <c r="P192" s="1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72</v>
      </c>
      <c r="I193" s="148"/>
      <c r="J193" s="148"/>
      <c r="K193" s="148"/>
      <c r="L193" s="1"/>
      <c r="M193" s="1"/>
      <c r="N193" s="1"/>
      <c r="O193" s="1"/>
      <c r="P193" s="1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3528000</v>
      </c>
      <c r="I194" s="150"/>
      <c r="J194" s="150"/>
      <c r="K194" s="150"/>
      <c r="L194" s="1"/>
      <c r="M194" s="1"/>
      <c r="N194" s="1"/>
      <c r="O194" s="1"/>
      <c r="P194" s="1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48"/>
      <c r="L195" s="1"/>
      <c r="M195" s="1"/>
      <c r="N195" s="1"/>
      <c r="O195" s="1"/>
      <c r="P195" s="1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50"/>
      <c r="L196" s="1"/>
      <c r="M196" s="1"/>
      <c r="N196" s="1"/>
      <c r="O196" s="1"/>
      <c r="P196" s="1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50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43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43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1906.25</v>
      </c>
      <c r="I200" s="148"/>
      <c r="J200" s="148"/>
      <c r="K200" s="148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26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0.0967032967</v>
      </c>
      <c r="I202" s="143"/>
      <c r="J202" s="143"/>
      <c r="K202" s="143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572</v>
      </c>
      <c r="I203" s="148"/>
      <c r="J203" s="148"/>
      <c r="K203" s="148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34270.1049</v>
      </c>
      <c r="I204" s="150"/>
      <c r="J204" s="150"/>
      <c r="K204" s="150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19602500</v>
      </c>
      <c r="I205" s="150"/>
      <c r="J205" s="150"/>
      <c r="K205" s="150"/>
      <c r="L205" s="1"/>
      <c r="M205" s="1"/>
      <c r="N205" s="1"/>
      <c r="O205" s="1"/>
      <c r="P205" s="1"/>
      <c r="Q205" s="1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55"/>
      <c r="L206" s="1"/>
      <c r="M206" s="1"/>
      <c r="N206" s="1"/>
      <c r="O206" s="1"/>
      <c r="P206" s="1"/>
      <c r="Q206" s="1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55"/>
      <c r="L207" s="1"/>
      <c r="M207" s="1"/>
      <c r="N207" s="1"/>
      <c r="O207" s="1"/>
      <c r="P207" s="1"/>
      <c r="Q207" s="1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55"/>
      <c r="L208" s="1"/>
      <c r="M208" s="1"/>
      <c r="N208" s="1"/>
      <c r="O208" s="1"/>
      <c r="P208" s="1"/>
      <c r="Q208" s="1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53"/>
      <c r="L209" s="1"/>
      <c r="M209" s="1"/>
      <c r="N209" s="1"/>
      <c r="O209" s="1"/>
      <c r="P209" s="1"/>
      <c r="Q209" s="1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55"/>
      <c r="L210" s="1"/>
      <c r="M210" s="1"/>
      <c r="N210" s="1"/>
      <c r="O210" s="1"/>
      <c r="P210" s="1"/>
      <c r="Q210" s="1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40000.0</v>
      </c>
      <c r="I211" s="157"/>
      <c r="J211" s="157"/>
      <c r="K211" s="157"/>
      <c r="L211" s="1"/>
      <c r="M211" s="1"/>
      <c r="N211" s="1"/>
      <c r="O211" s="1"/>
      <c r="P211" s="1"/>
      <c r="Q211" s="1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57"/>
      <c r="L212" s="1"/>
      <c r="M212" s="1"/>
      <c r="N212" s="1"/>
      <c r="O212" s="1"/>
      <c r="P212" s="1"/>
      <c r="Q212" s="1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59"/>
      <c r="L213" s="1"/>
      <c r="M213" s="1"/>
      <c r="N213" s="1"/>
      <c r="O213" s="1"/>
      <c r="P213" s="1"/>
      <c r="Q213" s="1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59"/>
      <c r="L214" s="1"/>
      <c r="M214" s="1"/>
      <c r="N214" s="1"/>
      <c r="O214" s="1"/>
      <c r="P214" s="1"/>
      <c r="Q214" s="1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59"/>
      <c r="L215" s="1"/>
      <c r="M215" s="1"/>
      <c r="N215" s="1"/>
      <c r="O215" s="1"/>
      <c r="P215" s="1"/>
      <c r="Q215" s="1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62"/>
      <c r="L216" s="1"/>
      <c r="M216" s="1"/>
      <c r="N216" s="1"/>
      <c r="O216" s="1"/>
      <c r="P216" s="1"/>
      <c r="Q216" s="1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457</v>
      </c>
      <c r="I217" s="148"/>
      <c r="J217" s="148"/>
      <c r="K217" s="148"/>
      <c r="L217" s="1"/>
      <c r="M217" s="1"/>
      <c r="N217" s="1"/>
      <c r="O217" s="1"/>
      <c r="P217" s="1"/>
      <c r="Q217" s="1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18280000</v>
      </c>
      <c r="I218" s="150"/>
      <c r="J218" s="150"/>
      <c r="K218" s="150"/>
      <c r="L218" s="1"/>
      <c r="M218" s="1"/>
      <c r="N218" s="1"/>
      <c r="O218" s="1"/>
      <c r="P218" s="1"/>
      <c r="Q218" s="1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115</v>
      </c>
      <c r="I219" s="148"/>
      <c r="J219" s="148"/>
      <c r="K219" s="148"/>
      <c r="L219" s="1"/>
      <c r="M219" s="1"/>
      <c r="N219" s="1"/>
      <c r="O219" s="1"/>
      <c r="P219" s="1"/>
      <c r="Q219" s="1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1322500</v>
      </c>
      <c r="I220" s="150"/>
      <c r="J220" s="150"/>
      <c r="K220" s="150"/>
      <c r="L220" s="1"/>
      <c r="M220" s="1"/>
      <c r="N220" s="1"/>
      <c r="O220" s="1"/>
      <c r="P220" s="1"/>
      <c r="Q220" s="1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48"/>
      <c r="L221" s="1"/>
      <c r="M221" s="1"/>
      <c r="N221" s="1"/>
      <c r="O221" s="1"/>
      <c r="P221" s="1"/>
      <c r="Q221" s="1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50"/>
      <c r="L222" s="1"/>
      <c r="M222" s="1"/>
      <c r="N222" s="1"/>
      <c r="O222" s="1"/>
      <c r="P222" s="1"/>
      <c r="Q222" s="1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48"/>
      <c r="L223" s="1"/>
      <c r="M223" s="1"/>
      <c r="N223" s="1"/>
      <c r="O223" s="1"/>
      <c r="P223" s="1"/>
      <c r="Q223" s="1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50"/>
      <c r="L224" s="1"/>
      <c r="M224" s="1"/>
      <c r="N224" s="1"/>
      <c r="O224" s="1"/>
      <c r="P224" s="1"/>
      <c r="Q224" s="1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48"/>
      <c r="L225" s="1"/>
      <c r="M225" s="1"/>
      <c r="N225" s="1"/>
      <c r="O225" s="1"/>
      <c r="P225" s="1"/>
      <c r="Q225" s="1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50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15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43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898.75</v>
      </c>
      <c r="I229" s="148"/>
      <c r="J229" s="148"/>
      <c r="K229" s="148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29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0.09673951989</v>
      </c>
      <c r="I231" s="143"/>
      <c r="J231" s="143"/>
      <c r="K231" s="143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270</v>
      </c>
      <c r="I232" s="148"/>
      <c r="J232" s="148"/>
      <c r="K232" s="148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25500</v>
      </c>
      <c r="I233" s="150"/>
      <c r="J233" s="150"/>
      <c r="K233" s="150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6885000</v>
      </c>
      <c r="I234" s="150"/>
      <c r="J234" s="150"/>
      <c r="K234" s="150"/>
      <c r="L234" s="1"/>
      <c r="M234" s="1"/>
      <c r="N234" s="1"/>
      <c r="O234" s="1"/>
      <c r="P234" s="1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55"/>
      <c r="L235" s="1"/>
      <c r="M235" s="1"/>
      <c r="N235" s="1"/>
      <c r="O235" s="1"/>
      <c r="P235" s="1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55"/>
      <c r="L236" s="1"/>
      <c r="M236" s="1"/>
      <c r="N236" s="1"/>
      <c r="O236" s="1"/>
      <c r="P236" s="1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55"/>
      <c r="L237" s="1"/>
      <c r="M237" s="1"/>
      <c r="N237" s="1"/>
      <c r="O237" s="1"/>
      <c r="P237" s="1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53"/>
      <c r="L238" s="1"/>
      <c r="M238" s="1"/>
      <c r="N238" s="1"/>
      <c r="O238" s="1"/>
      <c r="P238" s="1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55"/>
      <c r="L239" s="1"/>
      <c r="M239" s="1"/>
      <c r="N239" s="1"/>
      <c r="O239" s="1"/>
      <c r="P239" s="1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30000.0</v>
      </c>
      <c r="I240" s="157"/>
      <c r="J240" s="157"/>
      <c r="K240" s="157"/>
      <c r="L240" s="1"/>
      <c r="M240" s="1"/>
      <c r="N240" s="1"/>
      <c r="O240" s="1"/>
      <c r="P240" s="1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57"/>
      <c r="L241" s="1"/>
      <c r="M241" s="1"/>
      <c r="N241" s="1"/>
      <c r="O241" s="1"/>
      <c r="P241" s="1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59"/>
      <c r="L242" s="1"/>
      <c r="M242" s="1"/>
      <c r="N242" s="1"/>
      <c r="O242" s="1"/>
      <c r="P242" s="1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59"/>
      <c r="L243" s="1"/>
      <c r="M243" s="1"/>
      <c r="N243" s="1"/>
      <c r="O243" s="1"/>
      <c r="P243" s="1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59"/>
      <c r="L244" s="1"/>
      <c r="M244" s="1"/>
      <c r="N244" s="1"/>
      <c r="O244" s="1"/>
      <c r="P244" s="1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62"/>
      <c r="L245" s="1"/>
      <c r="M245" s="1"/>
      <c r="N245" s="1"/>
      <c r="O245" s="1"/>
      <c r="P245" s="1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216</v>
      </c>
      <c r="I246" s="148"/>
      <c r="J246" s="148"/>
      <c r="K246" s="148"/>
      <c r="L246" s="1"/>
      <c r="M246" s="1"/>
      <c r="N246" s="1"/>
      <c r="O246" s="1"/>
      <c r="P246" s="1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6480000</v>
      </c>
      <c r="I247" s="150"/>
      <c r="J247" s="150"/>
      <c r="K247" s="150"/>
      <c r="L247" s="1"/>
      <c r="M247" s="1"/>
      <c r="N247" s="1"/>
      <c r="O247" s="1"/>
      <c r="P247" s="1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54</v>
      </c>
      <c r="I248" s="148"/>
      <c r="J248" s="148"/>
      <c r="K248" s="148"/>
      <c r="L248" s="1"/>
      <c r="M248" s="1"/>
      <c r="N248" s="1"/>
      <c r="O248" s="1"/>
      <c r="P248" s="1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405000</v>
      </c>
      <c r="I249" s="150"/>
      <c r="J249" s="150"/>
      <c r="K249" s="150"/>
      <c r="L249" s="1"/>
      <c r="M249" s="1"/>
      <c r="N249" s="1"/>
      <c r="O249" s="1"/>
      <c r="P249" s="1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48"/>
      <c r="L250" s="1"/>
      <c r="M250" s="1"/>
      <c r="N250" s="1"/>
      <c r="O250" s="1"/>
      <c r="P250" s="1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50"/>
      <c r="L251" s="1"/>
      <c r="M251" s="1"/>
      <c r="N251" s="1"/>
      <c r="O251" s="1"/>
      <c r="P251" s="1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48"/>
      <c r="L252" s="1"/>
      <c r="M252" s="1"/>
      <c r="N252" s="1"/>
      <c r="O252" s="1"/>
      <c r="P252" s="1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50"/>
      <c r="L253" s="1"/>
      <c r="M253" s="1"/>
      <c r="N253" s="1"/>
      <c r="O253" s="1"/>
      <c r="P253" s="1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48"/>
      <c r="L254" s="1"/>
      <c r="M254" s="1"/>
      <c r="N254" s="1"/>
      <c r="O254" s="1"/>
      <c r="P254" s="1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50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63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15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18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1173</v>
      </c>
      <c r="I259" s="115"/>
      <c r="J259" s="115"/>
      <c r="K259" s="115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0.9241261722</v>
      </c>
      <c r="I260" s="168"/>
      <c r="J260" s="168"/>
      <c r="K260" s="168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1084</v>
      </c>
      <c r="I261" s="169"/>
      <c r="J261" s="169"/>
      <c r="K261" s="169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15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48876500</v>
      </c>
      <c r="I263" s="170"/>
      <c r="J263" s="170"/>
      <c r="K263" s="170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68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45455145</v>
      </c>
      <c r="I265" s="150"/>
      <c r="J265" s="150"/>
      <c r="K265" s="150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15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38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37</v>
      </c>
      <c r="I268" s="13"/>
      <c r="J268" s="13"/>
      <c r="K268" s="13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0.8648648649</v>
      </c>
      <c r="I269" s="168"/>
      <c r="J269" s="168"/>
      <c r="K269" s="168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32</v>
      </c>
      <c r="I270" s="166"/>
      <c r="J270" s="166"/>
      <c r="K270" s="166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68"/>
      <c r="L271" s="1"/>
      <c r="M271" s="1"/>
      <c r="N271" s="1"/>
      <c r="O271" s="1"/>
      <c r="P271" s="1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3136890</v>
      </c>
      <c r="I272" s="150"/>
      <c r="J272" s="150"/>
      <c r="K272" s="150"/>
      <c r="L272" s="1"/>
      <c r="M272" s="1"/>
      <c r="N272" s="1"/>
      <c r="O272" s="1"/>
      <c r="P272" s="1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55"/>
      <c r="L273" s="1"/>
      <c r="M273" s="1"/>
      <c r="N273" s="1"/>
      <c r="O273" s="1"/>
      <c r="P273" s="1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55"/>
      <c r="L274" s="1"/>
      <c r="M274" s="1"/>
      <c r="N274" s="1"/>
      <c r="O274" s="1"/>
      <c r="P274" s="1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55"/>
      <c r="L275" s="1"/>
      <c r="M275" s="1"/>
      <c r="N275" s="1"/>
      <c r="O275" s="1"/>
      <c r="P275" s="1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55"/>
      <c r="L276" s="1"/>
      <c r="M276" s="1"/>
      <c r="N276" s="1"/>
      <c r="O276" s="1"/>
      <c r="P276" s="1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55"/>
      <c r="L277" s="1"/>
      <c r="M277" s="1"/>
      <c r="N277" s="1"/>
      <c r="O277" s="1"/>
      <c r="P277" s="1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55"/>
      <c r="L278" s="1"/>
      <c r="M278" s="1"/>
      <c r="N278" s="1"/>
      <c r="O278" s="1"/>
      <c r="P278" s="1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55"/>
      <c r="L279" s="1"/>
      <c r="M279" s="1"/>
      <c r="N279" s="1"/>
      <c r="O279" s="1"/>
      <c r="P279" s="1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55"/>
      <c r="L280" s="1"/>
      <c r="M280" s="1"/>
      <c r="N280" s="1"/>
      <c r="O280" s="1"/>
      <c r="P280" s="1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52"/>
      <c r="L281" s="160"/>
      <c r="M281" s="160"/>
      <c r="N281" s="160"/>
      <c r="O281" s="160"/>
      <c r="P281" s="160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52"/>
      <c r="L282" s="160"/>
      <c r="M282" s="160"/>
      <c r="N282" s="160"/>
      <c r="O282" s="160"/>
      <c r="P282" s="160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20</v>
      </c>
      <c r="I283" s="166"/>
      <c r="J283" s="166"/>
      <c r="K283" s="166"/>
      <c r="L283" s="1"/>
      <c r="M283" s="1"/>
      <c r="N283" s="1"/>
      <c r="O283" s="1"/>
      <c r="P283" s="1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2046000</v>
      </c>
      <c r="I284" s="150"/>
      <c r="J284" s="150"/>
      <c r="K284" s="150"/>
      <c r="L284" s="1"/>
      <c r="M284" s="1"/>
      <c r="N284" s="1"/>
      <c r="O284" s="1"/>
      <c r="P284" s="1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5</v>
      </c>
      <c r="I285" s="166"/>
      <c r="J285" s="166"/>
      <c r="K285" s="166"/>
      <c r="L285" s="1"/>
      <c r="M285" s="1"/>
      <c r="N285" s="1"/>
      <c r="O285" s="1"/>
      <c r="P285" s="1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146940</v>
      </c>
      <c r="I286" s="150"/>
      <c r="J286" s="150"/>
      <c r="K286" s="150"/>
      <c r="L286" s="1"/>
      <c r="M286" s="1"/>
      <c r="N286" s="1"/>
      <c r="O286" s="1"/>
      <c r="P286" s="1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66"/>
      <c r="L287" s="1"/>
      <c r="M287" s="1"/>
      <c r="N287" s="1"/>
      <c r="O287" s="1"/>
      <c r="P287" s="1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50"/>
      <c r="L288" s="1"/>
      <c r="M288" s="1"/>
      <c r="N288" s="1"/>
      <c r="O288" s="1"/>
      <c r="P288" s="1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7</v>
      </c>
      <c r="I289" s="166"/>
      <c r="J289" s="166"/>
      <c r="K289" s="166"/>
      <c r="L289" s="1"/>
      <c r="M289" s="1"/>
      <c r="N289" s="1"/>
      <c r="O289" s="1"/>
      <c r="P289" s="1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943950</v>
      </c>
      <c r="I290" s="150"/>
      <c r="J290" s="150"/>
      <c r="K290" s="150"/>
      <c r="L290" s="1"/>
      <c r="M290" s="1"/>
      <c r="N290" s="1"/>
      <c r="O290" s="1"/>
      <c r="P290" s="1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66"/>
      <c r="L291" s="1"/>
      <c r="M291" s="1"/>
      <c r="N291" s="1"/>
      <c r="O291" s="1"/>
      <c r="P291" s="1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50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38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51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0.8431372549</v>
      </c>
      <c r="I296" s="168"/>
      <c r="J296" s="168"/>
      <c r="K296" s="168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43</v>
      </c>
      <c r="I297" s="148"/>
      <c r="J297" s="148"/>
      <c r="K297" s="148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68"/>
      <c r="L298" s="1"/>
      <c r="M298" s="1"/>
      <c r="N298" s="1"/>
      <c r="O298" s="1"/>
      <c r="P298" s="1"/>
      <c r="Q298" s="1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3253140</v>
      </c>
      <c r="I299" s="173"/>
      <c r="J299" s="173"/>
      <c r="K299" s="173"/>
      <c r="L299" s="1"/>
      <c r="M299" s="1"/>
      <c r="N299" s="1"/>
      <c r="O299" s="1"/>
      <c r="P299" s="1"/>
      <c r="Q299" s="1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55"/>
      <c r="L300" s="1"/>
      <c r="M300" s="1"/>
      <c r="N300" s="1"/>
      <c r="O300" s="1"/>
      <c r="P300" s="1"/>
      <c r="Q300" s="1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55"/>
      <c r="L301" s="1"/>
      <c r="M301" s="1"/>
      <c r="N301" s="1"/>
      <c r="O301" s="1"/>
      <c r="P301" s="1"/>
      <c r="Q301" s="1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55"/>
      <c r="L302" s="1"/>
      <c r="M302" s="1"/>
      <c r="N302" s="1"/>
      <c r="O302" s="1"/>
      <c r="P302" s="1"/>
      <c r="Q302" s="1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55"/>
      <c r="L303" s="1"/>
      <c r="M303" s="1"/>
      <c r="N303" s="1"/>
      <c r="O303" s="1"/>
      <c r="P303" s="1"/>
      <c r="Q303" s="1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55"/>
      <c r="L304" s="1"/>
      <c r="M304" s="1"/>
      <c r="N304" s="1"/>
      <c r="O304" s="1"/>
      <c r="P304" s="1"/>
      <c r="Q304" s="1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55"/>
      <c r="L305" s="1"/>
      <c r="M305" s="1"/>
      <c r="N305" s="1"/>
      <c r="O305" s="1"/>
      <c r="P305" s="1"/>
      <c r="Q305" s="1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55"/>
      <c r="L306" s="1"/>
      <c r="M306" s="1"/>
      <c r="N306" s="1"/>
      <c r="O306" s="1"/>
      <c r="P306" s="1"/>
      <c r="Q306" s="1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55"/>
      <c r="L307" s="1"/>
      <c r="M307" s="1"/>
      <c r="N307" s="1"/>
      <c r="O307" s="1"/>
      <c r="P307" s="1"/>
      <c r="Q307" s="1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55"/>
      <c r="L308" s="1"/>
      <c r="M308" s="1"/>
      <c r="N308" s="1"/>
      <c r="O308" s="1"/>
      <c r="P308" s="1"/>
      <c r="Q308" s="1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55"/>
      <c r="L309" s="1"/>
      <c r="M309" s="1"/>
      <c r="N309" s="1"/>
      <c r="O309" s="1"/>
      <c r="P309" s="1"/>
      <c r="Q309" s="1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28</v>
      </c>
      <c r="I310" s="148"/>
      <c r="J310" s="148"/>
      <c r="K310" s="148"/>
      <c r="L310" s="1"/>
      <c r="M310" s="1"/>
      <c r="N310" s="1"/>
      <c r="O310" s="1"/>
      <c r="P310" s="1"/>
      <c r="Q310" s="1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2232000</v>
      </c>
      <c r="I311" s="150"/>
      <c r="J311" s="150"/>
      <c r="K311" s="150"/>
      <c r="L311" s="1"/>
      <c r="M311" s="1"/>
      <c r="N311" s="1"/>
      <c r="O311" s="1"/>
      <c r="P311" s="1"/>
      <c r="Q311" s="1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6</v>
      </c>
      <c r="I312" s="148"/>
      <c r="J312" s="148"/>
      <c r="K312" s="148"/>
      <c r="L312" s="1"/>
      <c r="M312" s="1"/>
      <c r="N312" s="1"/>
      <c r="O312" s="1"/>
      <c r="P312" s="1"/>
      <c r="Q312" s="1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100440</v>
      </c>
      <c r="I313" s="150"/>
      <c r="J313" s="150"/>
      <c r="K313" s="150"/>
      <c r="L313" s="1"/>
      <c r="M313" s="1"/>
      <c r="N313" s="1"/>
      <c r="O313" s="1"/>
      <c r="P313" s="1"/>
      <c r="Q313" s="1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48"/>
      <c r="L314" s="1"/>
      <c r="M314" s="1"/>
      <c r="N314" s="1"/>
      <c r="O314" s="1"/>
      <c r="P314" s="1"/>
      <c r="Q314" s="1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50"/>
      <c r="L315" s="1"/>
      <c r="M315" s="1"/>
      <c r="N315" s="1"/>
      <c r="O315" s="1"/>
      <c r="P315" s="1"/>
      <c r="Q315" s="1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9</v>
      </c>
      <c r="I316" s="148"/>
      <c r="J316" s="148"/>
      <c r="K316" s="148"/>
      <c r="L316" s="1"/>
      <c r="M316" s="1"/>
      <c r="N316" s="1"/>
      <c r="O316" s="1"/>
      <c r="P316" s="1"/>
      <c r="Q316" s="1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920700</v>
      </c>
      <c r="I317" s="150"/>
      <c r="J317" s="150"/>
      <c r="K317" s="150"/>
      <c r="L317" s="1"/>
      <c r="M317" s="1"/>
      <c r="N317" s="1"/>
      <c r="O317" s="1"/>
      <c r="P317" s="1"/>
      <c r="Q317" s="1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5</v>
      </c>
      <c r="I318" s="166"/>
      <c r="J318" s="166"/>
      <c r="K318" s="166"/>
      <c r="L318" s="1"/>
      <c r="M318" s="1"/>
      <c r="N318" s="1"/>
      <c r="O318" s="1"/>
      <c r="P318" s="1"/>
      <c r="Q318" s="1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50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38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243</v>
      </c>
      <c r="I322" s="163"/>
      <c r="J322" s="163"/>
      <c r="K322" s="163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0.9300411523</v>
      </c>
      <c r="I323" s="168"/>
      <c r="J323" s="168"/>
      <c r="K323" s="168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226</v>
      </c>
      <c r="I324" s="148"/>
      <c r="J324" s="148"/>
      <c r="K324" s="148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68"/>
      <c r="L325" s="1"/>
      <c r="M325" s="1"/>
      <c r="N325" s="1"/>
      <c r="O325" s="1"/>
      <c r="P325" s="1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14431740</v>
      </c>
      <c r="I326" s="150"/>
      <c r="J326" s="150"/>
      <c r="K326" s="150"/>
      <c r="L326" s="1"/>
      <c r="M326" s="1"/>
      <c r="N326" s="1"/>
      <c r="O326" s="1"/>
      <c r="P326" s="1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55"/>
      <c r="L327" s="1"/>
      <c r="M327" s="1"/>
      <c r="N327" s="1"/>
      <c r="O327" s="1"/>
      <c r="P327" s="1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55"/>
      <c r="L328" s="1"/>
      <c r="M328" s="1"/>
      <c r="N328" s="1"/>
      <c r="O328" s="1"/>
      <c r="P328" s="1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55"/>
      <c r="L329" s="1"/>
      <c r="M329" s="1"/>
      <c r="N329" s="1"/>
      <c r="O329" s="1"/>
      <c r="P329" s="1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55"/>
      <c r="L330" s="1"/>
      <c r="M330" s="1"/>
      <c r="N330" s="1"/>
      <c r="O330" s="1"/>
      <c r="P330" s="1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55"/>
      <c r="L331" s="1"/>
      <c r="M331" s="1"/>
      <c r="N331" s="1"/>
      <c r="O331" s="1"/>
      <c r="P331" s="1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55"/>
      <c r="L332" s="1"/>
      <c r="M332" s="1"/>
      <c r="N332" s="1"/>
      <c r="O332" s="1"/>
      <c r="P332" s="1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55"/>
      <c r="L333" s="1"/>
      <c r="M333" s="1"/>
      <c r="N333" s="1"/>
      <c r="O333" s="1"/>
      <c r="P333" s="1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55"/>
      <c r="L334" s="1"/>
      <c r="M334" s="1"/>
      <c r="N334" s="1"/>
      <c r="O334" s="1"/>
      <c r="P334" s="1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55"/>
      <c r="L335" s="1"/>
      <c r="M335" s="1"/>
      <c r="N335" s="1"/>
      <c r="O335" s="1"/>
      <c r="P335" s="1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55"/>
      <c r="L336" s="1"/>
      <c r="M336" s="1"/>
      <c r="N336" s="1"/>
      <c r="O336" s="1"/>
      <c r="P336" s="1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135</v>
      </c>
      <c r="I337" s="148"/>
      <c r="J337" s="148"/>
      <c r="K337" s="148"/>
      <c r="L337" s="1"/>
      <c r="M337" s="1"/>
      <c r="N337" s="1"/>
      <c r="O337" s="1"/>
      <c r="P337" s="1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10788000</v>
      </c>
      <c r="I338" s="150"/>
      <c r="J338" s="150"/>
      <c r="K338" s="150"/>
      <c r="L338" s="1"/>
      <c r="M338" s="1"/>
      <c r="N338" s="1"/>
      <c r="O338" s="1"/>
      <c r="P338" s="1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24</v>
      </c>
      <c r="I339" s="148"/>
      <c r="J339" s="148"/>
      <c r="K339" s="148"/>
      <c r="L339" s="1"/>
      <c r="M339" s="1"/>
      <c r="N339" s="1"/>
      <c r="O339" s="1"/>
      <c r="P339" s="1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362700</v>
      </c>
      <c r="I340" s="150"/>
      <c r="J340" s="150"/>
      <c r="K340" s="150"/>
      <c r="L340" s="1"/>
      <c r="M340" s="1"/>
      <c r="N340" s="1"/>
      <c r="O340" s="1"/>
      <c r="P340" s="1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48"/>
      <c r="L341" s="1"/>
      <c r="M341" s="1"/>
      <c r="N341" s="1"/>
      <c r="O341" s="1"/>
      <c r="P341" s="1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50"/>
      <c r="L342" s="1"/>
      <c r="M342" s="1"/>
      <c r="N342" s="1"/>
      <c r="O342" s="1"/>
      <c r="P342" s="1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67</v>
      </c>
      <c r="I343" s="148"/>
      <c r="J343" s="148"/>
      <c r="K343" s="148"/>
      <c r="L343" s="1"/>
      <c r="M343" s="1"/>
      <c r="N343" s="1"/>
      <c r="O343" s="1"/>
      <c r="P343" s="1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3281040</v>
      </c>
      <c r="I344" s="150"/>
      <c r="J344" s="150"/>
      <c r="K344" s="150"/>
      <c r="L344" s="1"/>
      <c r="M344" s="1"/>
      <c r="N344" s="1"/>
      <c r="O344" s="1"/>
      <c r="P344" s="1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66"/>
      <c r="L345" s="1"/>
      <c r="M345" s="1"/>
      <c r="N345" s="1"/>
      <c r="O345" s="1"/>
      <c r="P345" s="1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50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38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572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0.9300699301</v>
      </c>
      <c r="I350" s="168"/>
      <c r="J350" s="168"/>
      <c r="K350" s="168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532</v>
      </c>
      <c r="I351" s="148"/>
      <c r="J351" s="148"/>
      <c r="K351" s="148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68"/>
      <c r="L352" s="1"/>
      <c r="M352" s="1"/>
      <c r="N352" s="1"/>
      <c r="O352" s="1"/>
      <c r="P352" s="1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18230325</v>
      </c>
      <c r="I353" s="150"/>
      <c r="J353" s="150"/>
      <c r="K353" s="150"/>
      <c r="L353" s="1"/>
      <c r="M353" s="1"/>
      <c r="N353" s="1"/>
      <c r="O353" s="1"/>
      <c r="P353" s="1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55"/>
      <c r="L354" s="1"/>
      <c r="M354" s="1"/>
      <c r="N354" s="1"/>
      <c r="O354" s="1"/>
      <c r="P354" s="1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55"/>
      <c r="L355" s="1"/>
      <c r="M355" s="1"/>
      <c r="N355" s="1"/>
      <c r="O355" s="1"/>
      <c r="P355" s="1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55"/>
      <c r="L356" s="1"/>
      <c r="M356" s="1"/>
      <c r="N356" s="1"/>
      <c r="O356" s="1"/>
      <c r="P356" s="1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55"/>
      <c r="L357" s="1"/>
      <c r="M357" s="1"/>
      <c r="N357" s="1"/>
      <c r="O357" s="1"/>
      <c r="P357" s="1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53"/>
      <c r="L358" s="1"/>
      <c r="M358" s="1"/>
      <c r="N358" s="1"/>
      <c r="O358" s="1"/>
      <c r="P358" s="1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53"/>
      <c r="L359" s="1"/>
      <c r="M359" s="1"/>
      <c r="N359" s="1"/>
      <c r="O359" s="1"/>
      <c r="P359" s="1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53"/>
      <c r="L360" s="1"/>
      <c r="M360" s="1"/>
      <c r="N360" s="1"/>
      <c r="O360" s="1"/>
      <c r="P360" s="1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53"/>
      <c r="L361" s="1"/>
      <c r="M361" s="1"/>
      <c r="N361" s="1"/>
      <c r="O361" s="1"/>
      <c r="P361" s="1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55"/>
      <c r="L362" s="1"/>
      <c r="M362" s="1"/>
      <c r="N362" s="1"/>
      <c r="O362" s="1"/>
      <c r="P362" s="1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55"/>
      <c r="L363" s="1"/>
      <c r="M363" s="1"/>
      <c r="N363" s="1"/>
      <c r="O363" s="1"/>
      <c r="P363" s="1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425</v>
      </c>
      <c r="I364" s="148"/>
      <c r="J364" s="148"/>
      <c r="K364" s="148"/>
      <c r="L364" s="1"/>
      <c r="M364" s="1"/>
      <c r="N364" s="1"/>
      <c r="O364" s="1"/>
      <c r="P364" s="1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17000400</v>
      </c>
      <c r="I365" s="150"/>
      <c r="J365" s="150"/>
      <c r="K365" s="150"/>
      <c r="L365" s="1"/>
      <c r="M365" s="1"/>
      <c r="N365" s="1"/>
      <c r="O365" s="1"/>
      <c r="P365" s="1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107</v>
      </c>
      <c r="I366" s="148"/>
      <c r="J366" s="148"/>
      <c r="K366" s="148"/>
      <c r="L366" s="1"/>
      <c r="M366" s="1"/>
      <c r="N366" s="1"/>
      <c r="O366" s="1"/>
      <c r="P366" s="1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1229925</v>
      </c>
      <c r="I367" s="150"/>
      <c r="J367" s="150"/>
      <c r="K367" s="150"/>
      <c r="L367" s="1"/>
      <c r="M367" s="1"/>
      <c r="N367" s="1"/>
      <c r="O367" s="1"/>
      <c r="P367" s="1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48"/>
      <c r="L368" s="1"/>
      <c r="M368" s="1"/>
      <c r="N368" s="1"/>
      <c r="O368" s="1"/>
      <c r="P368" s="1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50"/>
      <c r="L369" s="1"/>
      <c r="M369" s="1"/>
      <c r="N369" s="1"/>
      <c r="O369" s="1"/>
      <c r="P369" s="1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48"/>
      <c r="L370" s="1"/>
      <c r="M370" s="1"/>
      <c r="N370" s="1"/>
      <c r="O370" s="1"/>
      <c r="P370" s="1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50"/>
      <c r="L371" s="1"/>
      <c r="M371" s="1"/>
      <c r="N371" s="1"/>
      <c r="O371" s="1"/>
      <c r="P371" s="1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66"/>
      <c r="L372" s="1"/>
      <c r="M372" s="1"/>
      <c r="N372" s="1"/>
      <c r="O372" s="1"/>
      <c r="P372" s="1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50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38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270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0.9296296296</v>
      </c>
      <c r="I377" s="168"/>
      <c r="J377" s="168"/>
      <c r="K377" s="168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251</v>
      </c>
      <c r="I378" s="148"/>
      <c r="J378" s="148"/>
      <c r="K378" s="148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34"/>
      <c r="L379" s="1"/>
      <c r="M379" s="1"/>
      <c r="N379" s="1"/>
      <c r="O379" s="1"/>
      <c r="P379" s="1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6403050</v>
      </c>
      <c r="I380" s="150"/>
      <c r="J380" s="150"/>
      <c r="K380" s="150"/>
      <c r="L380" s="1"/>
      <c r="M380" s="1"/>
      <c r="N380" s="1"/>
      <c r="O380" s="1"/>
      <c r="P380" s="1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55"/>
      <c r="L381" s="1"/>
      <c r="M381" s="1"/>
      <c r="N381" s="1"/>
      <c r="O381" s="1"/>
      <c r="P381" s="1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55"/>
      <c r="L382" s="1"/>
      <c r="M382" s="1"/>
      <c r="N382" s="1"/>
      <c r="O382" s="1"/>
      <c r="P382" s="1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55"/>
      <c r="L383" s="1"/>
      <c r="M383" s="1"/>
      <c r="N383" s="1"/>
      <c r="O383" s="1"/>
      <c r="P383" s="1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55"/>
      <c r="L384" s="1"/>
      <c r="M384" s="1"/>
      <c r="N384" s="1"/>
      <c r="O384" s="1"/>
      <c r="P384" s="1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53"/>
      <c r="L385" s="1"/>
      <c r="M385" s="1"/>
      <c r="N385" s="1"/>
      <c r="O385" s="1"/>
      <c r="P385" s="1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53"/>
      <c r="L386" s="1"/>
      <c r="M386" s="1"/>
      <c r="N386" s="1"/>
      <c r="O386" s="1"/>
      <c r="P386" s="1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53"/>
      <c r="L387" s="1"/>
      <c r="M387" s="1"/>
      <c r="N387" s="1"/>
      <c r="O387" s="1"/>
      <c r="P387" s="1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53"/>
      <c r="L388" s="1"/>
      <c r="M388" s="1"/>
      <c r="N388" s="1"/>
      <c r="O388" s="1"/>
      <c r="P388" s="1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55"/>
      <c r="L389" s="1"/>
      <c r="M389" s="1"/>
      <c r="N389" s="1"/>
      <c r="O389" s="1"/>
      <c r="P389" s="1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55"/>
      <c r="L390" s="1"/>
      <c r="M390" s="1"/>
      <c r="N390" s="1"/>
      <c r="O390" s="1"/>
      <c r="P390" s="1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201</v>
      </c>
      <c r="I391" s="148"/>
      <c r="J391" s="148"/>
      <c r="K391" s="148"/>
      <c r="L391" s="1"/>
      <c r="M391" s="1"/>
      <c r="N391" s="1"/>
      <c r="O391" s="1"/>
      <c r="P391" s="1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6026400</v>
      </c>
      <c r="I392" s="150"/>
      <c r="J392" s="150"/>
      <c r="K392" s="150"/>
      <c r="L392" s="1"/>
      <c r="M392" s="1"/>
      <c r="N392" s="1"/>
      <c r="O392" s="1"/>
      <c r="P392" s="1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50</v>
      </c>
      <c r="I393" s="148"/>
      <c r="J393" s="148"/>
      <c r="K393" s="148"/>
      <c r="L393" s="1"/>
      <c r="M393" s="1"/>
      <c r="N393" s="1"/>
      <c r="O393" s="1"/>
      <c r="P393" s="1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376650</v>
      </c>
      <c r="I394" s="150"/>
      <c r="J394" s="150"/>
      <c r="K394" s="150"/>
      <c r="L394" s="1"/>
      <c r="M394" s="1"/>
      <c r="N394" s="1"/>
      <c r="O394" s="1"/>
      <c r="P394" s="1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48"/>
      <c r="L395" s="1"/>
      <c r="M395" s="1"/>
      <c r="N395" s="1"/>
      <c r="O395" s="1"/>
      <c r="P395" s="1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50"/>
      <c r="L396" s="1"/>
      <c r="M396" s="1"/>
      <c r="N396" s="1"/>
      <c r="O396" s="1"/>
      <c r="P396" s="1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48"/>
      <c r="L397" s="1"/>
      <c r="M397" s="1"/>
      <c r="N397" s="1"/>
      <c r="O397" s="1"/>
      <c r="P397" s="1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50"/>
      <c r="L398" s="1"/>
      <c r="M398" s="1"/>
      <c r="N398" s="1"/>
      <c r="O398" s="1"/>
      <c r="P398" s="1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48"/>
      <c r="L399" s="1"/>
      <c r="M399" s="1"/>
      <c r="N399" s="1"/>
      <c r="O399" s="1"/>
      <c r="P399" s="1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50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18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1084</v>
      </c>
      <c r="I404" s="123"/>
      <c r="J404" s="123"/>
      <c r="K404" s="123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68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1084</v>
      </c>
      <c r="I406" s="148"/>
      <c r="J406" s="148"/>
      <c r="K406" s="148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45455145</v>
      </c>
      <c r="I408" s="150"/>
      <c r="J408" s="150"/>
      <c r="K408" s="150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68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45455145</v>
      </c>
      <c r="I410" s="150"/>
      <c r="J410" s="150"/>
      <c r="K410" s="150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15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38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68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32</v>
      </c>
      <c r="I414" s="148"/>
      <c r="J414" s="148"/>
      <c r="K414" s="148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68"/>
      <c r="L415" s="1"/>
      <c r="M415" s="1"/>
      <c r="N415" s="1"/>
      <c r="O415" s="1"/>
      <c r="P415" s="1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3136890</v>
      </c>
      <c r="I416" s="150"/>
      <c r="J416" s="150"/>
      <c r="K416" s="150"/>
      <c r="L416" s="1"/>
      <c r="M416" s="1"/>
      <c r="N416" s="1"/>
      <c r="O416" s="1"/>
      <c r="P416" s="1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53"/>
      <c r="L417" s="1"/>
      <c r="M417" s="1"/>
      <c r="N417" s="1"/>
      <c r="O417" s="1"/>
      <c r="P417" s="1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53"/>
      <c r="L418" s="1"/>
      <c r="M418" s="1"/>
      <c r="N418" s="1"/>
      <c r="O418" s="1"/>
      <c r="P418" s="1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53"/>
      <c r="L419" s="1"/>
      <c r="M419" s="1"/>
      <c r="N419" s="1"/>
      <c r="O419" s="1"/>
      <c r="P419" s="1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53"/>
      <c r="L420" s="1"/>
      <c r="M420" s="1"/>
      <c r="N420" s="1"/>
      <c r="O420" s="1"/>
      <c r="P420" s="1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53"/>
      <c r="L421" s="1"/>
      <c r="M421" s="1"/>
      <c r="N421" s="1"/>
      <c r="O421" s="1"/>
      <c r="P421" s="1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53"/>
      <c r="L422" s="1"/>
      <c r="M422" s="1"/>
      <c r="N422" s="1"/>
      <c r="O422" s="1"/>
      <c r="P422" s="1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53"/>
      <c r="L423" s="1"/>
      <c r="M423" s="1"/>
      <c r="N423" s="1"/>
      <c r="O423" s="1"/>
      <c r="P423" s="1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53"/>
      <c r="L424" s="1"/>
      <c r="M424" s="1"/>
      <c r="N424" s="1"/>
      <c r="O424" s="1"/>
      <c r="P424" s="1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53"/>
      <c r="L425" s="1"/>
      <c r="M425" s="1"/>
      <c r="N425" s="1"/>
      <c r="O425" s="1"/>
      <c r="P425" s="1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53"/>
      <c r="L426" s="1"/>
      <c r="M426" s="1"/>
      <c r="N426" s="1"/>
      <c r="O426" s="1"/>
      <c r="P426" s="1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20</v>
      </c>
      <c r="I427" s="148"/>
      <c r="J427" s="148"/>
      <c r="K427" s="148"/>
      <c r="L427" s="1"/>
      <c r="M427" s="1"/>
      <c r="N427" s="1"/>
      <c r="O427" s="1"/>
      <c r="P427" s="1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2046000</v>
      </c>
      <c r="I428" s="173"/>
      <c r="J428" s="173"/>
      <c r="K428" s="173"/>
      <c r="L428" s="1"/>
      <c r="M428" s="1"/>
      <c r="N428" s="1"/>
      <c r="O428" s="1"/>
      <c r="P428" s="1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5</v>
      </c>
      <c r="I429" s="148"/>
      <c r="J429" s="148"/>
      <c r="K429" s="148"/>
      <c r="L429" s="1"/>
      <c r="M429" s="1"/>
      <c r="N429" s="1"/>
      <c r="O429" s="1"/>
      <c r="P429" s="1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146940</v>
      </c>
      <c r="I430" s="148"/>
      <c r="J430" s="148"/>
      <c r="K430" s="148"/>
      <c r="L430" s="1"/>
      <c r="M430" s="1"/>
      <c r="N430" s="1"/>
      <c r="O430" s="1"/>
      <c r="P430" s="1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74"/>
      <c r="L431" s="1"/>
      <c r="M431" s="1"/>
      <c r="N431" s="1"/>
      <c r="O431" s="1"/>
      <c r="P431" s="1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74"/>
      <c r="L432" s="1"/>
      <c r="M432" s="1"/>
      <c r="N432" s="1"/>
      <c r="O432" s="1"/>
      <c r="P432" s="1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7</v>
      </c>
      <c r="I433" s="174"/>
      <c r="J433" s="174"/>
      <c r="K433" s="174"/>
      <c r="L433" s="1"/>
      <c r="M433" s="1"/>
      <c r="N433" s="1"/>
      <c r="O433" s="1"/>
      <c r="P433" s="1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943950</v>
      </c>
      <c r="I434" s="174"/>
      <c r="J434" s="174"/>
      <c r="K434" s="174"/>
      <c r="L434" s="1"/>
      <c r="M434" s="1"/>
      <c r="N434" s="1"/>
      <c r="O434" s="1"/>
      <c r="P434" s="1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74"/>
      <c r="L435" s="1"/>
      <c r="M435" s="1"/>
      <c r="N435" s="1"/>
      <c r="O435" s="1"/>
      <c r="P435" s="1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74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38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68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43</v>
      </c>
      <c r="I440" s="148"/>
      <c r="J440" s="148"/>
      <c r="K440" s="148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68"/>
      <c r="L441" s="1"/>
      <c r="M441" s="1"/>
      <c r="N441" s="1"/>
      <c r="O441" s="1"/>
      <c r="P441" s="1"/>
      <c r="Q441" s="1"/>
      <c r="R441" s="1"/>
      <c r="S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3253140</v>
      </c>
      <c r="I442" s="150"/>
      <c r="J442" s="150"/>
      <c r="K442" s="150"/>
      <c r="L442" s="1"/>
      <c r="M442" s="1"/>
      <c r="N442" s="1"/>
      <c r="O442" s="1"/>
      <c r="P442" s="1"/>
      <c r="Q442" s="1"/>
      <c r="R442" s="1"/>
      <c r="S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55"/>
      <c r="L443" s="1"/>
      <c r="M443" s="1"/>
      <c r="N443" s="1"/>
      <c r="O443" s="1"/>
      <c r="P443" s="1"/>
      <c r="Q443" s="1"/>
      <c r="R443" s="1"/>
      <c r="S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55"/>
      <c r="L444" s="1"/>
      <c r="M444" s="1"/>
      <c r="N444" s="1"/>
      <c r="O444" s="1"/>
      <c r="P444" s="1"/>
      <c r="Q444" s="1"/>
      <c r="R444" s="1"/>
      <c r="S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55"/>
      <c r="L445" s="1"/>
      <c r="M445" s="1"/>
      <c r="N445" s="1"/>
      <c r="O445" s="1"/>
      <c r="P445" s="1"/>
      <c r="Q445" s="1"/>
      <c r="R445" s="1"/>
      <c r="S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55"/>
      <c r="L446" s="1"/>
      <c r="M446" s="1"/>
      <c r="N446" s="1"/>
      <c r="O446" s="1"/>
      <c r="P446" s="1"/>
      <c r="Q446" s="1"/>
      <c r="R446" s="1"/>
      <c r="S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55"/>
      <c r="L447" s="1"/>
      <c r="M447" s="1"/>
      <c r="N447" s="1"/>
      <c r="O447" s="1"/>
      <c r="P447" s="1"/>
      <c r="Q447" s="1"/>
      <c r="R447" s="1"/>
      <c r="S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55"/>
      <c r="L448" s="1"/>
      <c r="M448" s="1"/>
      <c r="N448" s="1"/>
      <c r="O448" s="1"/>
      <c r="P448" s="1"/>
      <c r="Q448" s="1"/>
      <c r="R448" s="1"/>
      <c r="S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53"/>
      <c r="L449" s="1"/>
      <c r="M449" s="1"/>
      <c r="N449" s="1"/>
      <c r="O449" s="1"/>
      <c r="P449" s="1"/>
      <c r="Q449" s="1"/>
      <c r="R449" s="1"/>
      <c r="S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53"/>
      <c r="L450" s="1"/>
      <c r="M450" s="1"/>
      <c r="N450" s="1"/>
      <c r="O450" s="1"/>
      <c r="P450" s="1"/>
      <c r="Q450" s="1"/>
      <c r="R450" s="1"/>
      <c r="S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53"/>
      <c r="L451" s="1"/>
      <c r="M451" s="1"/>
      <c r="N451" s="1"/>
      <c r="O451" s="1"/>
      <c r="P451" s="1"/>
      <c r="Q451" s="1"/>
      <c r="R451" s="1"/>
      <c r="S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53"/>
      <c r="L452" s="1"/>
      <c r="M452" s="1"/>
      <c r="N452" s="1"/>
      <c r="O452" s="1"/>
      <c r="P452" s="1"/>
      <c r="Q452" s="1"/>
      <c r="R452" s="1"/>
      <c r="S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28</v>
      </c>
      <c r="I453" s="148"/>
      <c r="J453" s="148"/>
      <c r="K453" s="148"/>
      <c r="L453" s="1"/>
      <c r="M453" s="1"/>
      <c r="N453" s="1"/>
      <c r="O453" s="1"/>
      <c r="P453" s="1"/>
      <c r="Q453" s="1"/>
      <c r="R453" s="1"/>
      <c r="S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2232000</v>
      </c>
      <c r="I454" s="148"/>
      <c r="J454" s="148"/>
      <c r="K454" s="148"/>
      <c r="L454" s="1"/>
      <c r="M454" s="1"/>
      <c r="N454" s="1"/>
      <c r="O454" s="1"/>
      <c r="P454" s="1"/>
      <c r="Q454" s="1"/>
      <c r="R454" s="1"/>
      <c r="S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6</v>
      </c>
      <c r="I455" s="148"/>
      <c r="J455" s="148"/>
      <c r="K455" s="148"/>
      <c r="L455" s="1"/>
      <c r="M455" s="1"/>
      <c r="N455" s="1"/>
      <c r="O455" s="1"/>
      <c r="P455" s="1"/>
      <c r="Q455" s="1"/>
      <c r="R455" s="1"/>
      <c r="S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100440</v>
      </c>
      <c r="I456" s="148"/>
      <c r="J456" s="148"/>
      <c r="K456" s="148"/>
      <c r="L456" s="1"/>
      <c r="M456" s="1"/>
      <c r="N456" s="1"/>
      <c r="O456" s="1"/>
      <c r="P456" s="1"/>
      <c r="Q456" s="1"/>
      <c r="R456" s="1"/>
      <c r="S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48"/>
      <c r="L457" s="1"/>
      <c r="M457" s="1"/>
      <c r="N457" s="1"/>
      <c r="O457" s="1"/>
      <c r="P457" s="1"/>
      <c r="Q457" s="1"/>
      <c r="R457" s="1"/>
      <c r="S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48"/>
      <c r="L458" s="1"/>
      <c r="M458" s="1"/>
      <c r="N458" s="1"/>
      <c r="O458" s="1"/>
      <c r="P458" s="1"/>
      <c r="Q458" s="1"/>
      <c r="R458" s="1"/>
      <c r="S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9</v>
      </c>
      <c r="I459" s="148"/>
      <c r="J459" s="148"/>
      <c r="K459" s="148"/>
      <c r="L459" s="1"/>
      <c r="M459" s="1"/>
      <c r="N459" s="1"/>
      <c r="O459" s="1"/>
      <c r="P459" s="1"/>
      <c r="Q459" s="1"/>
      <c r="R459" s="1"/>
      <c r="S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920700</v>
      </c>
      <c r="I460" s="148"/>
      <c r="J460" s="148"/>
      <c r="K460" s="148"/>
      <c r="L460" s="1"/>
      <c r="M460" s="1"/>
      <c r="N460" s="1"/>
      <c r="O460" s="1"/>
      <c r="P460" s="1"/>
      <c r="Q460" s="1"/>
      <c r="R460" s="1"/>
      <c r="S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5</v>
      </c>
      <c r="I461" s="148"/>
      <c r="J461" s="148"/>
      <c r="K461" s="148"/>
      <c r="L461" s="1"/>
      <c r="M461" s="1"/>
      <c r="N461" s="1"/>
      <c r="O461" s="1"/>
      <c r="P461" s="1"/>
      <c r="Q461" s="1"/>
      <c r="R461" s="1"/>
      <c r="S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48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38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68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226</v>
      </c>
      <c r="I466" s="148"/>
      <c r="J466" s="148"/>
      <c r="K466" s="148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68"/>
      <c r="L467" s="1"/>
      <c r="M467" s="1"/>
      <c r="N467" s="1"/>
      <c r="O467" s="1"/>
      <c r="P467" s="1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14431740</v>
      </c>
      <c r="I468" s="150"/>
      <c r="J468" s="150"/>
      <c r="K468" s="150"/>
      <c r="L468" s="1"/>
      <c r="M468" s="1"/>
      <c r="N468" s="1"/>
      <c r="O468" s="1"/>
      <c r="P468" s="1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55"/>
      <c r="L469" s="1"/>
      <c r="M469" s="1"/>
      <c r="N469" s="1"/>
      <c r="O469" s="1"/>
      <c r="P469" s="1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55"/>
      <c r="L470" s="1"/>
      <c r="M470" s="1"/>
      <c r="N470" s="1"/>
      <c r="O470" s="1"/>
      <c r="P470" s="1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55"/>
      <c r="L471" s="1"/>
      <c r="M471" s="1"/>
      <c r="N471" s="1"/>
      <c r="O471" s="1"/>
      <c r="P471" s="1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55"/>
      <c r="L472" s="1"/>
      <c r="M472" s="1"/>
      <c r="N472" s="1"/>
      <c r="O472" s="1"/>
      <c r="P472" s="1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55"/>
      <c r="L473" s="1"/>
      <c r="M473" s="1"/>
      <c r="N473" s="1"/>
      <c r="O473" s="1"/>
      <c r="P473" s="1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55"/>
      <c r="L474" s="1"/>
      <c r="M474" s="1"/>
      <c r="N474" s="1"/>
      <c r="O474" s="1"/>
      <c r="P474" s="1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55"/>
      <c r="L475" s="1"/>
      <c r="M475" s="1"/>
      <c r="N475" s="1"/>
      <c r="O475" s="1"/>
      <c r="P475" s="1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55"/>
      <c r="L476" s="1"/>
      <c r="M476" s="1"/>
      <c r="N476" s="1"/>
      <c r="O476" s="1"/>
      <c r="P476" s="1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55"/>
      <c r="L477" s="1"/>
      <c r="M477" s="1"/>
      <c r="N477" s="1"/>
      <c r="O477" s="1"/>
      <c r="P477" s="1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55"/>
      <c r="L478" s="1"/>
      <c r="M478" s="1"/>
      <c r="N478" s="1"/>
      <c r="O478" s="1"/>
      <c r="P478" s="1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135</v>
      </c>
      <c r="I479" s="148"/>
      <c r="J479" s="148"/>
      <c r="K479" s="148"/>
      <c r="L479" s="1"/>
      <c r="M479" s="1"/>
      <c r="N479" s="1"/>
      <c r="O479" s="1"/>
      <c r="P479" s="1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10788000</v>
      </c>
      <c r="I480" s="148"/>
      <c r="J480" s="148"/>
      <c r="K480" s="148"/>
      <c r="L480" s="1"/>
      <c r="M480" s="1"/>
      <c r="N480" s="1"/>
      <c r="O480" s="1"/>
      <c r="P480" s="1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24</v>
      </c>
      <c r="I481" s="148"/>
      <c r="J481" s="148"/>
      <c r="K481" s="148"/>
      <c r="L481" s="1"/>
      <c r="M481" s="1"/>
      <c r="N481" s="1"/>
      <c r="O481" s="1"/>
      <c r="P481" s="1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362700</v>
      </c>
      <c r="I482" s="148"/>
      <c r="J482" s="148"/>
      <c r="K482" s="148"/>
      <c r="L482" s="1"/>
      <c r="M482" s="1"/>
      <c r="N482" s="1"/>
      <c r="O482" s="1"/>
      <c r="P482" s="1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48"/>
      <c r="L483" s="1"/>
      <c r="M483" s="1"/>
      <c r="N483" s="1"/>
      <c r="O483" s="1"/>
      <c r="P483" s="1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48"/>
      <c r="L484" s="1"/>
      <c r="M484" s="1"/>
      <c r="N484" s="1"/>
      <c r="O484" s="1"/>
      <c r="P484" s="1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67</v>
      </c>
      <c r="I485" s="148"/>
      <c r="J485" s="148"/>
      <c r="K485" s="148"/>
      <c r="L485" s="1"/>
      <c r="M485" s="1"/>
      <c r="N485" s="1"/>
      <c r="O485" s="1"/>
      <c r="P485" s="1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3281040</v>
      </c>
      <c r="I486" s="148"/>
      <c r="J486" s="148"/>
      <c r="K486" s="148"/>
      <c r="L486" s="1"/>
      <c r="M486" s="1"/>
      <c r="N486" s="1"/>
      <c r="O486" s="1"/>
      <c r="P486" s="1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48"/>
      <c r="L487" s="1"/>
      <c r="M487" s="1"/>
      <c r="N487" s="1"/>
      <c r="O487" s="1"/>
      <c r="P487" s="1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48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38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68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532</v>
      </c>
      <c r="I492" s="148"/>
      <c r="J492" s="148"/>
      <c r="K492" s="148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68"/>
      <c r="L493" s="1"/>
      <c r="M493" s="1"/>
      <c r="N493" s="1"/>
      <c r="O493" s="1"/>
      <c r="P493" s="1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18230325</v>
      </c>
      <c r="I494" s="150"/>
      <c r="J494" s="150"/>
      <c r="K494" s="150"/>
      <c r="L494" s="1"/>
      <c r="M494" s="1"/>
      <c r="N494" s="1"/>
      <c r="O494" s="1"/>
      <c r="P494" s="1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55"/>
      <c r="L495" s="1"/>
      <c r="M495" s="1"/>
      <c r="N495" s="1"/>
      <c r="O495" s="1"/>
      <c r="P495" s="1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55"/>
      <c r="L496" s="1"/>
      <c r="M496" s="1"/>
      <c r="N496" s="1"/>
      <c r="O496" s="1"/>
      <c r="P496" s="1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55"/>
      <c r="L497" s="1"/>
      <c r="M497" s="1"/>
      <c r="N497" s="1"/>
      <c r="O497" s="1"/>
      <c r="P497" s="1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55"/>
      <c r="L498" s="1"/>
      <c r="M498" s="1"/>
      <c r="N498" s="1"/>
      <c r="O498" s="1"/>
      <c r="P498" s="1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53"/>
      <c r="L499" s="1"/>
      <c r="M499" s="1"/>
      <c r="N499" s="1"/>
      <c r="O499" s="1"/>
      <c r="P499" s="1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53"/>
      <c r="L500" s="1"/>
      <c r="M500" s="1"/>
      <c r="N500" s="1"/>
      <c r="O500" s="1"/>
      <c r="P500" s="1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53"/>
      <c r="L501" s="1"/>
      <c r="M501" s="1"/>
      <c r="N501" s="1"/>
      <c r="O501" s="1"/>
      <c r="P501" s="1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53"/>
      <c r="L502" s="1"/>
      <c r="M502" s="1"/>
      <c r="N502" s="1"/>
      <c r="O502" s="1"/>
      <c r="P502" s="1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53"/>
      <c r="L503" s="1"/>
      <c r="M503" s="1"/>
      <c r="N503" s="1"/>
      <c r="O503" s="1"/>
      <c r="P503" s="1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53"/>
      <c r="L504" s="1"/>
      <c r="M504" s="1"/>
      <c r="N504" s="1"/>
      <c r="O504" s="1"/>
      <c r="P504" s="1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425</v>
      </c>
      <c r="I505" s="148"/>
      <c r="J505" s="148"/>
      <c r="K505" s="148"/>
      <c r="L505" s="1"/>
      <c r="M505" s="1"/>
      <c r="N505" s="1"/>
      <c r="O505" s="1"/>
      <c r="P505" s="1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17000400</v>
      </c>
      <c r="I506" s="148"/>
      <c r="J506" s="148"/>
      <c r="K506" s="148"/>
      <c r="L506" s="1"/>
      <c r="M506" s="1"/>
      <c r="N506" s="1"/>
      <c r="O506" s="1"/>
      <c r="P506" s="1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107</v>
      </c>
      <c r="I507" s="148"/>
      <c r="J507" s="148"/>
      <c r="K507" s="148"/>
      <c r="L507" s="1"/>
      <c r="M507" s="1"/>
      <c r="N507" s="1"/>
      <c r="O507" s="1"/>
      <c r="P507" s="1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1229925</v>
      </c>
      <c r="I508" s="148"/>
      <c r="J508" s="148"/>
      <c r="K508" s="148"/>
      <c r="L508" s="1"/>
      <c r="M508" s="1"/>
      <c r="N508" s="1"/>
      <c r="O508" s="1"/>
      <c r="P508" s="1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48"/>
      <c r="L509" s="1"/>
      <c r="M509" s="1"/>
      <c r="N509" s="1"/>
      <c r="O509" s="1"/>
      <c r="P509" s="1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48"/>
      <c r="L510" s="1"/>
      <c r="M510" s="1"/>
      <c r="N510" s="1"/>
      <c r="O510" s="1"/>
      <c r="P510" s="1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48"/>
      <c r="L511" s="1"/>
      <c r="M511" s="1"/>
      <c r="N511" s="1"/>
      <c r="O511" s="1"/>
      <c r="P511" s="1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48"/>
      <c r="L512" s="1"/>
      <c r="M512" s="1"/>
      <c r="N512" s="1"/>
      <c r="O512" s="1"/>
      <c r="P512" s="1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48"/>
      <c r="L513" s="1"/>
      <c r="M513" s="1"/>
      <c r="N513" s="1"/>
      <c r="O513" s="1"/>
      <c r="P513" s="1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48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38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68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251</v>
      </c>
      <c r="I518" s="148"/>
      <c r="J518" s="148"/>
      <c r="K518" s="148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68"/>
      <c r="L519" s="1"/>
      <c r="M519" s="1"/>
      <c r="N519" s="1"/>
      <c r="O519" s="1"/>
      <c r="P519" s="1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6403050</v>
      </c>
      <c r="I520" s="150"/>
      <c r="J520" s="150"/>
      <c r="K520" s="150"/>
      <c r="L520" s="1"/>
      <c r="M520" s="1"/>
      <c r="N520" s="1"/>
      <c r="O520" s="1"/>
      <c r="P520" s="1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55"/>
      <c r="L521" s="1"/>
      <c r="M521" s="1"/>
      <c r="N521" s="1"/>
      <c r="O521" s="1"/>
      <c r="P521" s="1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55"/>
      <c r="L522" s="1"/>
      <c r="M522" s="1"/>
      <c r="N522" s="1"/>
      <c r="O522" s="1"/>
      <c r="P522" s="1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55"/>
      <c r="L523" s="1"/>
      <c r="M523" s="1"/>
      <c r="N523" s="1"/>
      <c r="O523" s="1"/>
      <c r="P523" s="1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55"/>
      <c r="L524" s="1"/>
      <c r="M524" s="1"/>
      <c r="N524" s="1"/>
      <c r="O524" s="1"/>
      <c r="P524" s="1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53"/>
      <c r="L525" s="1"/>
      <c r="M525" s="1"/>
      <c r="N525" s="1"/>
      <c r="O525" s="1"/>
      <c r="P525" s="1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53"/>
      <c r="L526" s="1"/>
      <c r="M526" s="1"/>
      <c r="N526" s="1"/>
      <c r="O526" s="1"/>
      <c r="P526" s="1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53"/>
      <c r="L527" s="1"/>
      <c r="M527" s="1"/>
      <c r="N527" s="1"/>
      <c r="O527" s="1"/>
      <c r="P527" s="1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53"/>
      <c r="L528" s="1"/>
      <c r="M528" s="1"/>
      <c r="N528" s="1"/>
      <c r="O528" s="1"/>
      <c r="P528" s="1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53"/>
      <c r="L529" s="1"/>
      <c r="M529" s="1"/>
      <c r="N529" s="1"/>
      <c r="O529" s="1"/>
      <c r="P529" s="1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53"/>
      <c r="L530" s="1"/>
      <c r="M530" s="1"/>
      <c r="N530" s="1"/>
      <c r="O530" s="1"/>
      <c r="P530" s="1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201</v>
      </c>
      <c r="I531" s="148"/>
      <c r="J531" s="148"/>
      <c r="K531" s="148"/>
      <c r="L531" s="1"/>
      <c r="M531" s="1"/>
      <c r="N531" s="1"/>
      <c r="O531" s="1"/>
      <c r="P531" s="1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6026400</v>
      </c>
      <c r="I532" s="148"/>
      <c r="J532" s="148"/>
      <c r="K532" s="148"/>
      <c r="L532" s="1"/>
      <c r="M532" s="1"/>
      <c r="N532" s="1"/>
      <c r="O532" s="1"/>
      <c r="P532" s="1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50</v>
      </c>
      <c r="I533" s="148"/>
      <c r="J533" s="148"/>
      <c r="K533" s="148"/>
      <c r="L533" s="1"/>
      <c r="M533" s="1"/>
      <c r="N533" s="1"/>
      <c r="O533" s="1"/>
      <c r="P533" s="1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376650</v>
      </c>
      <c r="I534" s="148"/>
      <c r="J534" s="148"/>
      <c r="K534" s="148"/>
      <c r="L534" s="1"/>
      <c r="M534" s="1"/>
      <c r="N534" s="1"/>
      <c r="O534" s="1"/>
      <c r="P534" s="1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48"/>
      <c r="L535" s="1"/>
      <c r="M535" s="1"/>
      <c r="N535" s="1"/>
      <c r="O535" s="1"/>
      <c r="P535" s="1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48"/>
      <c r="L536" s="1"/>
      <c r="M536" s="1"/>
      <c r="N536" s="1"/>
      <c r="O536" s="1"/>
      <c r="P536" s="1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48"/>
      <c r="L537" s="1"/>
      <c r="M537" s="1"/>
      <c r="N537" s="1"/>
      <c r="O537" s="1"/>
      <c r="P537" s="1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48"/>
      <c r="L538" s="1"/>
      <c r="M538" s="1"/>
      <c r="N538" s="1"/>
      <c r="O538" s="1"/>
      <c r="P538" s="1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48"/>
      <c r="L539" s="1"/>
      <c r="M539" s="1"/>
      <c r="N539" s="1"/>
      <c r="O539" s="1"/>
      <c r="P539" s="1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48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18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K545" si="13">SUM(H554,H588,H629,H663,H703,H737)</f>
        <v>5145690</v>
      </c>
      <c r="I545" s="178">
        <f t="shared" si="13"/>
        <v>0</v>
      </c>
      <c r="J545" s="178">
        <f t="shared" si="13"/>
        <v>0</v>
      </c>
      <c r="K545" s="178">
        <f t="shared" si="13"/>
        <v>0</v>
      </c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K546" si="14">SUM(H553,H587,H628,H662,H702,H735)</f>
        <v>0</v>
      </c>
      <c r="I546" s="180">
        <f t="shared" si="14"/>
        <v>312000</v>
      </c>
      <c r="J546" s="180">
        <f t="shared" si="14"/>
        <v>408000</v>
      </c>
      <c r="K546" s="180">
        <f t="shared" si="14"/>
        <v>144000</v>
      </c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43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K549" si="15">SUM(H571,H605,H624,H646,H679,H698,H720,H754,H774)</f>
        <v>36000</v>
      </c>
      <c r="I549" s="178">
        <f t="shared" si="15"/>
        <v>39600</v>
      </c>
      <c r="J549" s="178">
        <f t="shared" si="15"/>
        <v>43560</v>
      </c>
      <c r="K549" s="178">
        <f t="shared" si="15"/>
        <v>297516</v>
      </c>
      <c r="L549" s="1"/>
      <c r="M549" s="1"/>
      <c r="N549" s="1"/>
      <c r="O549" s="1"/>
      <c r="P549" s="1"/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82"/>
      <c r="L550" s="1"/>
      <c r="M550" s="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83"/>
      <c r="L551" s="136"/>
      <c r="M551" s="136"/>
      <c r="N551" s="136"/>
      <c r="O551" s="136"/>
      <c r="P551" s="136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84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K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70">
        <f t="shared" si="16"/>
        <v>0</v>
      </c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K554" si="17">H133</f>
        <v>0</v>
      </c>
      <c r="I554" s="184" t="str">
        <f t="shared" si="17"/>
        <v/>
      </c>
      <c r="J554" s="184" t="str">
        <f t="shared" si="17"/>
        <v/>
      </c>
      <c r="K554" s="184" t="str">
        <f t="shared" si="17"/>
        <v/>
      </c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K555" si="18">SUM(H553:H554)</f>
        <v>0</v>
      </c>
      <c r="I555" s="184">
        <f t="shared" si="18"/>
        <v>0</v>
      </c>
      <c r="J555" s="184">
        <f t="shared" si="18"/>
        <v>0</v>
      </c>
      <c r="K555" s="184">
        <f t="shared" si="18"/>
        <v>0</v>
      </c>
      <c r="L555" s="1"/>
      <c r="M555" s="1"/>
      <c r="N555" s="1"/>
      <c r="O555" s="1"/>
      <c r="P555" s="1"/>
      <c r="Q555" s="1"/>
      <c r="R555" s="1"/>
      <c r="S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86"/>
      <c r="L556" s="1"/>
      <c r="M556" s="1"/>
      <c r="N556" s="1"/>
      <c r="O556" s="1"/>
      <c r="P556" s="1"/>
      <c r="Q556" s="1"/>
      <c r="R556" s="1"/>
      <c r="S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K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86">
        <f t="shared" si="19"/>
        <v>1</v>
      </c>
      <c r="L557" s="1"/>
      <c r="M557" s="1"/>
      <c r="N557" s="1"/>
      <c r="O557" s="1"/>
      <c r="P557" s="1"/>
      <c r="Q557" s="1"/>
      <c r="R557" s="1"/>
      <c r="S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K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86">
        <f t="shared" si="20"/>
        <v>0</v>
      </c>
      <c r="L558" s="1"/>
      <c r="M558" s="1"/>
      <c r="N558" s="1"/>
      <c r="O558" s="1"/>
      <c r="P558" s="1"/>
      <c r="Q558" s="1"/>
      <c r="R558" s="1"/>
      <c r="S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K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86">
        <f t="shared" si="21"/>
        <v>1</v>
      </c>
      <c r="L559" s="1"/>
      <c r="M559" s="1"/>
      <c r="N559" s="1"/>
      <c r="O559" s="1"/>
      <c r="P559" s="1"/>
      <c r="Q559" s="1"/>
      <c r="R559" s="1"/>
      <c r="S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K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86">
        <f t="shared" si="22"/>
        <v>2</v>
      </c>
      <c r="L560" s="1"/>
      <c r="M560" s="1"/>
      <c r="N560" s="1"/>
      <c r="O560" s="1"/>
      <c r="P560" s="1"/>
      <c r="Q560" s="1"/>
      <c r="R560" s="1"/>
      <c r="S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K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86">
        <f t="shared" si="23"/>
        <v>0</v>
      </c>
      <c r="L561" s="1"/>
      <c r="M561" s="1"/>
      <c r="N561" s="1"/>
      <c r="O561" s="1"/>
      <c r="P561" s="1"/>
      <c r="Q561" s="1"/>
      <c r="R561" s="1"/>
      <c r="S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K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86">
        <f t="shared" si="24"/>
        <v>0</v>
      </c>
      <c r="L562" s="1"/>
      <c r="M562" s="1"/>
      <c r="N562" s="1"/>
      <c r="O562" s="1"/>
      <c r="P562" s="1"/>
      <c r="Q562" s="1"/>
      <c r="R562" s="1"/>
      <c r="S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K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86">
        <f t="shared" si="25"/>
        <v>0</v>
      </c>
      <c r="L563" s="1"/>
      <c r="M563" s="1"/>
      <c r="N563" s="1"/>
      <c r="O563" s="1"/>
      <c r="P563" s="1"/>
      <c r="Q563" s="1"/>
      <c r="R563" s="1"/>
      <c r="S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K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86">
        <f t="shared" si="26"/>
        <v>0</v>
      </c>
      <c r="L564" s="1"/>
      <c r="M564" s="1"/>
      <c r="N564" s="1"/>
      <c r="O564" s="1"/>
      <c r="P564" s="1"/>
      <c r="Q564" s="1"/>
      <c r="R564" s="1"/>
      <c r="S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K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86">
        <f t="shared" si="27"/>
        <v>0</v>
      </c>
      <c r="L565" s="1"/>
      <c r="M565" s="1"/>
      <c r="N565" s="1"/>
      <c r="O565" s="1"/>
      <c r="P565" s="1"/>
      <c r="Q565" s="1"/>
      <c r="R565" s="1"/>
      <c r="S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K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86">
        <f t="shared" si="28"/>
        <v>0</v>
      </c>
      <c r="L566" s="1"/>
      <c r="M566" s="1"/>
      <c r="N566" s="1"/>
      <c r="O566" s="1"/>
      <c r="P566" s="1"/>
      <c r="Q566" s="1"/>
      <c r="R566" s="1"/>
      <c r="S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K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86">
        <f t="shared" si="29"/>
        <v>0</v>
      </c>
      <c r="L567" s="1"/>
      <c r="M567" s="1"/>
      <c r="N567" s="1"/>
      <c r="O567" s="1"/>
      <c r="P567" s="1"/>
      <c r="Q567" s="1"/>
      <c r="R567" s="1"/>
      <c r="S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K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86">
        <f t="shared" si="30"/>
        <v>0</v>
      </c>
      <c r="L568" s="1"/>
      <c r="M568" s="1"/>
      <c r="N568" s="1"/>
      <c r="O568" s="1"/>
      <c r="P568" s="1"/>
      <c r="Q568" s="1"/>
      <c r="R568" s="1"/>
      <c r="S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86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55">
        <v>0.8</v>
      </c>
      <c r="L570" s="1"/>
      <c r="M570" s="1"/>
      <c r="N570" s="1"/>
      <c r="O570" s="1"/>
      <c r="P570" s="1"/>
      <c r="Q570" s="1"/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K571" si="31">H572-H555</f>
        <v>0</v>
      </c>
      <c r="I571" s="184">
        <f t="shared" si="31"/>
        <v>0</v>
      </c>
      <c r="J571" s="184">
        <f t="shared" si="31"/>
        <v>0</v>
      </c>
      <c r="K571" s="184">
        <f t="shared" si="31"/>
        <v>0</v>
      </c>
      <c r="L571" s="1"/>
      <c r="M571" s="1"/>
      <c r="N571" s="1"/>
      <c r="O571" s="1"/>
      <c r="P571" s="1"/>
      <c r="Q571" s="1"/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K572" si="32">SUM(H573:H584)</f>
        <v>0</v>
      </c>
      <c r="I572" s="184">
        <f t="shared" si="32"/>
        <v>0</v>
      </c>
      <c r="J572" s="184">
        <f t="shared" si="32"/>
        <v>0</v>
      </c>
      <c r="K572" s="184">
        <f t="shared" si="32"/>
        <v>0</v>
      </c>
      <c r="L572" s="1"/>
      <c r="M572" s="1"/>
      <c r="N572" s="1"/>
      <c r="O572" s="1"/>
      <c r="P572" s="1"/>
      <c r="Q572" s="1"/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K573" si="33">IF(COLUMN() &lt; (COLUMN($H$573) + (ROW()-ROW($H$573))), 0, IF(COLUMN() = (COLUMN($H$573) + (ROW()-ROW($H$573))), INDEX($H$555:$K$555,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86">
        <f t="shared" si="33"/>
        <v>0</v>
      </c>
      <c r="L573" s="1"/>
      <c r="M573" s="1"/>
      <c r="N573" s="1"/>
      <c r="O573" s="1"/>
      <c r="P573" s="1"/>
      <c r="Q573" s="1"/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K574" si="34">IF(COLUMN() &lt; (COLUMN($H$573) + (ROW()-ROW($H$573))), 0, IF(COLUMN() = (COLUMN($H$573) + (ROW()-ROW($H$573))), INDEX($H$555:$K$555,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86">
        <f t="shared" si="34"/>
        <v>0</v>
      </c>
      <c r="L574" s="1"/>
      <c r="M574" s="1"/>
      <c r="N574" s="1"/>
      <c r="O574" s="1"/>
      <c r="P574" s="1"/>
      <c r="Q574" s="1"/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K575" si="35">IF(COLUMN() &lt; (COLUMN($H$573) + (ROW()-ROW($H$573))), 0, IF(COLUMN() = (COLUMN($H$573) + (ROW()-ROW($H$573))), INDEX($H$555:$K$555,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86">
        <f t="shared" si="35"/>
        <v>0</v>
      </c>
      <c r="L575" s="1"/>
      <c r="M575" s="1"/>
      <c r="N575" s="1"/>
      <c r="O575" s="1"/>
      <c r="P575" s="1"/>
      <c r="Q575" s="1"/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K576" si="36">IF(COLUMN() &lt; (COLUMN($H$573) + (ROW()-ROW($H$573))), 0, IF(COLUMN() = (COLUMN($H$573) + (ROW()-ROW($H$573))), INDEX($H$555:$K$555,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86">
        <f t="shared" si="36"/>
        <v>0</v>
      </c>
      <c r="L576" s="1"/>
      <c r="M576" s="1"/>
      <c r="N576" s="1"/>
      <c r="O576" s="1"/>
      <c r="P576" s="1"/>
      <c r="Q576" s="1"/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K577" si="37">IF(COLUMN() &lt; (COLUMN($H$573) + (ROW()-ROW($H$573))), 0, IF(COLUMN() = (COLUMN($H$573) + (ROW()-ROW($H$573))), INDEX($H$555:$K$555,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86">
        <f t="shared" si="37"/>
        <v>0</v>
      </c>
      <c r="L577" s="1"/>
      <c r="M577" s="1"/>
      <c r="N577" s="1"/>
      <c r="O577" s="1"/>
      <c r="P577" s="1"/>
      <c r="Q577" s="1"/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K578" si="38">IF(COLUMN() &lt; (COLUMN($H$573) + (ROW()-ROW($H$573))), 0, IF(COLUMN() = (COLUMN($H$573) + (ROW()-ROW($H$573))), INDEX($H$555:$K$555,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86">
        <f t="shared" si="38"/>
        <v>0</v>
      </c>
      <c r="L578" s="1"/>
      <c r="M578" s="1"/>
      <c r="N578" s="1"/>
      <c r="O578" s="1"/>
      <c r="P578" s="1"/>
      <c r="Q578" s="1"/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K579" si="39">IF(COLUMN() &lt; (COLUMN($H$573) + (ROW()-ROW($H$573))), 0, IF(COLUMN() = (COLUMN($H$573) + (ROW()-ROW($H$573))), INDEX($H$555:$K$555,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86">
        <f t="shared" si="39"/>
        <v>0</v>
      </c>
      <c r="L579" s="1"/>
      <c r="M579" s="1"/>
      <c r="N579" s="1"/>
      <c r="O579" s="1"/>
      <c r="P579" s="1"/>
      <c r="Q579" s="1"/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K580" si="40">IF(COLUMN() &lt; (COLUMN($H$573) + (ROW()-ROW($H$573))), 0, IF(COLUMN() = (COLUMN($H$573) + (ROW()-ROW($H$573))), INDEX($H$555:$K$555,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86">
        <f t="shared" si="40"/>
        <v>0</v>
      </c>
      <c r="L580" s="1"/>
      <c r="M580" s="1"/>
      <c r="N580" s="1"/>
      <c r="O580" s="1"/>
      <c r="P580" s="1"/>
      <c r="Q580" s="1"/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K581" si="41">IF(COLUMN() &lt; (COLUMN($H$573) + (ROW()-ROW($H$573))), 0, IF(COLUMN() = (COLUMN($H$573) + (ROW()-ROW($H$573))), INDEX($H$555:$K$555,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86">
        <f t="shared" si="41"/>
        <v>0</v>
      </c>
      <c r="L581" s="1"/>
      <c r="M581" s="1"/>
      <c r="N581" s="1"/>
      <c r="O581" s="1"/>
      <c r="P581" s="1"/>
      <c r="Q581" s="1"/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K582" si="42">IF(COLUMN() &lt; (COLUMN($H$573) + (ROW()-ROW($H$573))), 0, IF(COLUMN() = (COLUMN($H$573) + (ROW()-ROW($H$573))), INDEX($H$555:$K$555,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86">
        <f t="shared" si="42"/>
        <v>0</v>
      </c>
      <c r="L582" s="1"/>
      <c r="M582" s="1"/>
      <c r="N582" s="1"/>
      <c r="O582" s="1"/>
      <c r="P582" s="1"/>
      <c r="Q582" s="1"/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K583" si="43">IF(COLUMN() &lt; (COLUMN($H$573) + (ROW()-ROW($H$573))), 0, IF(COLUMN() = (COLUMN($H$573) + (ROW()-ROW($H$573))), INDEX($H$555:$K$555,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86">
        <f t="shared" si="43"/>
        <v>0</v>
      </c>
      <c r="L583" s="1"/>
      <c r="M583" s="1"/>
      <c r="N583" s="1"/>
      <c r="O583" s="1"/>
      <c r="P583" s="1"/>
      <c r="Q583" s="1"/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K584" si="44">IF(COLUMN() &lt; (COLUMN($H$573) + (ROW()-ROW($H$573))), 0, IF(COLUMN() = (COLUMN($H$573) + (ROW()-ROW($H$573))), INDEX($H$555:$K$555,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86">
        <f t="shared" si="44"/>
        <v>0</v>
      </c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55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84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K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70">
        <f t="shared" si="45"/>
        <v>0</v>
      </c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K588" si="46">H434</f>
        <v>943950</v>
      </c>
      <c r="I588" s="184" t="str">
        <f t="shared" si="46"/>
        <v/>
      </c>
      <c r="J588" s="184" t="str">
        <f t="shared" si="46"/>
        <v/>
      </c>
      <c r="K588" s="184" t="str">
        <f t="shared" si="46"/>
        <v/>
      </c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K589" si="47">SUM(H587:H588)</f>
        <v>943950</v>
      </c>
      <c r="I589" s="184">
        <f t="shared" si="47"/>
        <v>0</v>
      </c>
      <c r="J589" s="184">
        <f t="shared" si="47"/>
        <v>0</v>
      </c>
      <c r="K589" s="184">
        <f t="shared" si="47"/>
        <v>0</v>
      </c>
      <c r="L589" s="1"/>
      <c r="M589" s="1"/>
      <c r="N589" s="1"/>
      <c r="O589" s="1"/>
      <c r="P589" s="1"/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86"/>
      <c r="L590" s="1"/>
      <c r="M590" s="1"/>
      <c r="N590" s="1"/>
      <c r="O590" s="1"/>
      <c r="P590" s="1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K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86">
        <f t="shared" si="48"/>
        <v>7</v>
      </c>
      <c r="L591" s="1"/>
      <c r="M591" s="1"/>
      <c r="N591" s="1"/>
      <c r="O591" s="1"/>
      <c r="P591" s="1"/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K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86">
        <f t="shared" si="49"/>
        <v>8</v>
      </c>
      <c r="L592" s="1"/>
      <c r="M592" s="1"/>
      <c r="N592" s="1"/>
      <c r="O592" s="1"/>
      <c r="P592" s="1"/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K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86">
        <f t="shared" si="50"/>
        <v>9</v>
      </c>
      <c r="L593" s="1"/>
      <c r="M593" s="1"/>
      <c r="N593" s="1"/>
      <c r="O593" s="1"/>
      <c r="P593" s="1"/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K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86">
        <f t="shared" si="51"/>
        <v>10</v>
      </c>
      <c r="L594" s="1"/>
      <c r="M594" s="1"/>
      <c r="N594" s="1"/>
      <c r="O594" s="1"/>
      <c r="P594" s="1"/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K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86">
        <f t="shared" si="52"/>
        <v>0</v>
      </c>
      <c r="L595" s="1"/>
      <c r="M595" s="1"/>
      <c r="N595" s="1"/>
      <c r="O595" s="1"/>
      <c r="P595" s="1"/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K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86">
        <f t="shared" si="53"/>
        <v>0</v>
      </c>
      <c r="L596" s="1"/>
      <c r="M596" s="1"/>
      <c r="N596" s="1"/>
      <c r="O596" s="1"/>
      <c r="P596" s="1"/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K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86">
        <f t="shared" si="54"/>
        <v>0</v>
      </c>
      <c r="L597" s="1"/>
      <c r="M597" s="1"/>
      <c r="N597" s="1"/>
      <c r="O597" s="1"/>
      <c r="P597" s="1"/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K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86">
        <f t="shared" si="55"/>
        <v>0</v>
      </c>
      <c r="L598" s="1"/>
      <c r="M598" s="1"/>
      <c r="N598" s="1"/>
      <c r="O598" s="1"/>
      <c r="P598" s="1"/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K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86">
        <f t="shared" si="56"/>
        <v>0</v>
      </c>
      <c r="L599" s="1"/>
      <c r="M599" s="1"/>
      <c r="N599" s="1"/>
      <c r="O599" s="1"/>
      <c r="P599" s="1"/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K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86">
        <f t="shared" si="57"/>
        <v>0</v>
      </c>
      <c r="L600" s="1"/>
      <c r="M600" s="1"/>
      <c r="N600" s="1"/>
      <c r="O600" s="1"/>
      <c r="P600" s="1"/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K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86">
        <f t="shared" si="58"/>
        <v>0</v>
      </c>
      <c r="L601" s="1"/>
      <c r="M601" s="1"/>
      <c r="N601" s="1"/>
      <c r="O601" s="1"/>
      <c r="P601" s="1"/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K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86">
        <f t="shared" si="59"/>
        <v>0</v>
      </c>
      <c r="L602" s="1"/>
      <c r="M602" s="1"/>
      <c r="N602" s="1"/>
      <c r="O602" s="1"/>
      <c r="P602" s="1"/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86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55"/>
      <c r="L604" s="1"/>
      <c r="M604" s="1"/>
      <c r="N604" s="1"/>
      <c r="O604" s="1"/>
      <c r="P604" s="1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K605" si="60">H606-H589</f>
        <v>0</v>
      </c>
      <c r="I605" s="184">
        <f t="shared" si="60"/>
        <v>0</v>
      </c>
      <c r="J605" s="184">
        <f t="shared" si="60"/>
        <v>0</v>
      </c>
      <c r="K605" s="184">
        <f t="shared" si="60"/>
        <v>0</v>
      </c>
      <c r="L605" s="1"/>
      <c r="M605" s="1"/>
      <c r="N605" s="1"/>
      <c r="O605" s="1"/>
      <c r="P605" s="1"/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K606" si="61">SUM(H607:H618)</f>
        <v>943950</v>
      </c>
      <c r="I606" s="184">
        <f t="shared" si="61"/>
        <v>0</v>
      </c>
      <c r="J606" s="184">
        <f t="shared" si="61"/>
        <v>0</v>
      </c>
      <c r="K606" s="184">
        <f t="shared" si="61"/>
        <v>0</v>
      </c>
      <c r="L606" s="1"/>
      <c r="M606" s="1"/>
      <c r="N606" s="1"/>
      <c r="O606" s="1"/>
      <c r="P606" s="1"/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K607" si="62">IF(COLUMN() &lt; (COLUMN($H$607) + (ROW()-ROW($H$607))), 0, IF(COLUMN() = (COLUMN($H$607) + (ROW()-ROW($H$607))), INDEX($H$589:$K$589, 1, COLUMN()-COLUMN($H$589)+1), IF(H591=0, OFFSET(H607, 0, -$H$590) * $H$604, 0)))</f>
        <v>943950</v>
      </c>
      <c r="I607" s="186">
        <f t="shared" si="62"/>
        <v>0</v>
      </c>
      <c r="J607" s="186">
        <f t="shared" si="62"/>
        <v>0</v>
      </c>
      <c r="K607" s="186">
        <f t="shared" si="62"/>
        <v>0</v>
      </c>
      <c r="L607" s="1"/>
      <c r="M607" s="1"/>
      <c r="N607" s="1"/>
      <c r="O607" s="1"/>
      <c r="P607" s="1"/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K608" si="63">IF(COLUMN() &lt; (COLUMN($H$607) + (ROW()-ROW($H$607))), 0, IF(COLUMN() = (COLUMN($H$607) + (ROW()-ROW($H$607))), INDEX($H$589:$K$589,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86">
        <f t="shared" si="63"/>
        <v>0</v>
      </c>
      <c r="L608" s="1"/>
      <c r="M608" s="1"/>
      <c r="N608" s="1"/>
      <c r="O608" s="1"/>
      <c r="P608" s="1"/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K609" si="64">IF(COLUMN() &lt; (COLUMN($H$607) + (ROW()-ROW($H$607))), 0, IF(COLUMN() = (COLUMN($H$607) + (ROW()-ROW($H$607))), INDEX($H$589:$K$589,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86">
        <f t="shared" si="64"/>
        <v>0</v>
      </c>
      <c r="L609" s="1"/>
      <c r="M609" s="1"/>
      <c r="N609" s="1"/>
      <c r="O609" s="1"/>
      <c r="P609" s="1"/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K610" si="65">IF(COLUMN() &lt; (COLUMN($H$607) + (ROW()-ROW($H$607))), 0, IF(COLUMN() = (COLUMN($H$607) + (ROW()-ROW($H$607))), INDEX($H$589:$K$589,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86">
        <f t="shared" si="65"/>
        <v>0</v>
      </c>
      <c r="L610" s="1"/>
      <c r="M610" s="1"/>
      <c r="N610" s="1"/>
      <c r="O610" s="1"/>
      <c r="P610" s="1"/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K611" si="66">IF(COLUMN() &lt; (COLUMN($H$607) + (ROW()-ROW($H$607))), 0, IF(COLUMN() = (COLUMN($H$607) + (ROW()-ROW($H$607))), INDEX($H$589:$K$589,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86">
        <f t="shared" si="66"/>
        <v>0</v>
      </c>
      <c r="L611" s="1"/>
      <c r="M611" s="1"/>
      <c r="N611" s="1"/>
      <c r="O611" s="1"/>
      <c r="P611" s="1"/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K612" si="67">IF(COLUMN() &lt; (COLUMN($H$607) + (ROW()-ROW($H$607))), 0, IF(COLUMN() = (COLUMN($H$607) + (ROW()-ROW($H$607))), INDEX($H$589:$K$589,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86">
        <f t="shared" si="67"/>
        <v>0</v>
      </c>
      <c r="L612" s="1"/>
      <c r="M612" s="1"/>
      <c r="N612" s="1"/>
      <c r="O612" s="1"/>
      <c r="P612" s="1"/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K613" si="68">IF(COLUMN() &lt; (COLUMN($H$607) + (ROW()-ROW($H$607))), 0, IF(COLUMN() = (COLUMN($H$607) + (ROW()-ROW($H$607))), INDEX($H$589:$K$589,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86">
        <f t="shared" si="68"/>
        <v>0</v>
      </c>
      <c r="L613" s="1"/>
      <c r="M613" s="1"/>
      <c r="N613" s="1"/>
      <c r="O613" s="1"/>
      <c r="P613" s="1"/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K614" si="69">IF(COLUMN() &lt; (COLUMN($H$607) + (ROW()-ROW($H$607))), 0, IF(COLUMN() = (COLUMN($H$607) + (ROW()-ROW($H$607))), INDEX($H$589:$K$589,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86">
        <f t="shared" si="69"/>
        <v>0</v>
      </c>
      <c r="L614" s="1"/>
      <c r="M614" s="1"/>
      <c r="N614" s="1"/>
      <c r="O614" s="1"/>
      <c r="P614" s="1"/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K615" si="70">IF(COLUMN() &lt; (COLUMN($H$607) + (ROW()-ROW($H$607))), 0, IF(COLUMN() = (COLUMN($H$607) + (ROW()-ROW($H$607))), INDEX($H$589:$K$589,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86">
        <f t="shared" si="70"/>
        <v>0</v>
      </c>
      <c r="L615" s="1"/>
      <c r="M615" s="1"/>
      <c r="N615" s="1"/>
      <c r="O615" s="1"/>
      <c r="P615" s="1"/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K616" si="71">IF(COLUMN() &lt; (COLUMN($H$607) + (ROW()-ROW($H$607))), 0, IF(COLUMN() = (COLUMN($H$607) + (ROW()-ROW($H$607))), INDEX($H$589:$K$589,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86">
        <f t="shared" si="71"/>
        <v>0</v>
      </c>
      <c r="L616" s="1"/>
      <c r="M616" s="1"/>
      <c r="N616" s="1"/>
      <c r="O616" s="1"/>
      <c r="P616" s="1"/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K617" si="72">IF(COLUMN() &lt; (COLUMN($H$607) + (ROW()-ROW($H$607))), 0, IF(COLUMN() = (COLUMN($H$607) + (ROW()-ROW($H$607))), INDEX($H$589:$K$589,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86">
        <f t="shared" si="72"/>
        <v>0</v>
      </c>
      <c r="L617" s="1"/>
      <c r="M617" s="1"/>
      <c r="N617" s="1"/>
      <c r="O617" s="1"/>
      <c r="P617" s="1"/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K618" si="73">IF(COLUMN() &lt; (COLUMN($H$607) + (ROW()-ROW($H$607))), 0, IF(COLUMN() = (COLUMN($H$607) + (ROW()-ROW($H$607))), INDEX($H$589:$K$589,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86">
        <f t="shared" si="73"/>
        <v>0</v>
      </c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55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84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K621" si="74">H621</f>
        <v>3</v>
      </c>
      <c r="J621" s="186">
        <f t="shared" si="74"/>
        <v>3</v>
      </c>
      <c r="K621" s="186">
        <f t="shared" si="74"/>
        <v>3</v>
      </c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K622" si="75">H622*H623</f>
        <v>4950</v>
      </c>
      <c r="J622" s="184">
        <f t="shared" si="75"/>
        <v>5445</v>
      </c>
      <c r="K622" s="184">
        <f t="shared" si="75"/>
        <v>5989.5</v>
      </c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55">
        <v>1.1</v>
      </c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K624" si="76">H621*H622</f>
        <v>13500</v>
      </c>
      <c r="I624" s="184">
        <f t="shared" si="76"/>
        <v>14850</v>
      </c>
      <c r="J624" s="184">
        <f t="shared" si="76"/>
        <v>16335</v>
      </c>
      <c r="K624" s="184">
        <f t="shared" si="76"/>
        <v>17968.5</v>
      </c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63"/>
      <c r="L625" s="1"/>
      <c r="M625" s="1"/>
      <c r="N625" s="1"/>
      <c r="O625" s="1"/>
      <c r="P625" s="1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83"/>
      <c r="L626" s="136"/>
      <c r="M626" s="136"/>
      <c r="N626" s="136"/>
      <c r="O626" s="136"/>
      <c r="P626" s="136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84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K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24000</v>
      </c>
      <c r="K628" s="178">
        <f t="shared" si="77"/>
        <v>0</v>
      </c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K629" si="78">H458</f>
        <v>0</v>
      </c>
      <c r="I629" s="184" t="str">
        <f t="shared" si="78"/>
        <v/>
      </c>
      <c r="J629" s="184" t="str">
        <f t="shared" si="78"/>
        <v/>
      </c>
      <c r="K629" s="184" t="str">
        <f t="shared" si="78"/>
        <v/>
      </c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K630" si="79">SUM(H628:H629)</f>
        <v>0</v>
      </c>
      <c r="I630" s="184">
        <f t="shared" si="79"/>
        <v>0</v>
      </c>
      <c r="J630" s="184">
        <f t="shared" si="79"/>
        <v>24000</v>
      </c>
      <c r="K630" s="184">
        <f t="shared" si="79"/>
        <v>0</v>
      </c>
      <c r="L630" s="1"/>
      <c r="M630" s="1"/>
      <c r="N630" s="1"/>
      <c r="O630" s="1"/>
      <c r="P630" s="1"/>
      <c r="Q630" s="1"/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86"/>
      <c r="L631" s="1"/>
      <c r="M631" s="1"/>
      <c r="N631" s="1"/>
      <c r="O631" s="1"/>
      <c r="P631" s="1"/>
      <c r="Q631" s="1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K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86">
        <f t="shared" si="80"/>
        <v>1</v>
      </c>
      <c r="L632" s="1"/>
      <c r="M632" s="1"/>
      <c r="N632" s="1"/>
      <c r="O632" s="1"/>
      <c r="P632" s="1"/>
      <c r="Q632" s="1"/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K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86">
        <f t="shared" si="81"/>
        <v>0</v>
      </c>
      <c r="L633" s="1"/>
      <c r="M633" s="1"/>
      <c r="N633" s="1"/>
      <c r="O633" s="1"/>
      <c r="P633" s="1"/>
      <c r="Q633" s="1"/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K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86">
        <f t="shared" si="82"/>
        <v>1</v>
      </c>
      <c r="L634" s="1"/>
      <c r="M634" s="1"/>
      <c r="N634" s="1"/>
      <c r="O634" s="1"/>
      <c r="P634" s="1"/>
      <c r="Q634" s="1"/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K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86">
        <f t="shared" si="83"/>
        <v>2</v>
      </c>
      <c r="L635" s="1"/>
      <c r="M635" s="1"/>
      <c r="N635" s="1"/>
      <c r="O635" s="1"/>
      <c r="P635" s="1"/>
      <c r="Q635" s="1"/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K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86">
        <f t="shared" si="84"/>
        <v>0</v>
      </c>
      <c r="L636" s="1"/>
      <c r="M636" s="1"/>
      <c r="N636" s="1"/>
      <c r="O636" s="1"/>
      <c r="P636" s="1"/>
      <c r="Q636" s="1"/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K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86">
        <f t="shared" si="85"/>
        <v>0</v>
      </c>
      <c r="L637" s="1"/>
      <c r="M637" s="1"/>
      <c r="N637" s="1"/>
      <c r="O637" s="1"/>
      <c r="P637" s="1"/>
      <c r="Q637" s="1"/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K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86">
        <f t="shared" si="86"/>
        <v>0</v>
      </c>
      <c r="L638" s="1"/>
      <c r="M638" s="1"/>
      <c r="N638" s="1"/>
      <c r="O638" s="1"/>
      <c r="P638" s="1"/>
      <c r="Q638" s="1"/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K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86">
        <f t="shared" si="87"/>
        <v>0</v>
      </c>
      <c r="L639" s="1"/>
      <c r="M639" s="1"/>
      <c r="N639" s="1"/>
      <c r="O639" s="1"/>
      <c r="P639" s="1"/>
      <c r="Q639" s="1"/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K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86">
        <f t="shared" si="88"/>
        <v>0</v>
      </c>
      <c r="L640" s="1"/>
      <c r="M640" s="1"/>
      <c r="N640" s="1"/>
      <c r="O640" s="1"/>
      <c r="P640" s="1"/>
      <c r="Q640" s="1"/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K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86">
        <f t="shared" si="89"/>
        <v>0</v>
      </c>
      <c r="L641" s="1"/>
      <c r="M641" s="1"/>
      <c r="N641" s="1"/>
      <c r="O641" s="1"/>
      <c r="P641" s="1"/>
      <c r="Q641" s="1"/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K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86">
        <f t="shared" si="90"/>
        <v>0</v>
      </c>
      <c r="L642" s="1"/>
      <c r="M642" s="1"/>
      <c r="N642" s="1"/>
      <c r="O642" s="1"/>
      <c r="P642" s="1"/>
      <c r="Q642" s="1"/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K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86">
        <f t="shared" si="91"/>
        <v>0</v>
      </c>
      <c r="L643" s="1"/>
      <c r="M643" s="1"/>
      <c r="N643" s="1"/>
      <c r="O643" s="1"/>
      <c r="P643" s="1"/>
      <c r="Q643" s="1"/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86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55">
        <v>0.8</v>
      </c>
      <c r="L645" s="1"/>
      <c r="M645" s="1"/>
      <c r="N645" s="1"/>
      <c r="O645" s="1"/>
      <c r="P645" s="1"/>
      <c r="Q645" s="1"/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K646" si="92">H647-H630</f>
        <v>0</v>
      </c>
      <c r="I646" s="184">
        <f t="shared" si="92"/>
        <v>0</v>
      </c>
      <c r="J646" s="184">
        <f t="shared" si="92"/>
        <v>0</v>
      </c>
      <c r="K646" s="184">
        <f t="shared" si="92"/>
        <v>0</v>
      </c>
      <c r="L646" s="1"/>
      <c r="M646" s="1"/>
      <c r="N646" s="1"/>
      <c r="O646" s="1"/>
      <c r="P646" s="1"/>
      <c r="Q646" s="1"/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K647" si="93">SUM(H648:H659)</f>
        <v>0</v>
      </c>
      <c r="I647" s="184">
        <f t="shared" si="93"/>
        <v>0</v>
      </c>
      <c r="J647" s="184">
        <f t="shared" si="93"/>
        <v>24000</v>
      </c>
      <c r="K647" s="184">
        <f t="shared" si="93"/>
        <v>0</v>
      </c>
      <c r="L647" s="1"/>
      <c r="M647" s="1"/>
      <c r="N647" s="1"/>
      <c r="O647" s="1"/>
      <c r="P647" s="1"/>
      <c r="Q647" s="1"/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K648" si="94">IF(COLUMN() &lt; (COLUMN($H$648) + (ROW()-ROW($H$648))), 0, IF(COLUMN() = (COLUMN($H$648) + (ROW()-ROW($H$648))), INDEX($H$630:$K$630,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86">
        <f t="shared" si="94"/>
        <v>0</v>
      </c>
      <c r="L648" s="1"/>
      <c r="M648" s="1"/>
      <c r="N648" s="1"/>
      <c r="O648" s="1"/>
      <c r="P648" s="1"/>
      <c r="Q648" s="1"/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K649" si="95">IF(COLUMN() &lt; (COLUMN($H$648) + (ROW()-ROW($H$648))), 0, IF(COLUMN() = (COLUMN($H$648) + (ROW()-ROW($H$648))), INDEX($H$630:$K$630,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86">
        <f t="shared" si="95"/>
        <v>0</v>
      </c>
      <c r="L649" s="1"/>
      <c r="M649" s="1"/>
      <c r="N649" s="1"/>
      <c r="O649" s="1"/>
      <c r="P649" s="1"/>
      <c r="Q649" s="1"/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K650" si="96">IF(COLUMN() &lt; (COLUMN($H$648) + (ROW()-ROW($H$648))), 0, IF(COLUMN() = (COLUMN($H$648) + (ROW()-ROW($H$648))), INDEX($H$630:$K$630, 1, COLUMN()-COLUMN($H$630)+1), IF(H634=0, OFFSET(H650, 0, -$H$631) * $H$645, 0)))</f>
        <v>0</v>
      </c>
      <c r="I650" s="186">
        <f t="shared" si="96"/>
        <v>0</v>
      </c>
      <c r="J650" s="186">
        <f t="shared" si="96"/>
        <v>24000</v>
      </c>
      <c r="K650" s="186">
        <f t="shared" si="96"/>
        <v>0</v>
      </c>
      <c r="L650" s="1"/>
      <c r="M650" s="1"/>
      <c r="N650" s="1"/>
      <c r="O650" s="1"/>
      <c r="P650" s="1"/>
      <c r="Q650" s="1"/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K651" si="97">IF(COLUMN() &lt; (COLUMN($H$648) + (ROW()-ROW($H$648))), 0, IF(COLUMN() = (COLUMN($H$648) + (ROW()-ROW($H$648))), INDEX($H$630:$K$630,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86">
        <f t="shared" si="97"/>
        <v>0</v>
      </c>
      <c r="L651" s="1"/>
      <c r="M651" s="1"/>
      <c r="N651" s="1"/>
      <c r="O651" s="1"/>
      <c r="P651" s="1"/>
      <c r="Q651" s="1"/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K652" si="98">IF(COLUMN() &lt; (COLUMN($H$648) + (ROW()-ROW($H$648))), 0, IF(COLUMN() = (COLUMN($H$648) + (ROW()-ROW($H$648))), INDEX($H$630:$K$630,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86">
        <f t="shared" si="98"/>
        <v>0</v>
      </c>
      <c r="L652" s="1"/>
      <c r="M652" s="1"/>
      <c r="N652" s="1"/>
      <c r="O652" s="1"/>
      <c r="P652" s="1"/>
      <c r="Q652" s="1"/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K653" si="99">IF(COLUMN() &lt; (COLUMN($H$648) + (ROW()-ROW($H$648))), 0, IF(COLUMN() = (COLUMN($H$648) + (ROW()-ROW($H$648))), INDEX($H$630:$K$630,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86">
        <f t="shared" si="99"/>
        <v>0</v>
      </c>
      <c r="L653" s="1"/>
      <c r="M653" s="1"/>
      <c r="N653" s="1"/>
      <c r="O653" s="1"/>
      <c r="P653" s="1"/>
      <c r="Q653" s="1"/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K654" si="100">IF(COLUMN() &lt; (COLUMN($H$648) + (ROW()-ROW($H$648))), 0, IF(COLUMN() = (COLUMN($H$648) + (ROW()-ROW($H$648))), INDEX($H$630:$K$630,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86">
        <f t="shared" si="100"/>
        <v>0</v>
      </c>
      <c r="L654" s="1"/>
      <c r="M654" s="1"/>
      <c r="N654" s="1"/>
      <c r="O654" s="1"/>
      <c r="P654" s="1"/>
      <c r="Q654" s="1"/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K655" si="101">IF(COLUMN() &lt; (COLUMN($H$648) + (ROW()-ROW($H$648))), 0, IF(COLUMN() = (COLUMN($H$648) + (ROW()-ROW($H$648))), INDEX($H$630:$K$630,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86">
        <f t="shared" si="101"/>
        <v>0</v>
      </c>
      <c r="L655" s="1"/>
      <c r="M655" s="1"/>
      <c r="N655" s="1"/>
      <c r="O655" s="1"/>
      <c r="P655" s="1"/>
      <c r="Q655" s="1"/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K656" si="102">IF(COLUMN() &lt; (COLUMN($H$648) + (ROW()-ROW($H$648))), 0, IF(COLUMN() = (COLUMN($H$648) + (ROW()-ROW($H$648))), INDEX($H$630:$K$630,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86">
        <f t="shared" si="102"/>
        <v>0</v>
      </c>
      <c r="L656" s="1"/>
      <c r="M656" s="1"/>
      <c r="N656" s="1"/>
      <c r="O656" s="1"/>
      <c r="P656" s="1"/>
      <c r="Q656" s="1"/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K657" si="103">IF(COLUMN() &lt; (COLUMN($H$648) + (ROW()-ROW($H$648))), 0, IF(COLUMN() = (COLUMN($H$648) + (ROW()-ROW($H$648))), INDEX($H$630:$K$630,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86">
        <f t="shared" si="103"/>
        <v>0</v>
      </c>
      <c r="L657" s="1"/>
      <c r="M657" s="1"/>
      <c r="N657" s="1"/>
      <c r="O657" s="1"/>
      <c r="P657" s="1"/>
      <c r="Q657" s="1"/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K658" si="104">IF(COLUMN() &lt; (COLUMN($H$648) + (ROW()-ROW($H$648))), 0, IF(COLUMN() = (COLUMN($H$648) + (ROW()-ROW($H$648))), INDEX($H$630:$K$630,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86">
        <f t="shared" si="104"/>
        <v>0</v>
      </c>
      <c r="L658" s="1"/>
      <c r="M658" s="1"/>
      <c r="N658" s="1"/>
      <c r="O658" s="1"/>
      <c r="P658" s="1"/>
      <c r="Q658" s="1"/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K659" si="105">IF(COLUMN() &lt; (COLUMN($H$648) + (ROW()-ROW($H$648))), 0, IF(COLUMN() = (COLUMN($H$648) + (ROW()-ROW($H$648))), INDEX($H$630:$K$630,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86">
        <f t="shared" si="105"/>
        <v>0</v>
      </c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55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84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K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216000</v>
      </c>
      <c r="K662" s="178">
        <f t="shared" si="106"/>
        <v>0</v>
      </c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K663" si="107">H460</f>
        <v>920700</v>
      </c>
      <c r="I663" s="184" t="str">
        <f t="shared" si="107"/>
        <v/>
      </c>
      <c r="J663" s="184" t="str">
        <f t="shared" si="107"/>
        <v/>
      </c>
      <c r="K663" s="184" t="str">
        <f t="shared" si="107"/>
        <v/>
      </c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K664" si="108">SUM(H662:H663)</f>
        <v>920700</v>
      </c>
      <c r="I664" s="184">
        <f t="shared" si="108"/>
        <v>0</v>
      </c>
      <c r="J664" s="184">
        <f t="shared" si="108"/>
        <v>216000</v>
      </c>
      <c r="K664" s="184">
        <f t="shared" si="108"/>
        <v>0</v>
      </c>
      <c r="L664" s="1"/>
      <c r="M664" s="1"/>
      <c r="N664" s="1"/>
      <c r="O664" s="1"/>
      <c r="P664" s="1"/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86"/>
      <c r="L665" s="1"/>
      <c r="M665" s="1"/>
      <c r="N665" s="1"/>
      <c r="O665" s="1"/>
      <c r="P665" s="1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K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86">
        <f t="shared" si="109"/>
        <v>6</v>
      </c>
      <c r="L666" s="1"/>
      <c r="M666" s="1"/>
      <c r="N666" s="1"/>
      <c r="O666" s="1"/>
      <c r="P666" s="1"/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K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86">
        <f t="shared" si="110"/>
        <v>7</v>
      </c>
      <c r="L667" s="1"/>
      <c r="M667" s="1"/>
      <c r="N667" s="1"/>
      <c r="O667" s="1"/>
      <c r="P667" s="1"/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K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86">
        <f t="shared" si="111"/>
        <v>8</v>
      </c>
      <c r="L668" s="1"/>
      <c r="M668" s="1"/>
      <c r="N668" s="1"/>
      <c r="O668" s="1"/>
      <c r="P668" s="1"/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K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86">
        <f t="shared" si="112"/>
        <v>9</v>
      </c>
      <c r="L669" s="1"/>
      <c r="M669" s="1"/>
      <c r="N669" s="1"/>
      <c r="O669" s="1"/>
      <c r="P669" s="1"/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K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86">
        <f t="shared" si="113"/>
        <v>0</v>
      </c>
      <c r="L670" s="1"/>
      <c r="M670" s="1"/>
      <c r="N670" s="1"/>
      <c r="O670" s="1"/>
      <c r="P670" s="1"/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K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86">
        <f t="shared" si="114"/>
        <v>0</v>
      </c>
      <c r="L671" s="1"/>
      <c r="M671" s="1"/>
      <c r="N671" s="1"/>
      <c r="O671" s="1"/>
      <c r="P671" s="1"/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K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86">
        <f t="shared" si="115"/>
        <v>0</v>
      </c>
      <c r="L672" s="1"/>
      <c r="M672" s="1"/>
      <c r="N672" s="1"/>
      <c r="O672" s="1"/>
      <c r="P672" s="1"/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K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86">
        <f t="shared" si="116"/>
        <v>0</v>
      </c>
      <c r="L673" s="1"/>
      <c r="M673" s="1"/>
      <c r="N673" s="1"/>
      <c r="O673" s="1"/>
      <c r="P673" s="1"/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K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86">
        <f t="shared" si="117"/>
        <v>0</v>
      </c>
      <c r="L674" s="1"/>
      <c r="M674" s="1"/>
      <c r="N674" s="1"/>
      <c r="O674" s="1"/>
      <c r="P674" s="1"/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K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86">
        <f t="shared" si="118"/>
        <v>0</v>
      </c>
      <c r="L675" s="1"/>
      <c r="M675" s="1"/>
      <c r="N675" s="1"/>
      <c r="O675" s="1"/>
      <c r="P675" s="1"/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K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86">
        <f t="shared" si="119"/>
        <v>0</v>
      </c>
      <c r="L676" s="1"/>
      <c r="M676" s="1"/>
      <c r="N676" s="1"/>
      <c r="O676" s="1"/>
      <c r="P676" s="1"/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K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86">
        <f t="shared" si="120"/>
        <v>0</v>
      </c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55"/>
      <c r="L678" s="1"/>
      <c r="M678" s="1"/>
      <c r="N678" s="1"/>
      <c r="O678" s="1"/>
      <c r="P678" s="1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K679" si="121">H680-H664</f>
        <v>0</v>
      </c>
      <c r="I679" s="184">
        <f t="shared" si="121"/>
        <v>0</v>
      </c>
      <c r="J679" s="184">
        <f t="shared" si="121"/>
        <v>0</v>
      </c>
      <c r="K679" s="184">
        <f t="shared" si="121"/>
        <v>0</v>
      </c>
      <c r="L679" s="1"/>
      <c r="M679" s="1"/>
      <c r="N679" s="1"/>
      <c r="O679" s="1"/>
      <c r="P679" s="1"/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K680" si="122">SUM(H681:H692)</f>
        <v>920700</v>
      </c>
      <c r="I680" s="184">
        <f t="shared" si="122"/>
        <v>0</v>
      </c>
      <c r="J680" s="184">
        <f t="shared" si="122"/>
        <v>216000</v>
      </c>
      <c r="K680" s="184">
        <f t="shared" si="122"/>
        <v>0</v>
      </c>
      <c r="L680" s="1"/>
      <c r="M680" s="1"/>
      <c r="N680" s="1"/>
      <c r="O680" s="1"/>
      <c r="P680" s="1"/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K681" si="123">IF(COLUMN() &lt; (COLUMN($H681) + (ROW()-ROW($H$681))), 0, IF(COLUMN() = (COLUMN($H$681) + (ROW()-ROW($H$681))), INDEX($H$664:$K$664, 1, COLUMN()-COLUMN($H$664)+1), IF(H666=0, OFFSET(H681, 0, -$H$665) * $H$678, 0)))</f>
        <v>920700</v>
      </c>
      <c r="I681" s="186">
        <f t="shared" si="123"/>
        <v>0</v>
      </c>
      <c r="J681" s="186">
        <f t="shared" si="123"/>
        <v>0</v>
      </c>
      <c r="K681" s="186">
        <f t="shared" si="123"/>
        <v>0</v>
      </c>
      <c r="L681" s="1"/>
      <c r="M681" s="1"/>
      <c r="N681" s="1"/>
      <c r="O681" s="1"/>
      <c r="P681" s="1"/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K682" si="124">IF(COLUMN() &lt; (COLUMN($H682) + (ROW()-ROW($H$681))), 0, IF(COLUMN() = (COLUMN($H$681) + (ROW()-ROW($H$681))), INDEX($H$664:$K$664,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86">
        <f t="shared" si="124"/>
        <v>0</v>
      </c>
      <c r="L682" s="1"/>
      <c r="M682" s="1"/>
      <c r="N682" s="1"/>
      <c r="O682" s="1"/>
      <c r="P682" s="1"/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K683" si="125">IF(COLUMN() &lt; (COLUMN($H683) + (ROW()-ROW($H$681))), 0, IF(COLUMN() = (COLUMN($H$681) + (ROW()-ROW($H$681))), INDEX($H$664:$K$664, 1, COLUMN()-COLUMN($H$664)+1), IF(H668=0, OFFSET(H683, 0, -$H$665) * $H$678, 0)))</f>
        <v>0</v>
      </c>
      <c r="I683" s="186">
        <f t="shared" si="125"/>
        <v>0</v>
      </c>
      <c r="J683" s="186">
        <f t="shared" si="125"/>
        <v>216000</v>
      </c>
      <c r="K683" s="186">
        <f t="shared" si="125"/>
        <v>0</v>
      </c>
      <c r="L683" s="1"/>
      <c r="M683" s="1"/>
      <c r="N683" s="1"/>
      <c r="O683" s="1"/>
      <c r="P683" s="1"/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K684" si="126">IF(COLUMN() &lt; (COLUMN($H684) + (ROW()-ROW($H$681))), 0, IF(COLUMN() = (COLUMN($H$681) + (ROW()-ROW($H$681))), INDEX($H$664:$K$664,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86">
        <f t="shared" si="126"/>
        <v>0</v>
      </c>
      <c r="L684" s="1"/>
      <c r="M684" s="1"/>
      <c r="N684" s="1"/>
      <c r="O684" s="1"/>
      <c r="P684" s="1"/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K685" si="127">IF(COLUMN() &lt; (COLUMN($H685) + (ROW()-ROW($H$681))), 0, IF(COLUMN() = (COLUMN($H$681) + (ROW()-ROW($H$681))), INDEX($H$664:$K$664,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86">
        <f t="shared" si="127"/>
        <v>0</v>
      </c>
      <c r="L685" s="1"/>
      <c r="M685" s="1"/>
      <c r="N685" s="1"/>
      <c r="O685" s="1"/>
      <c r="P685" s="1"/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K686" si="128">IF(COLUMN() &lt; (COLUMN($H686) + (ROW()-ROW($H$681))), 0, IF(COLUMN() = (COLUMN($H$681) + (ROW()-ROW($H$681))), INDEX($H$664:$K$664,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86">
        <f t="shared" si="128"/>
        <v>0</v>
      </c>
      <c r="L686" s="1"/>
      <c r="M686" s="1"/>
      <c r="N686" s="1"/>
      <c r="O686" s="1"/>
      <c r="P686" s="1"/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K687" si="129">IF(COLUMN() &lt; (COLUMN($H687) + (ROW()-ROW($H$681))), 0, IF(COLUMN() = (COLUMN($H$681) + (ROW()-ROW($H$681))), INDEX($H$664:$K$664,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86">
        <f t="shared" si="129"/>
        <v>0</v>
      </c>
      <c r="L687" s="1"/>
      <c r="M687" s="1"/>
      <c r="N687" s="1"/>
      <c r="O687" s="1"/>
      <c r="P687" s="1"/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K688" si="130">IF(COLUMN() &lt; (COLUMN($H688) + (ROW()-ROW($H$681))), 0, IF(COLUMN() = (COLUMN($H$681) + (ROW()-ROW($H$681))), INDEX($H$664:$K$664,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86">
        <f t="shared" si="130"/>
        <v>0</v>
      </c>
      <c r="L688" s="1"/>
      <c r="M688" s="1"/>
      <c r="N688" s="1"/>
      <c r="O688" s="1"/>
      <c r="P688" s="1"/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K689" si="131">IF(COLUMN() &lt; (COLUMN($H689) + (ROW()-ROW($H$681))), 0, IF(COLUMN() = (COLUMN($H$681) + (ROW()-ROW($H$681))), INDEX($H$664:$K$664,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86">
        <f t="shared" si="131"/>
        <v>0</v>
      </c>
      <c r="L689" s="1"/>
      <c r="M689" s="1"/>
      <c r="N689" s="1"/>
      <c r="O689" s="1"/>
      <c r="P689" s="1"/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K690" si="132">IF(COLUMN() &lt; (COLUMN($H690) + (ROW()-ROW($H$681))), 0, IF(COLUMN() = (COLUMN($H$681) + (ROW()-ROW($H$681))), INDEX($H$664:$K$664,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86">
        <f t="shared" si="132"/>
        <v>0</v>
      </c>
      <c r="L690" s="1"/>
      <c r="M690" s="1"/>
      <c r="N690" s="1"/>
      <c r="O690" s="1"/>
      <c r="P690" s="1"/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K691" si="133">IF(COLUMN() &lt; (COLUMN($H691) + (ROW()-ROW($H$681))), 0, IF(COLUMN() = (COLUMN($H$681) + (ROW()-ROW($H$681))), INDEX($H$664:$K$664,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86">
        <f t="shared" si="133"/>
        <v>0</v>
      </c>
      <c r="L691" s="1"/>
      <c r="M691" s="1"/>
      <c r="N691" s="1"/>
      <c r="O691" s="1"/>
      <c r="P691" s="1"/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K692" si="134">IF(COLUMN() &lt; (COLUMN($H692) + (ROW()-ROW($H$681))), 0, IF(COLUMN() = (COLUMN($H$681) + (ROW()-ROW($H$681))), INDEX($H$664:$K$664,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86">
        <f t="shared" si="134"/>
        <v>0</v>
      </c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84"/>
      <c r="L693" s="1"/>
      <c r="M693" s="1"/>
      <c r="N693" s="1"/>
      <c r="O693" s="1"/>
      <c r="P693" s="1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K694" si="135">H698</f>
        <v>22500</v>
      </c>
      <c r="I694" s="188">
        <f t="shared" si="135"/>
        <v>24750</v>
      </c>
      <c r="J694" s="188">
        <f t="shared" si="135"/>
        <v>27225</v>
      </c>
      <c r="K694" s="188">
        <f t="shared" si="135"/>
        <v>29947.5</v>
      </c>
      <c r="L694" s="16"/>
      <c r="M694" s="16"/>
      <c r="N694" s="16"/>
      <c r="O694" s="16"/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5</v>
      </c>
      <c r="I695" s="190">
        <f t="shared" ref="I695:K695" si="136">H695</f>
        <v>5</v>
      </c>
      <c r="J695" s="190">
        <f t="shared" si="136"/>
        <v>5</v>
      </c>
      <c r="K695" s="190">
        <f t="shared" si="136"/>
        <v>5</v>
      </c>
      <c r="L695" s="16"/>
      <c r="M695" s="16"/>
      <c r="N695" s="16"/>
      <c r="O695" s="16"/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K696" si="137">H696*H697</f>
        <v>4950</v>
      </c>
      <c r="J696" s="188">
        <f t="shared" si="137"/>
        <v>5445</v>
      </c>
      <c r="K696" s="188">
        <f t="shared" si="137"/>
        <v>5989.5</v>
      </c>
      <c r="L696" s="16"/>
      <c r="M696" s="16"/>
      <c r="N696" s="16"/>
      <c r="O696" s="16"/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54">
        <v>1.1</v>
      </c>
      <c r="L697" s="16"/>
      <c r="M697" s="16"/>
      <c r="N697" s="16"/>
      <c r="O697" s="16"/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K698" si="138">H695*H696</f>
        <v>22500</v>
      </c>
      <c r="I698" s="188">
        <f t="shared" si="138"/>
        <v>24750</v>
      </c>
      <c r="J698" s="188">
        <f t="shared" si="138"/>
        <v>27225</v>
      </c>
      <c r="K698" s="188">
        <f t="shared" si="138"/>
        <v>29947.5</v>
      </c>
      <c r="L698" s="16"/>
      <c r="M698" s="16"/>
      <c r="N698" s="16"/>
      <c r="O698" s="16"/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88"/>
      <c r="L699" s="16"/>
      <c r="M699" s="16"/>
      <c r="N699" s="16"/>
      <c r="O699" s="16"/>
      <c r="P699" s="16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83"/>
      <c r="L700" s="136"/>
      <c r="M700" s="136"/>
      <c r="N700" s="136"/>
      <c r="O700" s="136"/>
      <c r="P700" s="136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84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K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312000</v>
      </c>
      <c r="J702" s="180">
        <f t="shared" si="139"/>
        <v>168000</v>
      </c>
      <c r="K702" s="180">
        <f t="shared" si="139"/>
        <v>144000</v>
      </c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K703" si="140">H484</f>
        <v>0</v>
      </c>
      <c r="I703" s="184" t="str">
        <f t="shared" si="140"/>
        <v/>
      </c>
      <c r="J703" s="184" t="str">
        <f t="shared" si="140"/>
        <v/>
      </c>
      <c r="K703" s="184" t="str">
        <f t="shared" si="140"/>
        <v/>
      </c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K704" si="141">SUM(H702:H703)</f>
        <v>0</v>
      </c>
      <c r="I704" s="184">
        <f t="shared" si="141"/>
        <v>312000</v>
      </c>
      <c r="J704" s="184">
        <f t="shared" si="141"/>
        <v>168000</v>
      </c>
      <c r="K704" s="184">
        <f t="shared" si="141"/>
        <v>144000</v>
      </c>
      <c r="L704" s="1"/>
      <c r="M704" s="1"/>
      <c r="N704" s="1"/>
      <c r="O704" s="1"/>
      <c r="P704" s="1"/>
      <c r="Q704" s="1"/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86"/>
      <c r="L705" s="1"/>
      <c r="M705" s="1"/>
      <c r="N705" s="1"/>
      <c r="O705" s="1"/>
      <c r="P705" s="1"/>
      <c r="Q705" s="1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K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86">
        <f t="shared" si="142"/>
        <v>1</v>
      </c>
      <c r="L706" s="1"/>
      <c r="M706" s="1"/>
      <c r="N706" s="1"/>
      <c r="O706" s="1"/>
      <c r="P706" s="1"/>
      <c r="Q706" s="1"/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K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86">
        <f t="shared" si="143"/>
        <v>0</v>
      </c>
      <c r="L707" s="1"/>
      <c r="M707" s="1"/>
      <c r="N707" s="1"/>
      <c r="O707" s="1"/>
      <c r="P707" s="1"/>
      <c r="Q707" s="1"/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K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86">
        <f t="shared" si="144"/>
        <v>1</v>
      </c>
      <c r="L708" s="1"/>
      <c r="M708" s="1"/>
      <c r="N708" s="1"/>
      <c r="O708" s="1"/>
      <c r="P708" s="1"/>
      <c r="Q708" s="1"/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K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86">
        <f t="shared" si="145"/>
        <v>2</v>
      </c>
      <c r="L709" s="1"/>
      <c r="M709" s="1"/>
      <c r="N709" s="1"/>
      <c r="O709" s="1"/>
      <c r="P709" s="1"/>
      <c r="Q709" s="1"/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K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86">
        <f t="shared" si="146"/>
        <v>0</v>
      </c>
      <c r="L710" s="1"/>
      <c r="M710" s="1"/>
      <c r="N710" s="1"/>
      <c r="O710" s="1"/>
      <c r="P710" s="1"/>
      <c r="Q710" s="1"/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K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86">
        <f t="shared" si="147"/>
        <v>0</v>
      </c>
      <c r="L711" s="1"/>
      <c r="M711" s="1"/>
      <c r="N711" s="1"/>
      <c r="O711" s="1"/>
      <c r="P711" s="1"/>
      <c r="Q711" s="1"/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K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86">
        <f t="shared" si="148"/>
        <v>0</v>
      </c>
      <c r="L712" s="1"/>
      <c r="M712" s="1"/>
      <c r="N712" s="1"/>
      <c r="O712" s="1"/>
      <c r="P712" s="1"/>
      <c r="Q712" s="1"/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K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86">
        <f t="shared" si="149"/>
        <v>0</v>
      </c>
      <c r="L713" s="1"/>
      <c r="M713" s="1"/>
      <c r="N713" s="1"/>
      <c r="O713" s="1"/>
      <c r="P713" s="1"/>
      <c r="Q713" s="1"/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K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86">
        <f t="shared" si="150"/>
        <v>0</v>
      </c>
      <c r="L714" s="1"/>
      <c r="M714" s="1"/>
      <c r="N714" s="1"/>
      <c r="O714" s="1"/>
      <c r="P714" s="1"/>
      <c r="Q714" s="1"/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K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86">
        <f t="shared" si="151"/>
        <v>0</v>
      </c>
      <c r="L715" s="1"/>
      <c r="M715" s="1"/>
      <c r="N715" s="1"/>
      <c r="O715" s="1"/>
      <c r="P715" s="1"/>
      <c r="Q715" s="1"/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K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86">
        <f t="shared" si="152"/>
        <v>0</v>
      </c>
      <c r="L716" s="1"/>
      <c r="M716" s="1"/>
      <c r="N716" s="1"/>
      <c r="O716" s="1"/>
      <c r="P716" s="1"/>
      <c r="Q716" s="1"/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K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86">
        <f t="shared" si="153"/>
        <v>0</v>
      </c>
      <c r="L717" s="1"/>
      <c r="M717" s="1"/>
      <c r="N717" s="1"/>
      <c r="O717" s="1"/>
      <c r="P717" s="1"/>
      <c r="Q717" s="1"/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86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55"/>
      <c r="L719" s="1"/>
      <c r="M719" s="1"/>
      <c r="N719" s="1"/>
      <c r="O719" s="1"/>
      <c r="P719" s="1"/>
      <c r="Q719" s="1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K720" si="154">H721-H704</f>
        <v>0</v>
      </c>
      <c r="I720" s="184">
        <f t="shared" si="154"/>
        <v>0</v>
      </c>
      <c r="J720" s="184">
        <f t="shared" si="154"/>
        <v>0</v>
      </c>
      <c r="K720" s="184">
        <f t="shared" si="154"/>
        <v>249600</v>
      </c>
      <c r="L720" s="1"/>
      <c r="M720" s="1"/>
      <c r="N720" s="1"/>
      <c r="O720" s="1"/>
      <c r="P720" s="1"/>
      <c r="Q720" s="1"/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K721" si="155">SUM(H722:H733)</f>
        <v>0</v>
      </c>
      <c r="I721" s="184">
        <f t="shared" si="155"/>
        <v>312000</v>
      </c>
      <c r="J721" s="184">
        <f t="shared" si="155"/>
        <v>168000</v>
      </c>
      <c r="K721" s="184">
        <f t="shared" si="155"/>
        <v>393600</v>
      </c>
      <c r="L721" s="1"/>
      <c r="M721" s="1"/>
      <c r="N721" s="1"/>
      <c r="O721" s="1"/>
      <c r="P721" s="1"/>
      <c r="Q721" s="1"/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K722" si="156">IF(COLUMN() &lt; (COLUMN($H$722) + (ROW()-ROW($H$722))), 0, IF(COLUMN() = (COLUMN($H$722) + (ROW()-ROW($H$722))), INDEX($H$704:$K$704,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86">
        <f t="shared" si="156"/>
        <v>0</v>
      </c>
      <c r="L722" s="1"/>
      <c r="M722" s="1"/>
      <c r="N722" s="1"/>
      <c r="O722" s="1"/>
      <c r="P722" s="1"/>
      <c r="Q722" s="1"/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K723" si="157">IF(COLUMN() &lt; (COLUMN($H$722) + (ROW()-ROW($H$722))), 0, IF(COLUMN() = (COLUMN($H$722) + (ROW()-ROW($H$722))), INDEX($H$704:$K$704, 1, COLUMN()-COLUMN($H$704)+1), IF(H707=0, OFFSET(H723, 0, -$H$705) * $H$719, 0)))</f>
        <v>0</v>
      </c>
      <c r="I723" s="186">
        <f t="shared" si="157"/>
        <v>312000</v>
      </c>
      <c r="J723" s="186">
        <f t="shared" si="157"/>
        <v>0</v>
      </c>
      <c r="K723" s="186">
        <f t="shared" si="157"/>
        <v>249600</v>
      </c>
      <c r="L723" s="1"/>
      <c r="M723" s="1"/>
      <c r="N723" s="1"/>
      <c r="O723" s="1"/>
      <c r="P723" s="1"/>
      <c r="Q723" s="1"/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K724" si="158">IF(COLUMN() &lt; (COLUMN($H$722) + (ROW()-ROW($H$722))), 0, IF(COLUMN() = (COLUMN($H$722) + (ROW()-ROW($H$722))), INDEX($H$704:$K$704, 1, COLUMN()-COLUMN($H$704)+1), IF(H708=0, OFFSET(H724, 0, -$H$705) * $H$719, 0)))</f>
        <v>0</v>
      </c>
      <c r="I724" s="186">
        <f t="shared" si="158"/>
        <v>0</v>
      </c>
      <c r="J724" s="186">
        <f t="shared" si="158"/>
        <v>168000</v>
      </c>
      <c r="K724" s="186">
        <f t="shared" si="158"/>
        <v>0</v>
      </c>
      <c r="L724" s="1"/>
      <c r="M724" s="1"/>
      <c r="N724" s="1"/>
      <c r="O724" s="1"/>
      <c r="P724" s="1"/>
      <c r="Q724" s="1"/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K725" si="159">IF(COLUMN() &lt; (COLUMN($H$722) + (ROW()-ROW($H$722))), 0, IF(COLUMN() = (COLUMN($H$722) + (ROW()-ROW($H$722))), INDEX($H$704:$K$704,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86">
        <f t="shared" si="159"/>
        <v>144000</v>
      </c>
      <c r="L725" s="1"/>
      <c r="M725" s="1"/>
      <c r="N725" s="1"/>
      <c r="O725" s="1"/>
      <c r="P725" s="1"/>
      <c r="Q725" s="1"/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K726" si="160">IF(COLUMN() &lt; (COLUMN($H$722) + (ROW()-ROW($H$722))), 0, IF(COLUMN() = (COLUMN($H$722) + (ROW()-ROW($H$722))), INDEX($H$704:$K$704,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86">
        <f t="shared" si="160"/>
        <v>0</v>
      </c>
      <c r="L726" s="1"/>
      <c r="M726" s="1"/>
      <c r="N726" s="1"/>
      <c r="O726" s="1"/>
      <c r="P726" s="1"/>
      <c r="Q726" s="1"/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K727" si="161">IF(COLUMN() &lt; (COLUMN($H$722) + (ROW()-ROW($H$722))), 0, IF(COLUMN() = (COLUMN($H$722) + (ROW()-ROW($H$722))), INDEX($H$704:$K$704,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86">
        <f t="shared" si="161"/>
        <v>0</v>
      </c>
      <c r="L727" s="1"/>
      <c r="M727" s="1"/>
      <c r="N727" s="1"/>
      <c r="O727" s="1"/>
      <c r="P727" s="1"/>
      <c r="Q727" s="1"/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K728" si="162">IF(COLUMN() &lt; (COLUMN($H$722) + (ROW()-ROW($H$722))), 0, IF(COLUMN() = (COLUMN($H$722) + (ROW()-ROW($H$722))), INDEX($H$704:$K$704,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86">
        <f t="shared" si="162"/>
        <v>0</v>
      </c>
      <c r="L728" s="1"/>
      <c r="M728" s="1"/>
      <c r="N728" s="1"/>
      <c r="O728" s="1"/>
      <c r="P728" s="1"/>
      <c r="Q728" s="1"/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K729" si="163">IF(COLUMN() &lt; (COLUMN($H$722) + (ROW()-ROW($H$722))), 0, IF(COLUMN() = (COLUMN($H$722) + (ROW()-ROW($H$722))), INDEX($H$704:$K$704,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86">
        <f t="shared" si="163"/>
        <v>0</v>
      </c>
      <c r="L729" s="1"/>
      <c r="M729" s="1"/>
      <c r="N729" s="1"/>
      <c r="O729" s="1"/>
      <c r="P729" s="1"/>
      <c r="Q729" s="1"/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K730" si="164">IF(COLUMN() &lt; (COLUMN($H$722) + (ROW()-ROW($H$722))), 0, IF(COLUMN() = (COLUMN($H$722) + (ROW()-ROW($H$722))), INDEX($H$704:$K$704,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86">
        <f t="shared" si="164"/>
        <v>0</v>
      </c>
      <c r="L730" s="1"/>
      <c r="M730" s="1"/>
      <c r="N730" s="1"/>
      <c r="O730" s="1"/>
      <c r="P730" s="1"/>
      <c r="Q730" s="1"/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K731" si="165">IF(COLUMN() &lt; (COLUMN($H$722) + (ROW()-ROW($H$722))), 0, IF(COLUMN() = (COLUMN($H$722) + (ROW()-ROW($H$722))), INDEX($H$704:$K$704,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86">
        <f t="shared" si="165"/>
        <v>0</v>
      </c>
      <c r="L731" s="1"/>
      <c r="M731" s="1"/>
      <c r="N731" s="1"/>
      <c r="O731" s="1"/>
      <c r="P731" s="1"/>
      <c r="Q731" s="1"/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K732" si="166">IF(COLUMN() &lt; (COLUMN($H$722) + (ROW()-ROW($H$722))), 0, IF(COLUMN() = (COLUMN($H$722) + (ROW()-ROW($H$722))), INDEX($H$704:$K$704,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86">
        <f t="shared" si="166"/>
        <v>0</v>
      </c>
      <c r="L732" s="1"/>
      <c r="M732" s="1"/>
      <c r="N732" s="1"/>
      <c r="O732" s="1"/>
      <c r="P732" s="1"/>
      <c r="Q732" s="1"/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K733" si="167">IF(COLUMN() &lt; (COLUMN($H$722) + (ROW()-ROW($H$722))), 0, IF(COLUMN() = (COLUMN($H$722) + (ROW()-ROW($H$722))), INDEX($H$704:$K$704,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86">
        <f t="shared" si="167"/>
        <v>0</v>
      </c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86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K735" si="168">H754</f>
        <v>0</v>
      </c>
      <c r="I735" s="184">
        <f t="shared" si="168"/>
        <v>0</v>
      </c>
      <c r="J735" s="184">
        <f t="shared" si="168"/>
        <v>0</v>
      </c>
      <c r="K735" s="184">
        <f t="shared" si="168"/>
        <v>0</v>
      </c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K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2142000</v>
      </c>
      <c r="J736" s="180">
        <f t="shared" si="169"/>
        <v>1134000</v>
      </c>
      <c r="K736" s="180">
        <f t="shared" si="169"/>
        <v>1008000</v>
      </c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K737" si="170">H486</f>
        <v>3281040</v>
      </c>
      <c r="I737" s="184" t="str">
        <f t="shared" si="170"/>
        <v/>
      </c>
      <c r="J737" s="184" t="str">
        <f t="shared" si="170"/>
        <v/>
      </c>
      <c r="K737" s="184" t="str">
        <f t="shared" si="170"/>
        <v/>
      </c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K738" si="171">SUM(H736:H737)</f>
        <v>3281040</v>
      </c>
      <c r="I738" s="184">
        <f t="shared" si="171"/>
        <v>2142000</v>
      </c>
      <c r="J738" s="184">
        <f t="shared" si="171"/>
        <v>1134000</v>
      </c>
      <c r="K738" s="184">
        <f t="shared" si="171"/>
        <v>1008000</v>
      </c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86"/>
      <c r="L739" s="1"/>
      <c r="M739" s="1"/>
      <c r="N739" s="1"/>
      <c r="O739" s="1"/>
      <c r="P739" s="1"/>
      <c r="Q739" s="1"/>
      <c r="R739" s="1"/>
      <c r="S739" s="1"/>
    </row>
    <row r="740" outlineLevel="1">
      <c r="A740" s="1"/>
      <c r="B740" s="1"/>
      <c r="C740" s="1"/>
      <c r="D740" s="1"/>
      <c r="E740" s="1"/>
      <c r="F740" s="13"/>
      <c r="G740" s="155"/>
      <c r="H740" s="186">
        <f t="shared" ref="H740:K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86">
        <f t="shared" si="172"/>
        <v>4</v>
      </c>
      <c r="L740" s="1"/>
      <c r="M740" s="1"/>
      <c r="N740" s="1"/>
      <c r="O740" s="1"/>
      <c r="P740" s="1"/>
      <c r="Q740" s="1"/>
      <c r="R740" s="1"/>
      <c r="S740" s="1"/>
    </row>
    <row r="741" outlineLevel="1">
      <c r="A741" s="1"/>
      <c r="B741" s="1"/>
      <c r="C741" s="1"/>
      <c r="D741" s="1"/>
      <c r="E741" s="1"/>
      <c r="F741" s="13"/>
      <c r="G741" s="155"/>
      <c r="H741" s="186">
        <f t="shared" ref="H741:K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86">
        <f t="shared" si="173"/>
        <v>5</v>
      </c>
      <c r="L741" s="1"/>
      <c r="M741" s="1"/>
      <c r="N741" s="1"/>
      <c r="O741" s="1"/>
      <c r="P741" s="1"/>
      <c r="Q741" s="1"/>
      <c r="R741" s="1"/>
      <c r="S741" s="1"/>
    </row>
    <row r="742" outlineLevel="1">
      <c r="A742" s="1"/>
      <c r="B742" s="1"/>
      <c r="C742" s="1"/>
      <c r="D742" s="1"/>
      <c r="E742" s="1"/>
      <c r="F742" s="13"/>
      <c r="G742" s="155"/>
      <c r="H742" s="186">
        <f t="shared" ref="H742:K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86">
        <f t="shared" si="174"/>
        <v>6</v>
      </c>
      <c r="L742" s="1"/>
      <c r="M742" s="1"/>
      <c r="N742" s="1"/>
      <c r="O742" s="1"/>
      <c r="P742" s="1"/>
      <c r="Q742" s="1"/>
      <c r="R742" s="1"/>
      <c r="S742" s="1"/>
    </row>
    <row r="743" outlineLevel="1">
      <c r="A743" s="1"/>
      <c r="B743" s="1"/>
      <c r="C743" s="1"/>
      <c r="D743" s="1"/>
      <c r="E743" s="1"/>
      <c r="F743" s="13"/>
      <c r="G743" s="155"/>
      <c r="H743" s="186">
        <f t="shared" ref="H743:K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86">
        <f t="shared" si="175"/>
        <v>7</v>
      </c>
      <c r="L743" s="1"/>
      <c r="M743" s="1"/>
      <c r="N743" s="1"/>
      <c r="O743" s="1"/>
      <c r="P743" s="1"/>
      <c r="Q743" s="1"/>
      <c r="R743" s="1"/>
      <c r="S743" s="1"/>
    </row>
    <row r="744" outlineLevel="1">
      <c r="A744" s="1"/>
      <c r="B744" s="1"/>
      <c r="C744" s="1"/>
      <c r="D744" s="1"/>
      <c r="E744" s="1"/>
      <c r="F744" s="13"/>
      <c r="G744" s="155"/>
      <c r="H744" s="186">
        <f t="shared" ref="H744:K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86">
        <f t="shared" si="176"/>
        <v>0</v>
      </c>
      <c r="L744" s="1"/>
      <c r="M744" s="1"/>
      <c r="N744" s="1"/>
      <c r="O744" s="1"/>
      <c r="P744" s="1"/>
      <c r="Q744" s="1"/>
      <c r="R744" s="1"/>
      <c r="S744" s="1"/>
    </row>
    <row r="745" outlineLevel="1">
      <c r="A745" s="1"/>
      <c r="B745" s="1"/>
      <c r="C745" s="1"/>
      <c r="D745" s="1"/>
      <c r="E745" s="1"/>
      <c r="F745" s="13"/>
      <c r="G745" s="155"/>
      <c r="H745" s="186">
        <f t="shared" ref="H745:K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86">
        <f t="shared" si="177"/>
        <v>0</v>
      </c>
      <c r="L745" s="1"/>
      <c r="M745" s="1"/>
      <c r="N745" s="1"/>
      <c r="O745" s="1"/>
      <c r="P745" s="1"/>
      <c r="Q745" s="1"/>
      <c r="R745" s="1"/>
      <c r="S745" s="1"/>
    </row>
    <row r="746" outlineLevel="1">
      <c r="A746" s="1"/>
      <c r="B746" s="1"/>
      <c r="C746" s="1"/>
      <c r="D746" s="1"/>
      <c r="E746" s="1"/>
      <c r="F746" s="13"/>
      <c r="G746" s="155"/>
      <c r="H746" s="186">
        <f t="shared" ref="H746:K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86">
        <f t="shared" si="178"/>
        <v>0</v>
      </c>
      <c r="L746" s="1"/>
      <c r="M746" s="1"/>
      <c r="N746" s="1"/>
      <c r="O746" s="1"/>
      <c r="P746" s="1"/>
      <c r="Q746" s="1"/>
      <c r="R746" s="1"/>
      <c r="S746" s="1"/>
    </row>
    <row r="747" outlineLevel="1">
      <c r="A747" s="1"/>
      <c r="B747" s="1"/>
      <c r="C747" s="1"/>
      <c r="D747" s="1"/>
      <c r="E747" s="1"/>
      <c r="F747" s="13"/>
      <c r="G747" s="155"/>
      <c r="H747" s="186">
        <f t="shared" ref="H747:K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86">
        <f t="shared" si="179"/>
        <v>0</v>
      </c>
      <c r="L747" s="1"/>
      <c r="M747" s="1"/>
      <c r="N747" s="1"/>
      <c r="O747" s="1"/>
      <c r="P747" s="1"/>
      <c r="Q747" s="1"/>
      <c r="R747" s="1"/>
      <c r="S747" s="1"/>
    </row>
    <row r="748" outlineLevel="1">
      <c r="A748" s="1"/>
      <c r="B748" s="1"/>
      <c r="C748" s="1"/>
      <c r="D748" s="1"/>
      <c r="E748" s="1"/>
      <c r="F748" s="13"/>
      <c r="G748" s="155"/>
      <c r="H748" s="186">
        <f t="shared" ref="H748:K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86">
        <f t="shared" si="180"/>
        <v>0</v>
      </c>
      <c r="L748" s="1"/>
      <c r="M748" s="1"/>
      <c r="N748" s="1"/>
      <c r="O748" s="1"/>
      <c r="P748" s="1"/>
      <c r="Q748" s="1"/>
      <c r="R748" s="1"/>
      <c r="S748" s="1"/>
    </row>
    <row r="749" outlineLevel="1">
      <c r="A749" s="1"/>
      <c r="B749" s="1"/>
      <c r="C749" s="1"/>
      <c r="D749" s="1"/>
      <c r="E749" s="1"/>
      <c r="F749" s="13"/>
      <c r="G749" s="155"/>
      <c r="H749" s="186">
        <f t="shared" ref="H749:K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86">
        <f t="shared" si="181"/>
        <v>0</v>
      </c>
      <c r="L749" s="1"/>
      <c r="M749" s="1"/>
      <c r="N749" s="1"/>
      <c r="O749" s="1"/>
      <c r="P749" s="1"/>
      <c r="Q749" s="1"/>
      <c r="R749" s="1"/>
      <c r="S749" s="1"/>
    </row>
    <row r="750" outlineLevel="1">
      <c r="A750" s="1"/>
      <c r="B750" s="1"/>
      <c r="C750" s="1"/>
      <c r="D750" s="1"/>
      <c r="E750" s="1"/>
      <c r="F750" s="13"/>
      <c r="G750" s="155"/>
      <c r="H750" s="186">
        <f t="shared" ref="H750:K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86">
        <f t="shared" si="182"/>
        <v>0</v>
      </c>
      <c r="L750" s="1"/>
      <c r="M750" s="1"/>
      <c r="N750" s="1"/>
      <c r="O750" s="1"/>
      <c r="P750" s="1"/>
      <c r="Q750" s="1"/>
      <c r="R750" s="1"/>
      <c r="S750" s="1"/>
    </row>
    <row r="751" outlineLevel="1">
      <c r="A751" s="1"/>
      <c r="B751" s="1"/>
      <c r="C751" s="1"/>
      <c r="D751" s="1"/>
      <c r="E751" s="1"/>
      <c r="F751" s="13"/>
      <c r="G751" s="155"/>
      <c r="H751" s="186">
        <f t="shared" ref="H751:K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86">
        <f t="shared" si="183"/>
        <v>0</v>
      </c>
      <c r="L751" s="1"/>
      <c r="M751" s="1"/>
      <c r="N751" s="1"/>
      <c r="O751" s="1"/>
      <c r="P751" s="1"/>
      <c r="Q751" s="1"/>
      <c r="R751" s="1"/>
      <c r="S751" s="1"/>
    </row>
    <row r="752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86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55"/>
      <c r="L753" s="1"/>
      <c r="M753" s="1"/>
      <c r="N753" s="1"/>
      <c r="O753" s="1"/>
      <c r="P753" s="1"/>
      <c r="Q753" s="1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K754" si="184">H755-H738</f>
        <v>0</v>
      </c>
      <c r="I754" s="184">
        <f t="shared" si="184"/>
        <v>0</v>
      </c>
      <c r="J754" s="184">
        <f t="shared" si="184"/>
        <v>0</v>
      </c>
      <c r="K754" s="184">
        <f t="shared" si="184"/>
        <v>0</v>
      </c>
      <c r="L754" s="1"/>
      <c r="M754" s="1"/>
      <c r="N754" s="1"/>
      <c r="O754" s="1"/>
      <c r="P754" s="1"/>
      <c r="Q754" s="1"/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K755" si="185">SUM(H756:H767)</f>
        <v>3281040</v>
      </c>
      <c r="I755" s="184">
        <f t="shared" si="185"/>
        <v>2142000</v>
      </c>
      <c r="J755" s="184">
        <f t="shared" si="185"/>
        <v>1134000</v>
      </c>
      <c r="K755" s="184">
        <f t="shared" si="185"/>
        <v>1008000</v>
      </c>
      <c r="L755" s="1"/>
      <c r="M755" s="1"/>
      <c r="N755" s="1"/>
      <c r="O755" s="1"/>
      <c r="P755" s="1"/>
      <c r="Q755" s="1"/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K756" si="186">IF(COLUMN() &lt; (COLUMN($H$756) + (ROW()-ROW($H$756))), 0, IF(COLUMN() = (COLUMN($H$756) + (ROW()-ROW($H$756))), INDEX($H$738:$K$738, 1, COLUMN()-COLUMN($H$738)+1), IF(H740=0, OFFSET(H756, 0, -$H$739) * $H$753, 0)))</f>
        <v>3281040</v>
      </c>
      <c r="I756" s="186">
        <f t="shared" si="186"/>
        <v>0</v>
      </c>
      <c r="J756" s="186">
        <f t="shared" si="186"/>
        <v>0</v>
      </c>
      <c r="K756" s="186">
        <f t="shared" si="186"/>
        <v>0</v>
      </c>
      <c r="L756" s="1"/>
      <c r="M756" s="1"/>
      <c r="N756" s="1"/>
      <c r="O756" s="1"/>
      <c r="P756" s="1"/>
      <c r="Q756" s="1"/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K757" si="187">IF(COLUMN() &lt; (COLUMN($H$756) + (ROW()-ROW($H$756))), 0, IF(COLUMN() = (COLUMN($H$756) + (ROW()-ROW($H$756))), INDEX($H$738:$K$738, 1, COLUMN()-COLUMN($H$738)+1), IF(H741=0, OFFSET(H757, 0, -$H$739) * $H$753, 0)))</f>
        <v>0</v>
      </c>
      <c r="I757" s="186">
        <f t="shared" si="187"/>
        <v>2142000</v>
      </c>
      <c r="J757" s="186">
        <f t="shared" si="187"/>
        <v>0</v>
      </c>
      <c r="K757" s="186">
        <f t="shared" si="187"/>
        <v>0</v>
      </c>
      <c r="L757" s="1"/>
      <c r="M757" s="1"/>
      <c r="N757" s="1"/>
      <c r="O757" s="1"/>
      <c r="P757" s="1"/>
      <c r="Q757" s="1"/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K758" si="188">IF(COLUMN() &lt; (COLUMN($H$756) + (ROW()-ROW($H$756))), 0, IF(COLUMN() = (COLUMN($H$756) + (ROW()-ROW($H$756))), INDEX($H$738:$K$738, 1, COLUMN()-COLUMN($H$738)+1), IF(H742=0, OFFSET(H758, 0, -$H$739) * $H$753, 0)))</f>
        <v>0</v>
      </c>
      <c r="I758" s="186">
        <f t="shared" si="188"/>
        <v>0</v>
      </c>
      <c r="J758" s="186">
        <f t="shared" si="188"/>
        <v>1134000</v>
      </c>
      <c r="K758" s="186">
        <f t="shared" si="188"/>
        <v>0</v>
      </c>
      <c r="L758" s="1"/>
      <c r="M758" s="1"/>
      <c r="N758" s="1"/>
      <c r="O758" s="1"/>
      <c r="P758" s="1"/>
      <c r="Q758" s="1"/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K759" si="189">IF(COLUMN() &lt; (COLUMN($H$756) + (ROW()-ROW($H$756))), 0, IF(COLUMN() = (COLUMN($H$756) + (ROW()-ROW($H$756))), INDEX($H$738:$K$738,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86">
        <f t="shared" si="189"/>
        <v>1008000</v>
      </c>
      <c r="L759" s="1"/>
      <c r="M759" s="1"/>
      <c r="N759" s="1"/>
      <c r="O759" s="1"/>
      <c r="P759" s="1"/>
      <c r="Q759" s="1"/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K760" si="190">IF(COLUMN() &lt; (COLUMN($H$756) + (ROW()-ROW($H$756))), 0, IF(COLUMN() = (COLUMN($H$756) + (ROW()-ROW($H$756))), INDEX($H$738:$K$738,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86">
        <f t="shared" si="190"/>
        <v>0</v>
      </c>
      <c r="L760" s="1"/>
      <c r="M760" s="1"/>
      <c r="N760" s="1"/>
      <c r="O760" s="1"/>
      <c r="P760" s="1"/>
      <c r="Q760" s="1"/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K761" si="191">IF(COLUMN() &lt; (COLUMN($H$756) + (ROW()-ROW($H$756))), 0, IF(COLUMN() = (COLUMN($H$756) + (ROW()-ROW($H$756))), INDEX($H$738:$K$738,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86">
        <f t="shared" si="191"/>
        <v>0</v>
      </c>
      <c r="L761" s="1"/>
      <c r="M761" s="1"/>
      <c r="N761" s="1"/>
      <c r="O761" s="1"/>
      <c r="P761" s="1"/>
      <c r="Q761" s="1"/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K762" si="192">IF(COLUMN() &lt; (COLUMN($H$756) + (ROW()-ROW($H$756))), 0, IF(COLUMN() = (COLUMN($H$756) + (ROW()-ROW($H$756))), INDEX($H$738:$K$738,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86">
        <f t="shared" si="192"/>
        <v>0</v>
      </c>
      <c r="L762" s="1"/>
      <c r="M762" s="1"/>
      <c r="N762" s="1"/>
      <c r="O762" s="1"/>
      <c r="P762" s="1"/>
      <c r="Q762" s="1"/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K763" si="193">IF(COLUMN() &lt; (COLUMN($H$756) + (ROW()-ROW($H$756))), 0, IF(COLUMN() = (COLUMN($H$756) + (ROW()-ROW($H$756))), INDEX($H$738:$K$738,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86">
        <f t="shared" si="193"/>
        <v>0</v>
      </c>
      <c r="L763" s="1"/>
      <c r="M763" s="1"/>
      <c r="N763" s="1"/>
      <c r="O763" s="1"/>
      <c r="P763" s="1"/>
      <c r="Q763" s="1"/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K764" si="194">IF(COLUMN() &lt; (COLUMN($H$756) + (ROW()-ROW($H$756))), 0, IF(COLUMN() = (COLUMN($H$756) + (ROW()-ROW($H$756))), INDEX($H$738:$K$738,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86">
        <f t="shared" si="194"/>
        <v>0</v>
      </c>
      <c r="L764" s="1"/>
      <c r="M764" s="1"/>
      <c r="N764" s="1"/>
      <c r="O764" s="1"/>
      <c r="P764" s="1"/>
      <c r="Q764" s="1"/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K765" si="195">IF(COLUMN() &lt; (COLUMN($H$756) + (ROW()-ROW($H$756))), 0, IF(COLUMN() = (COLUMN($H$756) + (ROW()-ROW($H$756))), INDEX($H$738:$K$738,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86">
        <f t="shared" si="195"/>
        <v>0</v>
      </c>
      <c r="L765" s="1"/>
      <c r="M765" s="1"/>
      <c r="N765" s="1"/>
      <c r="O765" s="1"/>
      <c r="P765" s="1"/>
      <c r="Q765" s="1"/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K766" si="196">IF(COLUMN() &lt; (COLUMN($H$756) + (ROW()-ROW($H$756))), 0, IF(COLUMN() = (COLUMN($H$756) + (ROW()-ROW($H$756))), INDEX($H$738:$K$738,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86">
        <f t="shared" si="196"/>
        <v>0</v>
      </c>
      <c r="L766" s="1"/>
      <c r="M766" s="1"/>
      <c r="N766" s="1"/>
      <c r="O766" s="1"/>
      <c r="P766" s="1"/>
      <c r="Q766" s="1"/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K767" si="197">IF(COLUMN() &lt; (COLUMN($H$756) + (ROW()-ROW($H$756))), 0, IF(COLUMN() = (COLUMN($H$756) + (ROW()-ROW($H$756))), INDEX($H$738:$K$738,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86">
        <f t="shared" si="197"/>
        <v>0</v>
      </c>
      <c r="L767" s="1"/>
      <c r="M767" s="1"/>
      <c r="N767" s="1"/>
      <c r="O767" s="1"/>
      <c r="P767" s="1"/>
      <c r="Q767" s="1"/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K768" si="198">IF(COLUMN() &lt; (COLUMN($H$756) + (ROW()-ROW($H$756))), 0, IF(COLUMN() = (COLUMN($H$756) + (ROW()-ROW($H$756))), INDEX($H$738:$K$738,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86">
        <f t="shared" si="198"/>
        <v>0</v>
      </c>
      <c r="L768" s="192"/>
      <c r="M768" s="192"/>
      <c r="N768" s="192"/>
      <c r="O768" s="192"/>
      <c r="P768" s="192"/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86"/>
      <c r="L769" s="192"/>
      <c r="M769" s="192"/>
      <c r="N769" s="192"/>
      <c r="O769" s="192"/>
      <c r="P769" s="192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K770" si="199">H774</f>
        <v>0</v>
      </c>
      <c r="I770" s="188">
        <f t="shared" si="199"/>
        <v>0</v>
      </c>
      <c r="J770" s="188">
        <f t="shared" si="199"/>
        <v>0</v>
      </c>
      <c r="K770" s="188">
        <f t="shared" si="199"/>
        <v>0</v>
      </c>
      <c r="L770" s="192"/>
      <c r="M770" s="192"/>
      <c r="N770" s="192"/>
      <c r="O770" s="192"/>
      <c r="P770" s="192"/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K771" si="200">H771</f>
        <v>0</v>
      </c>
      <c r="J771" s="190">
        <f t="shared" si="200"/>
        <v>0</v>
      </c>
      <c r="K771" s="190">
        <f t="shared" si="200"/>
        <v>0</v>
      </c>
      <c r="L771" s="192"/>
      <c r="M771" s="192"/>
      <c r="N771" s="192"/>
      <c r="O771" s="192"/>
      <c r="P771" s="192"/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K772" si="201">H772*H773</f>
        <v>0</v>
      </c>
      <c r="J772" s="188">
        <f t="shared" si="201"/>
        <v>0</v>
      </c>
      <c r="K772" s="188">
        <f t="shared" si="201"/>
        <v>0</v>
      </c>
      <c r="L772" s="192"/>
      <c r="M772" s="192"/>
      <c r="N772" s="192"/>
      <c r="O772" s="192"/>
      <c r="P772" s="192"/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54">
        <v>0.0</v>
      </c>
      <c r="L773" s="192"/>
      <c r="M773" s="192"/>
      <c r="N773" s="192"/>
      <c r="O773" s="192"/>
      <c r="P773" s="192"/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K774" si="202">H771*H772</f>
        <v>0</v>
      </c>
      <c r="I774" s="188">
        <f t="shared" si="202"/>
        <v>0</v>
      </c>
      <c r="J774" s="188">
        <f t="shared" si="202"/>
        <v>0</v>
      </c>
      <c r="K774" s="188">
        <f t="shared" si="202"/>
        <v>0</v>
      </c>
      <c r="L774" s="192"/>
      <c r="M774" s="192"/>
      <c r="N774" s="192"/>
      <c r="O774" s="192"/>
      <c r="P774" s="192"/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5"/>
      <c r="L775" s="192"/>
      <c r="M775" s="192"/>
      <c r="N775" s="192"/>
      <c r="O775" s="192"/>
      <c r="P775" s="192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5"/>
      <c r="L776" s="192"/>
      <c r="M776" s="192"/>
      <c r="N776" s="192"/>
      <c r="O776" s="192"/>
      <c r="P776" s="192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18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63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K779" si="203">SUM(H782,H785,H788,H791,H794)</f>
        <v>0</v>
      </c>
      <c r="I779" s="173">
        <f t="shared" si="203"/>
        <v>8572000</v>
      </c>
      <c r="J779" s="173">
        <f t="shared" si="203"/>
        <v>5534000</v>
      </c>
      <c r="K779" s="173">
        <f t="shared" si="203"/>
        <v>4026000</v>
      </c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402</v>
      </c>
      <c r="E781" s="1"/>
      <c r="F781" s="1"/>
      <c r="G781" s="128"/>
      <c r="H781" s="128">
        <f t="shared" ref="H781:K781" si="204">IFERROR(H782/H$779,0)</f>
        <v>0</v>
      </c>
      <c r="I781" s="128">
        <f t="shared" si="204"/>
        <v>0.4153056463</v>
      </c>
      <c r="J781" s="128">
        <f t="shared" si="204"/>
        <v>0.447415974</v>
      </c>
      <c r="K781" s="128">
        <f t="shared" si="204"/>
        <v>0.4153005464</v>
      </c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76" t="s">
        <v>285</v>
      </c>
      <c r="D782" s="176" t="s">
        <v>403</v>
      </c>
      <c r="E782" s="1"/>
      <c r="F782" s="1"/>
      <c r="G782" s="173"/>
      <c r="H782" s="173">
        <f t="shared" ref="H782:K782" si="205">SUM(H827,H872,H917,H963,H1008)</f>
        <v>0</v>
      </c>
      <c r="I782" s="173">
        <f t="shared" si="205"/>
        <v>3560000</v>
      </c>
      <c r="J782" s="173">
        <f t="shared" si="205"/>
        <v>2476000</v>
      </c>
      <c r="K782" s="173">
        <f t="shared" si="205"/>
        <v>1672000</v>
      </c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78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76" t="s">
        <v>287</v>
      </c>
      <c r="D784" s="176" t="s">
        <v>404</v>
      </c>
      <c r="E784" s="1"/>
      <c r="F784" s="1"/>
      <c r="G784" s="128"/>
      <c r="H784" s="128">
        <f t="shared" ref="H784:K784" si="206">IFERROR(H785/H$779,0)</f>
        <v>0</v>
      </c>
      <c r="I784" s="128">
        <f t="shared" si="206"/>
        <v>0.2984134391</v>
      </c>
      <c r="J784" s="128">
        <f t="shared" si="206"/>
        <v>0.2739428984</v>
      </c>
      <c r="K784" s="128">
        <f t="shared" si="206"/>
        <v>0.2985593641</v>
      </c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76" t="s">
        <v>285</v>
      </c>
      <c r="D785" s="176" t="s">
        <v>405</v>
      </c>
      <c r="E785" s="1"/>
      <c r="F785" s="1"/>
      <c r="G785" s="173"/>
      <c r="H785" s="173">
        <f t="shared" ref="H785:K785" si="207">SUM(H830,H875,H920,H966,H1011)</f>
        <v>0</v>
      </c>
      <c r="I785" s="173">
        <f t="shared" si="207"/>
        <v>2558000</v>
      </c>
      <c r="J785" s="173">
        <f t="shared" si="207"/>
        <v>1516000</v>
      </c>
      <c r="K785" s="173">
        <f t="shared" si="207"/>
        <v>1202000</v>
      </c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78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76" t="s">
        <v>287</v>
      </c>
      <c r="D787" s="13" t="s">
        <v>406</v>
      </c>
      <c r="E787" s="1"/>
      <c r="F787" s="1"/>
      <c r="G787" s="128"/>
      <c r="H787" s="128">
        <f t="shared" ref="H787:K787" si="208">IFERROR(H788/H$779,0)</f>
        <v>0</v>
      </c>
      <c r="I787" s="128">
        <f t="shared" si="208"/>
        <v>0.0363975735</v>
      </c>
      <c r="J787" s="128">
        <f t="shared" si="208"/>
        <v>0.03469461511</v>
      </c>
      <c r="K787" s="128">
        <f t="shared" si="208"/>
        <v>0.03576751118</v>
      </c>
      <c r="L787" s="1"/>
      <c r="M787" s="1"/>
      <c r="N787" s="1"/>
      <c r="O787" s="1"/>
      <c r="P787" s="1"/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407</v>
      </c>
      <c r="E788" s="1"/>
      <c r="F788" s="1"/>
      <c r="G788" s="173"/>
      <c r="H788" s="173">
        <f t="shared" ref="H788:K788" si="209">SUM(H833,H878,H923)</f>
        <v>0</v>
      </c>
      <c r="I788" s="173">
        <f t="shared" si="209"/>
        <v>312000</v>
      </c>
      <c r="J788" s="173">
        <f t="shared" si="209"/>
        <v>192000</v>
      </c>
      <c r="K788" s="173">
        <f t="shared" si="209"/>
        <v>144000</v>
      </c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78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76" t="s">
        <v>287</v>
      </c>
      <c r="D790" s="13" t="s">
        <v>408</v>
      </c>
      <c r="E790" s="1"/>
      <c r="F790" s="1"/>
      <c r="G790" s="128"/>
      <c r="H790" s="128">
        <f t="shared" ref="H790:K790" si="210">IFERROR(H791/H$779,0)</f>
        <v>0</v>
      </c>
      <c r="I790" s="128">
        <f t="shared" si="210"/>
        <v>0.2498833411</v>
      </c>
      <c r="J790" s="128">
        <f t="shared" si="210"/>
        <v>0.2439465125</v>
      </c>
      <c r="K790" s="128">
        <f t="shared" si="210"/>
        <v>0.2503725782</v>
      </c>
      <c r="L790" s="1"/>
      <c r="M790" s="1"/>
      <c r="N790" s="1"/>
      <c r="O790" s="1"/>
      <c r="P790" s="1"/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409</v>
      </c>
      <c r="E791" s="1"/>
      <c r="F791" s="1"/>
      <c r="G791" s="173"/>
      <c r="H791" s="173">
        <f t="shared" ref="H791:K791" si="211">SUM(H836,H881,H926)</f>
        <v>0</v>
      </c>
      <c r="I791" s="173">
        <f t="shared" si="211"/>
        <v>2142000</v>
      </c>
      <c r="J791" s="173">
        <f t="shared" si="211"/>
        <v>1350000</v>
      </c>
      <c r="K791" s="173">
        <f t="shared" si="211"/>
        <v>1008000</v>
      </c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43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76" t="s">
        <v>287</v>
      </c>
      <c r="D793" s="176" t="s">
        <v>410</v>
      </c>
      <c r="E793" s="1"/>
      <c r="F793" s="1"/>
      <c r="G793" s="128"/>
      <c r="H793" s="128">
        <f t="shared" ref="H793:K793" si="212">IFERROR(H794/H$779,0)</f>
        <v>0</v>
      </c>
      <c r="I793" s="128">
        <f t="shared" si="212"/>
        <v>0</v>
      </c>
      <c r="J793" s="128">
        <f t="shared" si="212"/>
        <v>0</v>
      </c>
      <c r="K793" s="128">
        <f t="shared" si="212"/>
        <v>0</v>
      </c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76" t="s">
        <v>285</v>
      </c>
      <c r="D794" s="176" t="s">
        <v>411</v>
      </c>
      <c r="E794" s="1"/>
      <c r="F794" s="1"/>
      <c r="G794" s="173"/>
      <c r="H794" s="173">
        <f t="shared" ref="H794:K794" si="213">SUM(H839,H884,H929)</f>
        <v>0</v>
      </c>
      <c r="I794" s="173">
        <f t="shared" si="213"/>
        <v>0</v>
      </c>
      <c r="J794" s="173">
        <f t="shared" si="213"/>
        <v>0</v>
      </c>
      <c r="K794" s="173">
        <f t="shared" si="213"/>
        <v>0</v>
      </c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43"/>
      <c r="L795" s="1"/>
      <c r="M795" s="1"/>
      <c r="N795" s="1"/>
      <c r="O795" s="1"/>
      <c r="P795" s="1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32</v>
      </c>
      <c r="I797" s="197"/>
      <c r="J797" s="197"/>
      <c r="K797" s="197"/>
      <c r="L797" s="198"/>
      <c r="M797" s="198"/>
      <c r="N797" s="198"/>
      <c r="O797" s="198"/>
      <c r="P797" s="198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0.0196055625</v>
      </c>
      <c r="H798" s="149">
        <f>SUM($H$416)</f>
        <v>3136890</v>
      </c>
      <c r="I798" s="197"/>
      <c r="J798" s="197"/>
      <c r="K798" s="197"/>
      <c r="L798" s="172"/>
      <c r="M798" s="172"/>
      <c r="N798" s="172"/>
      <c r="O798" s="172"/>
      <c r="P798" s="172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56"/>
      <c r="L799" s="160"/>
      <c r="M799" s="160"/>
      <c r="N799" s="160"/>
      <c r="O799" s="160"/>
      <c r="P799" s="160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160000000</v>
      </c>
      <c r="I800" s="149"/>
      <c r="J800" s="149"/>
      <c r="K800" s="149"/>
      <c r="L800" s="160"/>
      <c r="M800" s="160"/>
      <c r="N800" s="160"/>
      <c r="O800" s="160"/>
      <c r="P800" s="160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49"/>
      <c r="L801" s="160"/>
      <c r="M801" s="160"/>
      <c r="N801" s="160"/>
      <c r="O801" s="160"/>
      <c r="P801" s="160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0.039211125</v>
      </c>
      <c r="H802" s="145">
        <v>0.0</v>
      </c>
      <c r="I802" s="145">
        <v>0.0</v>
      </c>
      <c r="J802" s="145">
        <v>0.1</v>
      </c>
      <c r="K802" s="145">
        <v>0.0</v>
      </c>
      <c r="L802" s="145"/>
      <c r="M802" s="145"/>
      <c r="N802" s="145"/>
      <c r="O802" s="145"/>
      <c r="P802" s="145"/>
      <c r="Q802" s="145"/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6273780</v>
      </c>
      <c r="H803" s="149"/>
      <c r="I803" s="149"/>
      <c r="J803" s="149"/>
      <c r="K803" s="149"/>
      <c r="L803" s="160"/>
      <c r="M803" s="160"/>
      <c r="N803" s="160"/>
      <c r="O803" s="160"/>
      <c r="P803" s="160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3136890</v>
      </c>
      <c r="I804" s="149">
        <f t="shared" ref="I804:K804" si="214">H804+I813</f>
        <v>3136890</v>
      </c>
      <c r="J804" s="149">
        <f t="shared" si="214"/>
        <v>3456890</v>
      </c>
      <c r="K804" s="149">
        <f t="shared" si="214"/>
        <v>3456890</v>
      </c>
      <c r="L804" s="199" t="str">
        <f>#REF!</f>
        <v>#REF!</v>
      </c>
      <c r="M804" s="199"/>
      <c r="N804" s="199"/>
      <c r="O804" s="199"/>
      <c r="P804" s="199"/>
      <c r="Q804" s="199"/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3136890</v>
      </c>
      <c r="H805" s="149">
        <f>$G$895*H802</f>
        <v>0</v>
      </c>
      <c r="I805" s="149">
        <f t="shared" ref="I805:K805" si="215">$G$805*I802</f>
        <v>0</v>
      </c>
      <c r="J805" s="149">
        <f t="shared" si="215"/>
        <v>313689</v>
      </c>
      <c r="K805" s="149">
        <f t="shared" si="215"/>
        <v>0</v>
      </c>
      <c r="L805" s="199">
        <f>SUM(H805:K805)</f>
        <v>313689</v>
      </c>
      <c r="M805" s="199"/>
      <c r="N805" s="199"/>
      <c r="O805" s="199"/>
      <c r="P805" s="199"/>
      <c r="Q805" s="199"/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42"/>
      <c r="L806" s="160"/>
      <c r="M806" s="160"/>
      <c r="N806" s="160"/>
      <c r="O806" s="160"/>
      <c r="P806" s="160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K807" si="216">$H$800-H804</f>
        <v>156863110</v>
      </c>
      <c r="I807" s="149">
        <f t="shared" si="216"/>
        <v>156863110</v>
      </c>
      <c r="J807" s="149">
        <f t="shared" si="216"/>
        <v>156543110</v>
      </c>
      <c r="K807" s="149">
        <f t="shared" si="216"/>
        <v>156543110</v>
      </c>
      <c r="L807" s="160"/>
      <c r="M807" s="160"/>
      <c r="N807" s="160"/>
      <c r="O807" s="160"/>
      <c r="P807" s="160"/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L808" si="217">IFERROR(H804/$H$890,0)</f>
        <v>0.01388004425</v>
      </c>
      <c r="I808" s="142">
        <f t="shared" si="217"/>
        <v>0.01388004425</v>
      </c>
      <c r="J808" s="142">
        <f t="shared" si="217"/>
        <v>0.01529597345</v>
      </c>
      <c r="K808" s="142">
        <f t="shared" si="217"/>
        <v>0.01529597345</v>
      </c>
      <c r="L808" s="200">
        <f t="shared" si="217"/>
        <v>0</v>
      </c>
      <c r="M808" s="200"/>
      <c r="N808" s="200"/>
      <c r="O808" s="200"/>
      <c r="P808" s="200"/>
      <c r="Q808" s="200"/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L809" si="218">IFERROR(1-(H804/$H$800),0)</f>
        <v>0.9803944375</v>
      </c>
      <c r="I809" s="142">
        <f t="shared" si="218"/>
        <v>0.9803944375</v>
      </c>
      <c r="J809" s="142">
        <f t="shared" si="218"/>
        <v>0.9783944375</v>
      </c>
      <c r="K809" s="142">
        <f t="shared" si="218"/>
        <v>0.9783944375</v>
      </c>
      <c r="L809" s="200">
        <f t="shared" si="218"/>
        <v>0</v>
      </c>
      <c r="M809" s="200"/>
      <c r="N809" s="200"/>
      <c r="O809" s="200"/>
      <c r="P809" s="200"/>
      <c r="Q809" s="200"/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58"/>
      <c r="L810" s="198"/>
      <c r="M810" s="198"/>
      <c r="N810" s="198"/>
      <c r="O810" s="198"/>
      <c r="P810" s="19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K811" si="219">ROUNDUP(H805/H812,0)</f>
        <v>0</v>
      </c>
      <c r="I811" s="190">
        <f t="shared" si="219"/>
        <v>0</v>
      </c>
      <c r="J811" s="190">
        <f t="shared" si="219"/>
        <v>8</v>
      </c>
      <c r="K811" s="190">
        <f t="shared" si="219"/>
        <v>0</v>
      </c>
      <c r="L811" s="201">
        <f>SUM(H811:K811)</f>
        <v>8</v>
      </c>
      <c r="M811" s="201"/>
      <c r="N811" s="201"/>
      <c r="O811" s="201"/>
      <c r="P811" s="201"/>
      <c r="Q811" s="201"/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56">
        <v>44500.0</v>
      </c>
      <c r="L812" s="198"/>
      <c r="M812" s="198"/>
      <c r="N812" s="198"/>
      <c r="O812" s="198"/>
      <c r="P812" s="198"/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K813" si="220">SUM(H827,H830,H833,H836,H839)</f>
        <v>0</v>
      </c>
      <c r="I813" s="188">
        <f t="shared" si="220"/>
        <v>0</v>
      </c>
      <c r="J813" s="188">
        <f t="shared" si="220"/>
        <v>320000</v>
      </c>
      <c r="K813" s="188">
        <f t="shared" si="220"/>
        <v>0</v>
      </c>
      <c r="L813" s="196">
        <f>SUM(H813:K813)</f>
        <v>320000</v>
      </c>
      <c r="M813" s="160"/>
      <c r="N813" s="160"/>
      <c r="O813" s="160"/>
      <c r="P813" s="160"/>
      <c r="Q813" s="160"/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203">
        <v>0.5</v>
      </c>
      <c r="L814" s="198"/>
      <c r="M814" s="198"/>
      <c r="N814" s="198"/>
      <c r="O814" s="198"/>
      <c r="P814" s="198"/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203">
        <v>0.4</v>
      </c>
      <c r="L815" s="198"/>
      <c r="M815" s="198"/>
      <c r="N815" s="198"/>
      <c r="O815" s="198"/>
      <c r="P815" s="198"/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203">
        <v>0.05</v>
      </c>
      <c r="L816" s="198"/>
      <c r="M816" s="198"/>
      <c r="N816" s="198"/>
      <c r="O816" s="198"/>
      <c r="P816" s="198"/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203">
        <v>0.05</v>
      </c>
      <c r="L817" s="198"/>
      <c r="M817" s="198"/>
      <c r="N817" s="198"/>
      <c r="O817" s="198"/>
      <c r="P817" s="198"/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203">
        <v>0.0</v>
      </c>
      <c r="L818" s="198"/>
      <c r="M818" s="198"/>
      <c r="N818" s="198"/>
      <c r="O818" s="198"/>
      <c r="P818" s="198"/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204">
        <v>70000.0</v>
      </c>
      <c r="L819" s="198"/>
      <c r="M819" s="198"/>
      <c r="N819" s="198"/>
      <c r="O819" s="198"/>
      <c r="P819" s="198"/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204">
        <v>10000.0</v>
      </c>
      <c r="L820" s="198"/>
      <c r="M820" s="198"/>
      <c r="N820" s="198"/>
      <c r="O820" s="198"/>
      <c r="P820" s="198"/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204">
        <v>10000.0</v>
      </c>
      <c r="L821" s="198"/>
      <c r="M821" s="198"/>
      <c r="N821" s="198"/>
      <c r="O821" s="198"/>
      <c r="P821" s="198"/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204">
        <v>100000.0</v>
      </c>
      <c r="L822" s="198"/>
      <c r="M822" s="198"/>
      <c r="N822" s="198"/>
      <c r="O822" s="198"/>
      <c r="P822" s="198"/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204">
        <v>0.0</v>
      </c>
      <c r="L823" s="198"/>
      <c r="M823" s="198"/>
      <c r="N823" s="198"/>
      <c r="O823" s="198"/>
      <c r="P823" s="198"/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62">
        <f>IFERROR(__xludf.DUMMYFUNCTION("MATCH(
  MIN(FILTER(K819:K823,K819:K823&gt;0)),
  K819:K823,
  0
)
"),2.0)</f>
        <v>2</v>
      </c>
      <c r="L824" s="198"/>
      <c r="M824" s="198"/>
      <c r="N824" s="198"/>
      <c r="O824" s="198"/>
      <c r="P824" s="198"/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48"/>
      <c r="L825" s="198"/>
      <c r="M825" s="198"/>
      <c r="N825" s="198"/>
      <c r="O825" s="198"/>
      <c r="P825" s="19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K826" si="221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1"/>
        <v>0</v>
      </c>
      <c r="J826" s="148">
        <f t="shared" si="221"/>
        <v>4</v>
      </c>
      <c r="K826" s="148">
        <f t="shared" si="221"/>
        <v>0</v>
      </c>
      <c r="L826" s="198"/>
      <c r="M826" s="198"/>
      <c r="N826" s="198"/>
      <c r="O826" s="198"/>
      <c r="P826" s="198"/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K827" si="222">(H826*H819)</f>
        <v>0</v>
      </c>
      <c r="I827" s="150">
        <f t="shared" si="222"/>
        <v>0</v>
      </c>
      <c r="J827" s="150">
        <f t="shared" si="222"/>
        <v>280000</v>
      </c>
      <c r="K827" s="150">
        <f t="shared" si="222"/>
        <v>0</v>
      </c>
      <c r="L827" s="198"/>
      <c r="M827" s="198"/>
      <c r="N827" s="198"/>
      <c r="O827" s="198"/>
      <c r="P827" s="198"/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48"/>
      <c r="L828" s="198"/>
      <c r="M828" s="198"/>
      <c r="N828" s="198"/>
      <c r="O828" s="198"/>
      <c r="P828" s="19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K829" si="223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3"/>
        <v>0</v>
      </c>
      <c r="J829" s="148">
        <f t="shared" si="223"/>
        <v>4</v>
      </c>
      <c r="K829" s="148">
        <f t="shared" si="223"/>
        <v>0</v>
      </c>
      <c r="L829" s="198"/>
      <c r="M829" s="198"/>
      <c r="N829" s="198"/>
      <c r="O829" s="198"/>
      <c r="P829" s="198"/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K830" si="224">(H820*H829)</f>
        <v>0</v>
      </c>
      <c r="I830" s="150">
        <f t="shared" si="224"/>
        <v>0</v>
      </c>
      <c r="J830" s="150">
        <f t="shared" si="224"/>
        <v>40000</v>
      </c>
      <c r="K830" s="150">
        <f t="shared" si="224"/>
        <v>0</v>
      </c>
      <c r="L830" s="198"/>
      <c r="M830" s="198"/>
      <c r="N830" s="198"/>
      <c r="O830" s="198"/>
      <c r="P830" s="198"/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48"/>
      <c r="L831" s="198"/>
      <c r="M831" s="198"/>
      <c r="N831" s="198"/>
      <c r="O831" s="198"/>
      <c r="P831" s="19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K832" si="225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5"/>
        <v>0</v>
      </c>
      <c r="J832" s="148">
        <f t="shared" si="225"/>
        <v>0</v>
      </c>
      <c r="K832" s="148">
        <f t="shared" si="225"/>
        <v>0</v>
      </c>
      <c r="L832" s="198"/>
      <c r="M832" s="198"/>
      <c r="N832" s="198"/>
      <c r="O832" s="198"/>
      <c r="P832" s="198"/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K833" si="226">(H821*H832)</f>
        <v>0</v>
      </c>
      <c r="I833" s="150">
        <f t="shared" si="226"/>
        <v>0</v>
      </c>
      <c r="J833" s="150">
        <f t="shared" si="226"/>
        <v>0</v>
      </c>
      <c r="K833" s="150">
        <f t="shared" si="226"/>
        <v>0</v>
      </c>
      <c r="L833" s="198"/>
      <c r="M833" s="198"/>
      <c r="N833" s="198"/>
      <c r="O833" s="198"/>
      <c r="P833" s="198"/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48"/>
      <c r="L834" s="198"/>
      <c r="M834" s="198"/>
      <c r="N834" s="198"/>
      <c r="O834" s="198"/>
      <c r="P834" s="19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K835" si="227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7"/>
        <v>0</v>
      </c>
      <c r="J835" s="148">
        <f t="shared" si="227"/>
        <v>0</v>
      </c>
      <c r="K835" s="148">
        <f t="shared" si="227"/>
        <v>0</v>
      </c>
      <c r="L835" s="198"/>
      <c r="M835" s="198"/>
      <c r="N835" s="198"/>
      <c r="O835" s="198"/>
      <c r="P835" s="198"/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K836" si="228">(H822*H835)</f>
        <v>0</v>
      </c>
      <c r="I836" s="150">
        <f t="shared" si="228"/>
        <v>0</v>
      </c>
      <c r="J836" s="150">
        <f t="shared" si="228"/>
        <v>0</v>
      </c>
      <c r="K836" s="150">
        <f t="shared" si="228"/>
        <v>0</v>
      </c>
      <c r="L836" s="198"/>
      <c r="M836" s="198"/>
      <c r="N836" s="198"/>
      <c r="O836" s="198"/>
      <c r="P836" s="198"/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48"/>
      <c r="L837" s="198"/>
      <c r="M837" s="198"/>
      <c r="N837" s="198"/>
      <c r="O837" s="198"/>
      <c r="P837" s="19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K838" si="229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29"/>
        <v>0</v>
      </c>
      <c r="J838" s="148">
        <f t="shared" si="229"/>
        <v>0</v>
      </c>
      <c r="K838" s="148">
        <f t="shared" si="229"/>
        <v>0</v>
      </c>
      <c r="L838" s="198"/>
      <c r="M838" s="198"/>
      <c r="N838" s="198"/>
      <c r="O838" s="198"/>
      <c r="P838" s="198"/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K839" si="230">(H823*H838)</f>
        <v>0</v>
      </c>
      <c r="I839" s="150">
        <f t="shared" si="230"/>
        <v>0</v>
      </c>
      <c r="J839" s="150">
        <f t="shared" si="230"/>
        <v>0</v>
      </c>
      <c r="K839" s="150">
        <f t="shared" si="230"/>
        <v>0</v>
      </c>
      <c r="L839" s="198"/>
      <c r="M839" s="198"/>
      <c r="N839" s="198"/>
      <c r="O839" s="198"/>
      <c r="P839" s="198"/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60"/>
      <c r="L840" s="198"/>
      <c r="M840" s="198"/>
      <c r="N840" s="198"/>
      <c r="O840" s="198"/>
      <c r="P840" s="198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43</v>
      </c>
      <c r="I842" s="206"/>
      <c r="J842" s="206"/>
      <c r="K842" s="206"/>
      <c r="L842" s="198"/>
      <c r="M842" s="198"/>
      <c r="N842" s="198"/>
      <c r="O842" s="198"/>
      <c r="P842" s="198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0.02521813953</v>
      </c>
      <c r="H843" s="149">
        <f>H442</f>
        <v>3253140</v>
      </c>
      <c r="I843" s="149"/>
      <c r="J843" s="149"/>
      <c r="K843" s="149"/>
      <c r="L843" s="160"/>
      <c r="M843" s="160"/>
      <c r="N843" s="160"/>
      <c r="O843" s="160"/>
      <c r="P843" s="160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56"/>
      <c r="L844" s="160"/>
      <c r="M844" s="160"/>
      <c r="N844" s="160"/>
      <c r="O844" s="160"/>
      <c r="P844" s="160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129000000</v>
      </c>
      <c r="I845" s="149"/>
      <c r="J845" s="149"/>
      <c r="K845" s="149"/>
      <c r="L845" s="160"/>
      <c r="M845" s="160"/>
      <c r="N845" s="160"/>
      <c r="O845" s="160"/>
      <c r="P845" s="160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49"/>
      <c r="L846" s="160"/>
      <c r="M846" s="160"/>
      <c r="N846" s="160"/>
      <c r="O846" s="160"/>
      <c r="P846" s="160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0.0756544186</v>
      </c>
      <c r="H847" s="167">
        <v>0.0</v>
      </c>
      <c r="I847" s="145">
        <v>0.0</v>
      </c>
      <c r="J847" s="145">
        <v>0.1</v>
      </c>
      <c r="K847" s="145">
        <v>0.0</v>
      </c>
      <c r="L847" s="145"/>
      <c r="M847" s="145"/>
      <c r="N847" s="145"/>
      <c r="O847" s="145"/>
      <c r="P847" s="145"/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9759420</v>
      </c>
      <c r="H848" s="19"/>
      <c r="I848" s="19"/>
      <c r="J848" s="19"/>
      <c r="K848" s="19"/>
      <c r="L848" s="16"/>
      <c r="M848" s="16"/>
      <c r="N848" s="16"/>
      <c r="O848" s="16"/>
      <c r="P848" s="16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3253140</v>
      </c>
      <c r="I849" s="149">
        <f t="shared" ref="I849:K849" si="231">H849+I858</f>
        <v>3253140</v>
      </c>
      <c r="J849" s="149">
        <f t="shared" si="231"/>
        <v>3913140</v>
      </c>
      <c r="K849" s="149">
        <f t="shared" si="231"/>
        <v>3913140</v>
      </c>
      <c r="L849" s="199" t="str">
        <f>#REF!</f>
        <v>#REF!</v>
      </c>
      <c r="M849" s="199"/>
      <c r="N849" s="199"/>
      <c r="O849" s="199"/>
      <c r="P849" s="199"/>
      <c r="Q849" s="199"/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6506280</v>
      </c>
      <c r="H850" s="149">
        <f t="shared" ref="H850:K850" si="232">$G$850*H847</f>
        <v>0</v>
      </c>
      <c r="I850" s="149">
        <f t="shared" si="232"/>
        <v>0</v>
      </c>
      <c r="J850" s="149">
        <f t="shared" si="232"/>
        <v>650628</v>
      </c>
      <c r="K850" s="149">
        <f t="shared" si="232"/>
        <v>0</v>
      </c>
      <c r="L850" s="199">
        <f>SUM(H850:K850)</f>
        <v>650628</v>
      </c>
      <c r="M850" s="199"/>
      <c r="N850" s="199"/>
      <c r="O850" s="199"/>
      <c r="P850" s="199"/>
      <c r="Q850" s="199"/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42"/>
      <c r="L851" s="160"/>
      <c r="M851" s="160"/>
      <c r="N851" s="160"/>
      <c r="O851" s="160"/>
      <c r="P851" s="160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K852" si="233">$H$845-H849</f>
        <v>125746860</v>
      </c>
      <c r="I852" s="149">
        <f t="shared" si="233"/>
        <v>125746860</v>
      </c>
      <c r="J852" s="149">
        <f t="shared" si="233"/>
        <v>125086860</v>
      </c>
      <c r="K852" s="149">
        <f t="shared" si="233"/>
        <v>125086860</v>
      </c>
      <c r="L852" s="160"/>
      <c r="M852" s="160"/>
      <c r="N852" s="160"/>
      <c r="O852" s="160"/>
      <c r="P852" s="160"/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L853" si="234">IFERROR(H849/$H$845,0)</f>
        <v>0.02521813953</v>
      </c>
      <c r="I853" s="142">
        <f t="shared" si="234"/>
        <v>0.02521813953</v>
      </c>
      <c r="J853" s="142">
        <f t="shared" si="234"/>
        <v>0.0303344186</v>
      </c>
      <c r="K853" s="142">
        <f t="shared" si="234"/>
        <v>0.0303344186</v>
      </c>
      <c r="L853" s="200">
        <f t="shared" si="234"/>
        <v>0</v>
      </c>
      <c r="M853" s="200"/>
      <c r="N853" s="200"/>
      <c r="O853" s="200"/>
      <c r="P853" s="200"/>
      <c r="Q853" s="200"/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L854" si="235">IFERROR(1-(H849/$H$845),0)</f>
        <v>0.9747818605</v>
      </c>
      <c r="I854" s="142">
        <f t="shared" si="235"/>
        <v>0.9747818605</v>
      </c>
      <c r="J854" s="142">
        <f t="shared" si="235"/>
        <v>0.9696655814</v>
      </c>
      <c r="K854" s="142">
        <f t="shared" si="235"/>
        <v>0.9696655814</v>
      </c>
      <c r="L854" s="200">
        <f t="shared" si="235"/>
        <v>0</v>
      </c>
      <c r="M854" s="200"/>
      <c r="N854" s="200"/>
      <c r="O854" s="200"/>
      <c r="P854" s="200"/>
      <c r="Q854" s="200"/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7"/>
      <c r="L855" s="208"/>
      <c r="M855" s="208"/>
      <c r="N855" s="208"/>
      <c r="O855" s="208"/>
      <c r="P855" s="208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K856" si="236">ROUNDUP(H850/H857,0)</f>
        <v>0</v>
      </c>
      <c r="I856" s="190">
        <f t="shared" si="236"/>
        <v>0</v>
      </c>
      <c r="J856" s="190">
        <f t="shared" si="236"/>
        <v>30</v>
      </c>
      <c r="K856" s="190">
        <f t="shared" si="236"/>
        <v>0</v>
      </c>
      <c r="L856" s="201">
        <f>SUM(H856:K856)</f>
        <v>30</v>
      </c>
      <c r="M856" s="201"/>
      <c r="N856" s="201"/>
      <c r="O856" s="201"/>
      <c r="P856" s="201"/>
      <c r="Q856" s="201"/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56">
        <v>22000.0</v>
      </c>
      <c r="L857" s="198"/>
      <c r="M857" s="198"/>
      <c r="N857" s="198"/>
      <c r="O857" s="198"/>
      <c r="P857" s="198"/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K858" si="237">SUM(H872,H875,H878,H881,H884)</f>
        <v>0</v>
      </c>
      <c r="I858" s="188">
        <f t="shared" si="237"/>
        <v>0</v>
      </c>
      <c r="J858" s="188">
        <f t="shared" si="237"/>
        <v>660000</v>
      </c>
      <c r="K858" s="188">
        <f t="shared" si="237"/>
        <v>0</v>
      </c>
      <c r="L858" s="196">
        <f>SUM(H858:K858)</f>
        <v>660000</v>
      </c>
      <c r="M858" s="160"/>
      <c r="N858" s="160"/>
      <c r="O858" s="160"/>
      <c r="P858" s="160"/>
      <c r="Q858" s="160"/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203">
        <v>0.4</v>
      </c>
      <c r="L859" s="198"/>
      <c r="M859" s="198"/>
      <c r="N859" s="198"/>
      <c r="O859" s="198"/>
      <c r="P859" s="198"/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203">
        <v>0.4</v>
      </c>
      <c r="L860" s="198"/>
      <c r="M860" s="198"/>
      <c r="N860" s="198"/>
      <c r="O860" s="198"/>
      <c r="P860" s="198"/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203">
        <v>0.1</v>
      </c>
      <c r="L861" s="198"/>
      <c r="M861" s="198"/>
      <c r="N861" s="198"/>
      <c r="O861" s="198"/>
      <c r="P861" s="198"/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203">
        <v>0.1</v>
      </c>
      <c r="L862" s="198"/>
      <c r="M862" s="198"/>
      <c r="N862" s="198"/>
      <c r="O862" s="198"/>
      <c r="P862" s="198"/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203">
        <v>0.0</v>
      </c>
      <c r="L863" s="198"/>
      <c r="M863" s="198"/>
      <c r="N863" s="198"/>
      <c r="O863" s="198"/>
      <c r="P863" s="198"/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204">
        <v>25000.0</v>
      </c>
      <c r="L864" s="198"/>
      <c r="M864" s="198"/>
      <c r="N864" s="198"/>
      <c r="O864" s="198"/>
      <c r="P864" s="198"/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204">
        <v>10000.0</v>
      </c>
      <c r="L865" s="198"/>
      <c r="M865" s="198"/>
      <c r="N865" s="198"/>
      <c r="O865" s="198"/>
      <c r="P865" s="198"/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204">
        <v>8000.0</v>
      </c>
      <c r="L866" s="198"/>
      <c r="M866" s="198"/>
      <c r="N866" s="198"/>
      <c r="O866" s="198"/>
      <c r="P866" s="198"/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204">
        <v>72000.0</v>
      </c>
      <c r="L867" s="198"/>
      <c r="M867" s="198"/>
      <c r="N867" s="198"/>
      <c r="O867" s="198"/>
      <c r="P867" s="198"/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204">
        <v>0.0</v>
      </c>
      <c r="L868" s="198"/>
      <c r="M868" s="198"/>
      <c r="N868" s="198"/>
      <c r="O868" s="198"/>
      <c r="P868" s="198"/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62">
        <f>IFERROR(__xludf.DUMMYFUNCTION("MATCH(
  MIN(FILTER(K864:K868,K864:K868&gt;0)),
  K864:K868,
  0
)
"),3.0)</f>
        <v>3</v>
      </c>
      <c r="L869" s="198"/>
      <c r="M869" s="198"/>
      <c r="N869" s="198"/>
      <c r="O869" s="198"/>
      <c r="P869" s="198"/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48"/>
      <c r="L870" s="198"/>
      <c r="M870" s="198"/>
      <c r="N870" s="198"/>
      <c r="O870" s="198"/>
      <c r="P870" s="19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K871" si="238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38"/>
        <v>0</v>
      </c>
      <c r="J871" s="148">
        <f t="shared" si="238"/>
        <v>12</v>
      </c>
      <c r="K871" s="148">
        <f t="shared" si="238"/>
        <v>0</v>
      </c>
      <c r="L871" s="198"/>
      <c r="M871" s="198"/>
      <c r="N871" s="198"/>
      <c r="O871" s="198"/>
      <c r="P871" s="198"/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K872" si="239">(H871*H864)</f>
        <v>0</v>
      </c>
      <c r="I872" s="150">
        <f t="shared" si="239"/>
        <v>0</v>
      </c>
      <c r="J872" s="150">
        <f t="shared" si="239"/>
        <v>300000</v>
      </c>
      <c r="K872" s="150">
        <f t="shared" si="239"/>
        <v>0</v>
      </c>
      <c r="L872" s="198"/>
      <c r="M872" s="198"/>
      <c r="N872" s="198"/>
      <c r="O872" s="198"/>
      <c r="P872" s="198"/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48"/>
      <c r="L873" s="198"/>
      <c r="M873" s="198"/>
      <c r="N873" s="198"/>
      <c r="O873" s="198"/>
      <c r="P873" s="19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K874" si="240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0"/>
        <v>0</v>
      </c>
      <c r="J874" s="148">
        <f t="shared" si="240"/>
        <v>12</v>
      </c>
      <c r="K874" s="148">
        <f t="shared" si="240"/>
        <v>0</v>
      </c>
      <c r="L874" s="198"/>
      <c r="M874" s="198"/>
      <c r="N874" s="198"/>
      <c r="O874" s="198"/>
      <c r="P874" s="198"/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K875" si="241">(H865*H874)</f>
        <v>0</v>
      </c>
      <c r="I875" s="150">
        <f t="shared" si="241"/>
        <v>0</v>
      </c>
      <c r="J875" s="150">
        <f t="shared" si="241"/>
        <v>120000</v>
      </c>
      <c r="K875" s="150">
        <f t="shared" si="241"/>
        <v>0</v>
      </c>
      <c r="L875" s="198"/>
      <c r="M875" s="198"/>
      <c r="N875" s="198"/>
      <c r="O875" s="198"/>
      <c r="P875" s="198"/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48"/>
      <c r="L876" s="198"/>
      <c r="M876" s="198"/>
      <c r="N876" s="198"/>
      <c r="O876" s="198"/>
      <c r="P876" s="19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K877" si="242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2"/>
        <v>0</v>
      </c>
      <c r="J877" s="148">
        <f t="shared" si="242"/>
        <v>3</v>
      </c>
      <c r="K877" s="148">
        <f t="shared" si="242"/>
        <v>0</v>
      </c>
      <c r="L877" s="198"/>
      <c r="M877" s="198"/>
      <c r="N877" s="198"/>
      <c r="O877" s="198"/>
      <c r="P877" s="198"/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K878" si="243">(H866*H877)</f>
        <v>0</v>
      </c>
      <c r="I878" s="150">
        <f t="shared" si="243"/>
        <v>0</v>
      </c>
      <c r="J878" s="150">
        <f t="shared" si="243"/>
        <v>24000</v>
      </c>
      <c r="K878" s="150">
        <f t="shared" si="243"/>
        <v>0</v>
      </c>
      <c r="L878" s="198"/>
      <c r="M878" s="198"/>
      <c r="N878" s="198"/>
      <c r="O878" s="198"/>
      <c r="P878" s="198"/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48"/>
      <c r="L879" s="198"/>
      <c r="M879" s="198"/>
      <c r="N879" s="198"/>
      <c r="O879" s="198"/>
      <c r="P879" s="19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K880" si="244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4"/>
        <v>0</v>
      </c>
      <c r="J880" s="148">
        <f t="shared" si="244"/>
        <v>3</v>
      </c>
      <c r="K880" s="148">
        <f t="shared" si="244"/>
        <v>0</v>
      </c>
      <c r="L880" s="198"/>
      <c r="M880" s="198"/>
      <c r="N880" s="198"/>
      <c r="O880" s="198"/>
      <c r="P880" s="198"/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K881" si="245">(H867*H880)</f>
        <v>0</v>
      </c>
      <c r="I881" s="150">
        <f t="shared" si="245"/>
        <v>0</v>
      </c>
      <c r="J881" s="150">
        <f t="shared" si="245"/>
        <v>216000</v>
      </c>
      <c r="K881" s="150">
        <f t="shared" si="245"/>
        <v>0</v>
      </c>
      <c r="L881" s="198"/>
      <c r="M881" s="198"/>
      <c r="N881" s="198"/>
      <c r="O881" s="198"/>
      <c r="P881" s="198"/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48"/>
      <c r="L882" s="198"/>
      <c r="M882" s="198"/>
      <c r="N882" s="198"/>
      <c r="O882" s="198"/>
      <c r="P882" s="19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K883" si="246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6"/>
        <v>0</v>
      </c>
      <c r="J883" s="148">
        <f t="shared" si="246"/>
        <v>0</v>
      </c>
      <c r="K883" s="148">
        <f t="shared" si="246"/>
        <v>0</v>
      </c>
      <c r="L883" s="198"/>
      <c r="M883" s="198"/>
      <c r="N883" s="198"/>
      <c r="O883" s="198"/>
      <c r="P883" s="198"/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K884" si="247">(H868*H883)</f>
        <v>0</v>
      </c>
      <c r="I884" s="150">
        <f t="shared" si="247"/>
        <v>0</v>
      </c>
      <c r="J884" s="150">
        <f t="shared" si="247"/>
        <v>0</v>
      </c>
      <c r="K884" s="150">
        <f t="shared" si="247"/>
        <v>0</v>
      </c>
      <c r="L884" s="198"/>
      <c r="M884" s="198"/>
      <c r="N884" s="198"/>
      <c r="O884" s="198"/>
      <c r="P884" s="198"/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63"/>
      <c r="L885" s="1"/>
      <c r="M885" s="1"/>
      <c r="N885" s="1"/>
      <c r="O885" s="1"/>
      <c r="P885" s="1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226</v>
      </c>
      <c r="I887" s="209"/>
      <c r="J887" s="209"/>
      <c r="K887" s="209"/>
      <c r="L887" s="198"/>
      <c r="M887" s="198"/>
      <c r="N887" s="198"/>
      <c r="O887" s="198"/>
      <c r="P887" s="198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0.06385725664</v>
      </c>
      <c r="H888" s="210">
        <f>H$468</f>
        <v>14431740</v>
      </c>
      <c r="I888" s="209"/>
      <c r="J888" s="209"/>
      <c r="K888" s="209"/>
      <c r="L888" s="198"/>
      <c r="M888" s="198"/>
      <c r="N888" s="198"/>
      <c r="O888" s="198"/>
      <c r="P888" s="198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158"/>
      <c r="L889" s="211"/>
      <c r="M889" s="211"/>
      <c r="N889" s="211"/>
      <c r="O889" s="211"/>
      <c r="P889" s="211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226000000</v>
      </c>
      <c r="I890" s="212"/>
      <c r="J890" s="212"/>
      <c r="K890" s="212"/>
      <c r="L890" s="211"/>
      <c r="M890" s="211"/>
      <c r="N890" s="211"/>
      <c r="O890" s="211"/>
      <c r="P890" s="211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2"/>
      <c r="L891" s="211"/>
      <c r="M891" s="211"/>
      <c r="N891" s="211"/>
      <c r="O891" s="211"/>
      <c r="P891" s="211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0.1277145133</v>
      </c>
      <c r="H892" s="213">
        <v>0.0</v>
      </c>
      <c r="I892" s="213">
        <v>0.32</v>
      </c>
      <c r="J892" s="213">
        <v>0.17</v>
      </c>
      <c r="K892" s="213">
        <v>0.15</v>
      </c>
      <c r="L892" s="211"/>
      <c r="M892" s="211"/>
      <c r="N892" s="211"/>
      <c r="O892" s="211"/>
      <c r="P892" s="211"/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28863480</v>
      </c>
      <c r="H893" s="149"/>
      <c r="I893" s="149"/>
      <c r="J893" s="149"/>
      <c r="K893" s="149"/>
      <c r="L893" s="211"/>
      <c r="M893" s="211"/>
      <c r="N893" s="211"/>
      <c r="O893" s="211"/>
      <c r="P893" s="211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14431740</v>
      </c>
      <c r="I894" s="149">
        <f t="shared" ref="I894:K894" si="248">H894+I903</f>
        <v>19055740</v>
      </c>
      <c r="J894" s="149">
        <f t="shared" si="248"/>
        <v>21507740</v>
      </c>
      <c r="K894" s="149">
        <f t="shared" si="248"/>
        <v>23679740</v>
      </c>
      <c r="L894" s="211" t="str">
        <f>#REF!</f>
        <v>#REF!</v>
      </c>
      <c r="M894" s="211"/>
      <c r="N894" s="211"/>
      <c r="O894" s="211"/>
      <c r="P894" s="211"/>
      <c r="Q894" s="211"/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14431740</v>
      </c>
      <c r="H895" s="149">
        <f t="shared" ref="H895:K895" si="249">$G$895*H892</f>
        <v>0</v>
      </c>
      <c r="I895" s="149">
        <f t="shared" si="249"/>
        <v>4618156.8</v>
      </c>
      <c r="J895" s="149">
        <f t="shared" si="249"/>
        <v>2453395.8</v>
      </c>
      <c r="K895" s="149">
        <f t="shared" si="249"/>
        <v>2164761</v>
      </c>
      <c r="L895" s="214">
        <f>SUM(H895:K895)</f>
        <v>9236313.6</v>
      </c>
      <c r="M895" s="211"/>
      <c r="N895" s="211"/>
      <c r="O895" s="211"/>
      <c r="P895" s="211"/>
      <c r="Q895" s="211"/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3"/>
      <c r="L896" s="211"/>
      <c r="M896" s="211"/>
      <c r="N896" s="211"/>
      <c r="O896" s="211"/>
      <c r="P896" s="211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K897" si="250">$H$890-H894</f>
        <v>211568260</v>
      </c>
      <c r="I897" s="149">
        <f t="shared" si="250"/>
        <v>206944260</v>
      </c>
      <c r="J897" s="149">
        <f t="shared" si="250"/>
        <v>204492260</v>
      </c>
      <c r="K897" s="149">
        <f t="shared" si="250"/>
        <v>202320260</v>
      </c>
      <c r="L897" s="149"/>
      <c r="M897" s="149"/>
      <c r="N897" s="149"/>
      <c r="O897" s="149"/>
      <c r="P897" s="149"/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L898" si="251">IFERROR(H894/$H$890,0)</f>
        <v>0.06385725664</v>
      </c>
      <c r="I898" s="142">
        <f t="shared" si="251"/>
        <v>0.08431743363</v>
      </c>
      <c r="J898" s="142">
        <f t="shared" si="251"/>
        <v>0.09516699115</v>
      </c>
      <c r="K898" s="142">
        <f t="shared" si="251"/>
        <v>0.1047776106</v>
      </c>
      <c r="L898" s="215">
        <f t="shared" si="251"/>
        <v>0</v>
      </c>
      <c r="M898" s="215"/>
      <c r="N898" s="215"/>
      <c r="O898" s="215"/>
      <c r="P898" s="215"/>
      <c r="Q898" s="215"/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L899" si="252">IFERROR(1-(H894/$H$890),0)</f>
        <v>0.9361427434</v>
      </c>
      <c r="I899" s="216">
        <f t="shared" si="252"/>
        <v>0.9156825664</v>
      </c>
      <c r="J899" s="216">
        <f t="shared" si="252"/>
        <v>0.9048330088</v>
      </c>
      <c r="K899" s="216">
        <f t="shared" si="252"/>
        <v>0.8952223894</v>
      </c>
      <c r="L899" s="215">
        <f t="shared" si="252"/>
        <v>0</v>
      </c>
      <c r="M899" s="215"/>
      <c r="N899" s="215"/>
      <c r="O899" s="215"/>
      <c r="P899" s="215"/>
      <c r="Q899" s="215"/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158"/>
      <c r="L900" s="211"/>
      <c r="M900" s="211"/>
      <c r="N900" s="211"/>
      <c r="O900" s="211"/>
      <c r="P900" s="211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K901" si="253">ROUNDUP(H895/H902,0)</f>
        <v>0</v>
      </c>
      <c r="I901" s="217">
        <f t="shared" si="253"/>
        <v>256</v>
      </c>
      <c r="J901" s="217">
        <f t="shared" si="253"/>
        <v>136</v>
      </c>
      <c r="K901" s="217">
        <f t="shared" si="253"/>
        <v>120</v>
      </c>
      <c r="L901" s="218">
        <f>SUM(H901:K901)</f>
        <v>512</v>
      </c>
      <c r="M901" s="211"/>
      <c r="N901" s="211"/>
      <c r="O901" s="211"/>
      <c r="P901" s="211"/>
      <c r="Q901" s="211"/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56">
        <v>18100.0</v>
      </c>
      <c r="L902" s="198"/>
      <c r="M902" s="198"/>
      <c r="N902" s="198"/>
      <c r="O902" s="198"/>
      <c r="P902" s="198"/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K903" si="254">SUM(H917,H920,H923,H926,H929)</f>
        <v>0</v>
      </c>
      <c r="I903" s="188">
        <f t="shared" si="254"/>
        <v>4624000</v>
      </c>
      <c r="J903" s="188">
        <f t="shared" si="254"/>
        <v>2452000</v>
      </c>
      <c r="K903" s="188">
        <f t="shared" si="254"/>
        <v>2172000</v>
      </c>
      <c r="L903" s="214">
        <f>SUM(H903:K903)</f>
        <v>9248000</v>
      </c>
      <c r="M903" s="214"/>
      <c r="N903" s="214"/>
      <c r="O903" s="214"/>
      <c r="P903" s="214"/>
      <c r="Q903" s="214"/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203">
        <v>0.25</v>
      </c>
      <c r="L904" s="198"/>
      <c r="M904" s="198"/>
      <c r="N904" s="198"/>
      <c r="O904" s="198"/>
      <c r="P904" s="198"/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203">
        <v>0.35</v>
      </c>
      <c r="L905" s="198"/>
      <c r="M905" s="198"/>
      <c r="N905" s="198"/>
      <c r="O905" s="198"/>
      <c r="P905" s="198"/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203">
        <v>0.2</v>
      </c>
      <c r="L906" s="198"/>
      <c r="M906" s="198"/>
      <c r="N906" s="198"/>
      <c r="O906" s="198"/>
      <c r="P906" s="198"/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203">
        <v>0.2</v>
      </c>
      <c r="L907" s="198"/>
      <c r="M907" s="198"/>
      <c r="N907" s="198"/>
      <c r="O907" s="198"/>
      <c r="P907" s="198"/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203">
        <v>0.0</v>
      </c>
      <c r="L908" s="198"/>
      <c r="M908" s="198"/>
      <c r="N908" s="198"/>
      <c r="O908" s="198"/>
      <c r="P908" s="198"/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204">
        <v>20000.0</v>
      </c>
      <c r="L909" s="198"/>
      <c r="M909" s="198"/>
      <c r="N909" s="198"/>
      <c r="O909" s="198"/>
      <c r="P909" s="198"/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204">
        <v>10000.0</v>
      </c>
      <c r="L910" s="198"/>
      <c r="M910" s="198"/>
      <c r="N910" s="198"/>
      <c r="O910" s="198"/>
      <c r="P910" s="198"/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204">
        <v>6000.0</v>
      </c>
      <c r="L911" s="198"/>
      <c r="M911" s="198"/>
      <c r="N911" s="198"/>
      <c r="O911" s="198"/>
      <c r="P911" s="198"/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204">
        <v>42000.0</v>
      </c>
      <c r="L912" s="198"/>
      <c r="M912" s="198"/>
      <c r="N912" s="198"/>
      <c r="O912" s="198"/>
      <c r="P912" s="198"/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204">
        <v>0.0</v>
      </c>
      <c r="L913" s="198"/>
      <c r="M913" s="198"/>
      <c r="N913" s="198"/>
      <c r="O913" s="198"/>
      <c r="P913" s="198"/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62">
        <f>IFERROR(__xludf.DUMMYFUNCTION("MATCH(
  MIN(FILTER(K909:K913,K909:K913&gt;0)),
  K909:K913,
  0
)
"),3.0)</f>
        <v>3</v>
      </c>
      <c r="L914" s="198"/>
      <c r="M914" s="198"/>
      <c r="N914" s="198"/>
      <c r="O914" s="198"/>
      <c r="P914" s="198"/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48"/>
      <c r="L915" s="198"/>
      <c r="M915" s="198"/>
      <c r="N915" s="198"/>
      <c r="O915" s="198"/>
      <c r="P915" s="19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K916" si="255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5"/>
        <v>64</v>
      </c>
      <c r="J916" s="148">
        <f t="shared" si="255"/>
        <v>34</v>
      </c>
      <c r="K916" s="148">
        <f t="shared" si="255"/>
        <v>30</v>
      </c>
      <c r="L916" s="198"/>
      <c r="M916" s="198"/>
      <c r="N916" s="198"/>
      <c r="O916" s="198"/>
      <c r="P916" s="198"/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K917" si="256">(H916*H909)</f>
        <v>0</v>
      </c>
      <c r="I917" s="150">
        <f t="shared" si="256"/>
        <v>1280000</v>
      </c>
      <c r="J917" s="150">
        <f t="shared" si="256"/>
        <v>680000</v>
      </c>
      <c r="K917" s="150">
        <f t="shared" si="256"/>
        <v>600000</v>
      </c>
      <c r="L917" s="198"/>
      <c r="M917" s="198"/>
      <c r="N917" s="198"/>
      <c r="O917" s="198"/>
      <c r="P917" s="198"/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48"/>
      <c r="L918" s="198"/>
      <c r="M918" s="198"/>
      <c r="N918" s="198"/>
      <c r="O918" s="198"/>
      <c r="P918" s="19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K919" si="257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57"/>
        <v>89</v>
      </c>
      <c r="J919" s="148">
        <f t="shared" si="257"/>
        <v>47</v>
      </c>
      <c r="K919" s="148">
        <f t="shared" si="257"/>
        <v>42</v>
      </c>
      <c r="L919" s="198"/>
      <c r="M919" s="198"/>
      <c r="N919" s="198"/>
      <c r="O919" s="198"/>
      <c r="P919" s="198"/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K920" si="258">(H910*H919)</f>
        <v>0</v>
      </c>
      <c r="I920" s="150">
        <f t="shared" si="258"/>
        <v>890000</v>
      </c>
      <c r="J920" s="150">
        <f t="shared" si="258"/>
        <v>470000</v>
      </c>
      <c r="K920" s="150">
        <f t="shared" si="258"/>
        <v>420000</v>
      </c>
      <c r="L920" s="198"/>
      <c r="M920" s="198"/>
      <c r="N920" s="198"/>
      <c r="O920" s="198"/>
      <c r="P920" s="198"/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48"/>
      <c r="L921" s="198"/>
      <c r="M921" s="198"/>
      <c r="N921" s="198"/>
      <c r="O921" s="198"/>
      <c r="P921" s="19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K922" si="259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59"/>
        <v>52</v>
      </c>
      <c r="J922" s="148">
        <f t="shared" si="259"/>
        <v>28</v>
      </c>
      <c r="K922" s="148">
        <f t="shared" si="259"/>
        <v>24</v>
      </c>
      <c r="L922" s="198"/>
      <c r="M922" s="198"/>
      <c r="N922" s="198"/>
      <c r="O922" s="198"/>
      <c r="P922" s="198"/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K923" si="260">(H911*H922)</f>
        <v>0</v>
      </c>
      <c r="I923" s="150">
        <f t="shared" si="260"/>
        <v>312000</v>
      </c>
      <c r="J923" s="150">
        <f t="shared" si="260"/>
        <v>168000</v>
      </c>
      <c r="K923" s="150">
        <f t="shared" si="260"/>
        <v>144000</v>
      </c>
      <c r="L923" s="198"/>
      <c r="M923" s="198"/>
      <c r="N923" s="198"/>
      <c r="O923" s="198"/>
      <c r="P923" s="198"/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48"/>
      <c r="L924" s="198"/>
      <c r="M924" s="198"/>
      <c r="N924" s="198"/>
      <c r="O924" s="198"/>
      <c r="P924" s="19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K925" si="261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1"/>
        <v>51</v>
      </c>
      <c r="J925" s="148">
        <f t="shared" si="261"/>
        <v>27</v>
      </c>
      <c r="K925" s="148">
        <f t="shared" si="261"/>
        <v>24</v>
      </c>
      <c r="L925" s="198"/>
      <c r="M925" s="198"/>
      <c r="N925" s="198"/>
      <c r="O925" s="198"/>
      <c r="P925" s="198"/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K926" si="262">(H912*H925)</f>
        <v>0</v>
      </c>
      <c r="I926" s="150">
        <f t="shared" si="262"/>
        <v>2142000</v>
      </c>
      <c r="J926" s="150">
        <f t="shared" si="262"/>
        <v>1134000</v>
      </c>
      <c r="K926" s="150">
        <f t="shared" si="262"/>
        <v>1008000</v>
      </c>
      <c r="L926" s="198"/>
      <c r="M926" s="198"/>
      <c r="N926" s="198"/>
      <c r="O926" s="198"/>
      <c r="P926" s="198"/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48"/>
      <c r="L927" s="198"/>
      <c r="M927" s="198"/>
      <c r="N927" s="198"/>
      <c r="O927" s="198"/>
      <c r="P927" s="19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K928" si="263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3"/>
        <v>0</v>
      </c>
      <c r="J928" s="148">
        <f t="shared" si="263"/>
        <v>0</v>
      </c>
      <c r="K928" s="148">
        <f t="shared" si="263"/>
        <v>0</v>
      </c>
      <c r="L928" s="198"/>
      <c r="M928" s="198"/>
      <c r="N928" s="198"/>
      <c r="O928" s="198"/>
      <c r="P928" s="198"/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K929" si="264">(H913*H928)</f>
        <v>0</v>
      </c>
      <c r="I929" s="150">
        <f t="shared" si="264"/>
        <v>0</v>
      </c>
      <c r="J929" s="150">
        <f t="shared" si="264"/>
        <v>0</v>
      </c>
      <c r="K929" s="150">
        <f t="shared" si="264"/>
        <v>0</v>
      </c>
      <c r="L929" s="198"/>
      <c r="M929" s="198"/>
      <c r="N929" s="198"/>
      <c r="O929" s="198"/>
      <c r="P929" s="198"/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60"/>
      <c r="L930" s="198"/>
      <c r="M930" s="198"/>
      <c r="N930" s="198"/>
      <c r="O930" s="198"/>
      <c r="P930" s="198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63"/>
      <c r="L931" s="1"/>
      <c r="M931" s="1"/>
      <c r="N931" s="1"/>
      <c r="O931" s="1"/>
      <c r="P931" s="1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532</v>
      </c>
      <c r="I933" s="206"/>
      <c r="J933" s="206"/>
      <c r="K933" s="206"/>
      <c r="L933" s="198"/>
      <c r="M933" s="198"/>
      <c r="N933" s="198"/>
      <c r="O933" s="198"/>
      <c r="P933" s="198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0.3807503133</v>
      </c>
      <c r="H934" s="149">
        <f>SUM($H$494)</f>
        <v>18230325</v>
      </c>
      <c r="I934" s="149"/>
      <c r="J934" s="149"/>
      <c r="K934" s="149"/>
      <c r="L934" s="160"/>
      <c r="M934" s="160"/>
      <c r="N934" s="160"/>
      <c r="O934" s="160"/>
      <c r="P934" s="160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56"/>
      <c r="L935" s="160"/>
      <c r="M935" s="160"/>
      <c r="N935" s="160"/>
      <c r="O935" s="160"/>
      <c r="P935" s="160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47880000</v>
      </c>
      <c r="I936" s="149"/>
      <c r="J936" s="149"/>
      <c r="K936" s="149"/>
      <c r="L936" s="160"/>
      <c r="M936" s="160"/>
      <c r="N936" s="160"/>
      <c r="O936" s="160"/>
      <c r="P936" s="160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49"/>
      <c r="L937" s="160"/>
      <c r="M937" s="160"/>
      <c r="N937" s="160"/>
      <c r="O937" s="160"/>
      <c r="P937" s="160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0.5711254699</v>
      </c>
      <c r="H938" s="213">
        <v>0.0</v>
      </c>
      <c r="I938" s="213">
        <v>0.32</v>
      </c>
      <c r="J938" s="213">
        <v>0.17</v>
      </c>
      <c r="K938" s="213">
        <v>0.15</v>
      </c>
      <c r="L938" s="200">
        <f>SUM(H938:K938)</f>
        <v>0.64</v>
      </c>
      <c r="M938" s="200"/>
      <c r="N938" s="200"/>
      <c r="O938" s="200"/>
      <c r="P938" s="200"/>
      <c r="Q938" s="200"/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27345487.5</v>
      </c>
      <c r="H939" s="19"/>
      <c r="I939" s="19"/>
      <c r="J939" s="19"/>
      <c r="K939" s="19"/>
      <c r="L939" s="16"/>
      <c r="M939" s="16"/>
      <c r="N939" s="16"/>
      <c r="O939" s="16"/>
      <c r="P939" s="16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18230325</v>
      </c>
      <c r="I940" s="149">
        <f t="shared" ref="I940:K940" si="265">H940+I949</f>
        <v>21150325</v>
      </c>
      <c r="J940" s="149">
        <f t="shared" si="265"/>
        <v>22706325</v>
      </c>
      <c r="K940" s="149">
        <f t="shared" si="265"/>
        <v>24078325</v>
      </c>
      <c r="L940" s="199" t="str">
        <f>#REF!</f>
        <v>#REF!</v>
      </c>
      <c r="M940" s="199"/>
      <c r="N940" s="199"/>
      <c r="O940" s="199"/>
      <c r="P940" s="199"/>
      <c r="Q940" s="199"/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9115162.5</v>
      </c>
      <c r="H941" s="149">
        <f t="shared" ref="H941:K941" si="266">$G$941*H938</f>
        <v>0</v>
      </c>
      <c r="I941" s="149">
        <f t="shared" si="266"/>
        <v>2916852</v>
      </c>
      <c r="J941" s="149">
        <f t="shared" si="266"/>
        <v>1549577.625</v>
      </c>
      <c r="K941" s="149">
        <f t="shared" si="266"/>
        <v>1367274.375</v>
      </c>
      <c r="L941" s="199">
        <f>SUM(H941:K941)</f>
        <v>5833704</v>
      </c>
      <c r="M941" s="199"/>
      <c r="N941" s="199"/>
      <c r="O941" s="199"/>
      <c r="P941" s="199"/>
      <c r="Q941" s="199"/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49"/>
      <c r="L942" s="160"/>
      <c r="M942" s="160"/>
      <c r="N942" s="160"/>
      <c r="O942" s="160"/>
      <c r="P942" s="160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K943" si="267">$H$936-H940</f>
        <v>29649675</v>
      </c>
      <c r="I943" s="149">
        <f t="shared" si="267"/>
        <v>26729675</v>
      </c>
      <c r="J943" s="149">
        <f t="shared" si="267"/>
        <v>25173675</v>
      </c>
      <c r="K943" s="149">
        <f t="shared" si="267"/>
        <v>23801675</v>
      </c>
      <c r="L943" s="160"/>
      <c r="M943" s="160"/>
      <c r="N943" s="160"/>
      <c r="O943" s="160"/>
      <c r="P943" s="160"/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L944" si="268">IFERROR(H940/$H$936,0)</f>
        <v>0.3807503133</v>
      </c>
      <c r="I944" s="142">
        <f t="shared" si="268"/>
        <v>0.4417361111</v>
      </c>
      <c r="J944" s="142">
        <f t="shared" si="268"/>
        <v>0.4742340226</v>
      </c>
      <c r="K944" s="142">
        <f t="shared" si="268"/>
        <v>0.5028889933</v>
      </c>
      <c r="L944" s="200">
        <f t="shared" si="268"/>
        <v>0</v>
      </c>
      <c r="M944" s="200"/>
      <c r="N944" s="200"/>
      <c r="O944" s="200"/>
      <c r="P944" s="200"/>
      <c r="Q944" s="200"/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L945" si="269">IFERROR(1-(H940/$H$936),0)</f>
        <v>0.6192496867</v>
      </c>
      <c r="I945" s="142">
        <f t="shared" si="269"/>
        <v>0.5582638889</v>
      </c>
      <c r="J945" s="142">
        <f t="shared" si="269"/>
        <v>0.5257659774</v>
      </c>
      <c r="K945" s="142">
        <f t="shared" si="269"/>
        <v>0.4971110067</v>
      </c>
      <c r="L945" s="200">
        <f t="shared" si="269"/>
        <v>0</v>
      </c>
      <c r="M945" s="200"/>
      <c r="N945" s="200"/>
      <c r="O945" s="200"/>
      <c r="P945" s="200"/>
      <c r="Q945" s="200"/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58"/>
      <c r="L946" s="198"/>
      <c r="M946" s="198"/>
      <c r="N946" s="198"/>
      <c r="O946" s="198"/>
      <c r="P946" s="19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K947" si="270">ROUNDUP(H941/H948,0)</f>
        <v>0</v>
      </c>
      <c r="I947" s="190">
        <f t="shared" si="270"/>
        <v>332</v>
      </c>
      <c r="J947" s="190">
        <f t="shared" si="270"/>
        <v>177</v>
      </c>
      <c r="K947" s="190">
        <f t="shared" si="270"/>
        <v>156</v>
      </c>
      <c r="L947" s="201">
        <f>SUM(H947:K947)</f>
        <v>665</v>
      </c>
      <c r="M947" s="201"/>
      <c r="N947" s="201"/>
      <c r="O947" s="201"/>
      <c r="P947" s="201"/>
      <c r="Q947" s="201"/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56">
        <v>8800.0</v>
      </c>
      <c r="L948" s="198"/>
      <c r="M948" s="198"/>
      <c r="N948" s="198"/>
      <c r="O948" s="198"/>
      <c r="P948" s="198"/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K949" si="271">SUM(H963,H966,H969,H972,H975)</f>
        <v>0</v>
      </c>
      <c r="I949" s="188">
        <f t="shared" si="271"/>
        <v>2920000</v>
      </c>
      <c r="J949" s="188">
        <f t="shared" si="271"/>
        <v>1556000</v>
      </c>
      <c r="K949" s="188">
        <f t="shared" si="271"/>
        <v>1372000</v>
      </c>
      <c r="L949" s="196">
        <f>SUM(H949:K949)</f>
        <v>5848000</v>
      </c>
      <c r="M949" s="160"/>
      <c r="N949" s="160"/>
      <c r="O949" s="160"/>
      <c r="P949" s="160"/>
      <c r="Q949" s="160"/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203">
        <v>0.6</v>
      </c>
      <c r="L950" s="198"/>
      <c r="M950" s="198"/>
      <c r="N950" s="198"/>
      <c r="O950" s="198"/>
      <c r="P950" s="198"/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203">
        <v>0.4</v>
      </c>
      <c r="L951" s="198"/>
      <c r="M951" s="198"/>
      <c r="N951" s="198"/>
      <c r="O951" s="198"/>
      <c r="P951" s="198"/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203">
        <v>0.0</v>
      </c>
      <c r="L952" s="198"/>
      <c r="M952" s="198"/>
      <c r="N952" s="198"/>
      <c r="O952" s="198"/>
      <c r="P952" s="198"/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203">
        <v>0.0</v>
      </c>
      <c r="L953" s="198"/>
      <c r="M953" s="198"/>
      <c r="N953" s="198"/>
      <c r="O953" s="198"/>
      <c r="P953" s="198"/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203">
        <v>0.0</v>
      </c>
      <c r="L954" s="198"/>
      <c r="M954" s="198"/>
      <c r="N954" s="198"/>
      <c r="O954" s="198"/>
      <c r="P954" s="198"/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204">
        <v>8000.0</v>
      </c>
      <c r="L955" s="198"/>
      <c r="M955" s="198"/>
      <c r="N955" s="198"/>
      <c r="O955" s="198"/>
      <c r="P955" s="198"/>
      <c r="Q955" s="198"/>
      <c r="R955" s="198"/>
      <c r="S955" s="198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204">
        <v>10000.0</v>
      </c>
      <c r="L956" s="198"/>
      <c r="M956" s="198"/>
      <c r="N956" s="198"/>
      <c r="O956" s="198"/>
      <c r="P956" s="198"/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204">
        <v>0.0</v>
      </c>
      <c r="L957" s="198"/>
      <c r="M957" s="198"/>
      <c r="N957" s="198"/>
      <c r="O957" s="198"/>
      <c r="P957" s="198"/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204">
        <v>0.0</v>
      </c>
      <c r="L958" s="198"/>
      <c r="M958" s="198"/>
      <c r="N958" s="198"/>
      <c r="O958" s="198"/>
      <c r="P958" s="198"/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204">
        <v>0.0</v>
      </c>
      <c r="L959" s="198"/>
      <c r="M959" s="198"/>
      <c r="N959" s="198"/>
      <c r="O959" s="198"/>
      <c r="P959" s="198"/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62">
        <f>IFERROR(__xludf.DUMMYFUNCTION("MATCH(
  MIN(FILTER(K955:K959,K955:K959&gt;0)),
  K955:K959,
  0
)
"),1.0)</f>
        <v>1</v>
      </c>
      <c r="L960" s="198"/>
      <c r="M960" s="198"/>
      <c r="N960" s="198"/>
      <c r="O960" s="198"/>
      <c r="P960" s="198"/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48"/>
      <c r="L961" s="198"/>
      <c r="M961" s="198"/>
      <c r="N961" s="198"/>
      <c r="O961" s="198"/>
      <c r="P961" s="19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K962" si="272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2"/>
        <v>200</v>
      </c>
      <c r="J962" s="148">
        <f t="shared" si="272"/>
        <v>107</v>
      </c>
      <c r="K962" s="148">
        <f t="shared" si="272"/>
        <v>94</v>
      </c>
      <c r="L962" s="198"/>
      <c r="M962" s="198"/>
      <c r="N962" s="198"/>
      <c r="O962" s="198"/>
      <c r="P962" s="198"/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K963" si="273">(H962*H955)</f>
        <v>0</v>
      </c>
      <c r="I963" s="150">
        <f t="shared" si="273"/>
        <v>1600000</v>
      </c>
      <c r="J963" s="150">
        <f t="shared" si="273"/>
        <v>856000</v>
      </c>
      <c r="K963" s="150">
        <f t="shared" si="273"/>
        <v>752000</v>
      </c>
      <c r="L963" s="198"/>
      <c r="M963" s="198"/>
      <c r="N963" s="198"/>
      <c r="O963" s="198"/>
      <c r="P963" s="198"/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48"/>
      <c r="L964" s="198"/>
      <c r="M964" s="198"/>
      <c r="N964" s="198"/>
      <c r="O964" s="198"/>
      <c r="P964" s="19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K965" si="274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4"/>
        <v>132</v>
      </c>
      <c r="J965" s="148">
        <f t="shared" si="274"/>
        <v>70</v>
      </c>
      <c r="K965" s="148">
        <f t="shared" si="274"/>
        <v>62</v>
      </c>
      <c r="L965" s="198"/>
      <c r="M965" s="198"/>
      <c r="N965" s="198"/>
      <c r="O965" s="198"/>
      <c r="P965" s="198"/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K966" si="275">(H956*H965)</f>
        <v>0</v>
      </c>
      <c r="I966" s="150">
        <f t="shared" si="275"/>
        <v>1320000</v>
      </c>
      <c r="J966" s="150">
        <f t="shared" si="275"/>
        <v>700000</v>
      </c>
      <c r="K966" s="150">
        <f t="shared" si="275"/>
        <v>620000</v>
      </c>
      <c r="L966" s="198"/>
      <c r="M966" s="198"/>
      <c r="N966" s="198"/>
      <c r="O966" s="198"/>
      <c r="P966" s="198"/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48"/>
      <c r="L967" s="198"/>
      <c r="M967" s="198"/>
      <c r="N967" s="198"/>
      <c r="O967" s="198"/>
      <c r="P967" s="19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K968" si="276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76"/>
        <v>0</v>
      </c>
      <c r="J968" s="148">
        <f t="shared" si="276"/>
        <v>0</v>
      </c>
      <c r="K968" s="148">
        <f t="shared" si="276"/>
        <v>0</v>
      </c>
      <c r="L968" s="198"/>
      <c r="M968" s="198"/>
      <c r="N968" s="198"/>
      <c r="O968" s="198"/>
      <c r="P968" s="198"/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K969" si="277">(H957*H968)</f>
        <v>0</v>
      </c>
      <c r="I969" s="150">
        <f t="shared" si="277"/>
        <v>0</v>
      </c>
      <c r="J969" s="150">
        <f t="shared" si="277"/>
        <v>0</v>
      </c>
      <c r="K969" s="150">
        <f t="shared" si="277"/>
        <v>0</v>
      </c>
      <c r="L969" s="198"/>
      <c r="M969" s="198"/>
      <c r="N969" s="198"/>
      <c r="O969" s="198"/>
      <c r="P969" s="198"/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48"/>
      <c r="L970" s="198"/>
      <c r="M970" s="198"/>
      <c r="N970" s="198"/>
      <c r="O970" s="198"/>
      <c r="P970" s="19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K971" si="278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78"/>
        <v>0</v>
      </c>
      <c r="J971" s="148">
        <f t="shared" si="278"/>
        <v>0</v>
      </c>
      <c r="K971" s="148">
        <f t="shared" si="278"/>
        <v>0</v>
      </c>
      <c r="L971" s="198"/>
      <c r="M971" s="198"/>
      <c r="N971" s="198"/>
      <c r="O971" s="198"/>
      <c r="P971" s="198"/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K972" si="279">(H958*H971)</f>
        <v>0</v>
      </c>
      <c r="I972" s="150">
        <f t="shared" si="279"/>
        <v>0</v>
      </c>
      <c r="J972" s="150">
        <f t="shared" si="279"/>
        <v>0</v>
      </c>
      <c r="K972" s="150">
        <f t="shared" si="279"/>
        <v>0</v>
      </c>
      <c r="L972" s="198"/>
      <c r="M972" s="198"/>
      <c r="N972" s="198"/>
      <c r="O972" s="198"/>
      <c r="P972" s="198"/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48"/>
      <c r="L973" s="198"/>
      <c r="M973" s="198"/>
      <c r="N973" s="198"/>
      <c r="O973" s="198"/>
      <c r="P973" s="19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K974" si="280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0"/>
        <v>0</v>
      </c>
      <c r="J974" s="148">
        <f t="shared" si="280"/>
        <v>0</v>
      </c>
      <c r="K974" s="148">
        <f t="shared" si="280"/>
        <v>0</v>
      </c>
      <c r="L974" s="198"/>
      <c r="M974" s="198"/>
      <c r="N974" s="198"/>
      <c r="O974" s="198"/>
      <c r="P974" s="198"/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K975" si="281">(H959*H974)</f>
        <v>0</v>
      </c>
      <c r="I975" s="150">
        <f t="shared" si="281"/>
        <v>0</v>
      </c>
      <c r="J975" s="150">
        <f t="shared" si="281"/>
        <v>0</v>
      </c>
      <c r="K975" s="150">
        <f t="shared" si="281"/>
        <v>0</v>
      </c>
      <c r="L975" s="198"/>
      <c r="M975" s="198"/>
      <c r="N975" s="198"/>
      <c r="O975" s="198"/>
      <c r="P975" s="198"/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60"/>
      <c r="L976" s="198"/>
      <c r="M976" s="198"/>
      <c r="N976" s="198"/>
      <c r="O976" s="198"/>
      <c r="P976" s="198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251</v>
      </c>
      <c r="I978" s="206"/>
      <c r="J978" s="206"/>
      <c r="K978" s="206"/>
      <c r="L978" s="198"/>
      <c r="M978" s="198"/>
      <c r="N978" s="198"/>
      <c r="O978" s="198"/>
      <c r="P978" s="198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0.5102031873</v>
      </c>
      <c r="H979" s="149">
        <f>SUM($H$520)</f>
        <v>6403050</v>
      </c>
      <c r="I979" s="149"/>
      <c r="J979" s="149"/>
      <c r="K979" s="149"/>
      <c r="L979" s="160"/>
      <c r="M979" s="160"/>
      <c r="N979" s="160"/>
      <c r="O979" s="160"/>
      <c r="P979" s="160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56"/>
      <c r="L980" s="160"/>
      <c r="M980" s="160"/>
      <c r="N980" s="160"/>
      <c r="O980" s="160"/>
      <c r="P980" s="160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12550000</v>
      </c>
      <c r="I981" s="149"/>
      <c r="J981" s="149"/>
      <c r="K981" s="149"/>
      <c r="L981" s="160"/>
      <c r="M981" s="160"/>
      <c r="N981" s="160"/>
      <c r="O981" s="160"/>
      <c r="P981" s="160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49"/>
      <c r="L982" s="160"/>
      <c r="M982" s="160"/>
      <c r="N982" s="160"/>
      <c r="O982" s="160"/>
      <c r="P982" s="160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0.7653047809</v>
      </c>
      <c r="H983" s="219">
        <v>0.0</v>
      </c>
      <c r="I983" s="213">
        <v>0.32</v>
      </c>
      <c r="J983" s="213">
        <v>0.17</v>
      </c>
      <c r="K983" s="213">
        <v>0.15</v>
      </c>
      <c r="L983" s="160"/>
      <c r="M983" s="160"/>
      <c r="N983" s="160"/>
      <c r="O983" s="160"/>
      <c r="P983" s="160"/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9604575</v>
      </c>
      <c r="H984" s="19"/>
      <c r="I984" s="19"/>
      <c r="J984" s="19"/>
      <c r="K984" s="19"/>
      <c r="L984" s="16"/>
      <c r="M984" s="16"/>
      <c r="N984" s="16"/>
      <c r="O984" s="16"/>
      <c r="P984" s="16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6403050</v>
      </c>
      <c r="I985" s="149">
        <f t="shared" ref="I985:K985" si="282">H985+I994</f>
        <v>7431050</v>
      </c>
      <c r="J985" s="149">
        <f t="shared" si="282"/>
        <v>7977050</v>
      </c>
      <c r="K985" s="149">
        <f t="shared" si="282"/>
        <v>8459050</v>
      </c>
      <c r="L985" s="199" t="str">
        <f>#REF!</f>
        <v>#REF!</v>
      </c>
      <c r="M985" s="199"/>
      <c r="N985" s="199"/>
      <c r="O985" s="199"/>
      <c r="P985" s="199"/>
      <c r="Q985" s="199"/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3201525</v>
      </c>
      <c r="H986" s="149">
        <f t="shared" ref="H986:K986" si="283">$G$986*H983</f>
        <v>0</v>
      </c>
      <c r="I986" s="149">
        <f t="shared" si="283"/>
        <v>1024488</v>
      </c>
      <c r="J986" s="149">
        <f t="shared" si="283"/>
        <v>544259.25</v>
      </c>
      <c r="K986" s="149">
        <f t="shared" si="283"/>
        <v>480228.75</v>
      </c>
      <c r="L986" s="199">
        <f>SUM(H986:K986)</f>
        <v>2048976</v>
      </c>
      <c r="M986" s="199"/>
      <c r="N986" s="199"/>
      <c r="O986" s="199"/>
      <c r="P986" s="199"/>
      <c r="Q986" s="199"/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49"/>
      <c r="L987" s="160"/>
      <c r="M987" s="160"/>
      <c r="N987" s="160"/>
      <c r="O987" s="160"/>
      <c r="P987" s="160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K988" si="284">$H$981-H985</f>
        <v>6146950</v>
      </c>
      <c r="I988" s="149">
        <f t="shared" si="284"/>
        <v>5118950</v>
      </c>
      <c r="J988" s="149">
        <f t="shared" si="284"/>
        <v>4572950</v>
      </c>
      <c r="K988" s="149">
        <f t="shared" si="284"/>
        <v>4090950</v>
      </c>
      <c r="L988" s="160"/>
      <c r="M988" s="160"/>
      <c r="N988" s="160"/>
      <c r="O988" s="160"/>
      <c r="P988" s="160"/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K989" si="285">IFERROR(SUM(H994,H979)/$H$981,0)</f>
        <v>0.5102031873</v>
      </c>
      <c r="I989" s="142">
        <f t="shared" si="285"/>
        <v>0.0819123506</v>
      </c>
      <c r="J989" s="142">
        <f t="shared" si="285"/>
        <v>0.0435059761</v>
      </c>
      <c r="K989" s="142">
        <f t="shared" si="285"/>
        <v>0.0384063745</v>
      </c>
      <c r="L989" s="200">
        <f>IFERROR(L985/$H$981,0)</f>
        <v>0</v>
      </c>
      <c r="M989" s="200"/>
      <c r="N989" s="200"/>
      <c r="O989" s="200"/>
      <c r="P989" s="200"/>
      <c r="Q989" s="200"/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K990" si="286">IFERROR(1-(H979/$H$981),0)</f>
        <v>0.4897968127</v>
      </c>
      <c r="I990" s="216">
        <f t="shared" si="286"/>
        <v>1</v>
      </c>
      <c r="J990" s="216">
        <f t="shared" si="286"/>
        <v>1</v>
      </c>
      <c r="K990" s="216">
        <f t="shared" si="286"/>
        <v>1</v>
      </c>
      <c r="L990" s="200">
        <f>IFERROR(1-(L985/$H$981),0)</f>
        <v>0</v>
      </c>
      <c r="M990" s="200"/>
      <c r="N990" s="200"/>
      <c r="O990" s="200"/>
      <c r="P990" s="200"/>
      <c r="Q990" s="200"/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207"/>
      <c r="L991" s="198"/>
      <c r="M991" s="198"/>
      <c r="N991" s="198"/>
      <c r="O991" s="198"/>
      <c r="P991" s="198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K992" si="287">ROUNDUP(H986/H993,0)</f>
        <v>0</v>
      </c>
      <c r="I992" s="190">
        <f t="shared" si="287"/>
        <v>143</v>
      </c>
      <c r="J992" s="190">
        <f t="shared" si="287"/>
        <v>76</v>
      </c>
      <c r="K992" s="190">
        <f t="shared" si="287"/>
        <v>67</v>
      </c>
      <c r="L992" s="201">
        <f>SUM(H992:K992)</f>
        <v>286</v>
      </c>
      <c r="M992" s="201"/>
      <c r="N992" s="201"/>
      <c r="O992" s="201"/>
      <c r="P992" s="201"/>
      <c r="Q992" s="201"/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56">
        <v>7200.0</v>
      </c>
      <c r="L993" s="198"/>
      <c r="M993" s="198"/>
      <c r="N993" s="198"/>
      <c r="O993" s="198"/>
      <c r="P993" s="198"/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K994" si="288">SUM(H1008,H1011,H1014,H1017,H1020)</f>
        <v>0</v>
      </c>
      <c r="I994" s="188">
        <f t="shared" si="288"/>
        <v>1028000</v>
      </c>
      <c r="J994" s="188">
        <f t="shared" si="288"/>
        <v>546000</v>
      </c>
      <c r="K994" s="188">
        <f t="shared" si="288"/>
        <v>482000</v>
      </c>
      <c r="L994" s="196">
        <f>SUM(H994:K994)</f>
        <v>2056000</v>
      </c>
      <c r="M994" s="160"/>
      <c r="N994" s="160"/>
      <c r="O994" s="160"/>
      <c r="P994" s="160"/>
      <c r="Q994" s="160"/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203">
        <v>0.6</v>
      </c>
      <c r="L995" s="198"/>
      <c r="M995" s="198"/>
      <c r="N995" s="198"/>
      <c r="O995" s="198"/>
      <c r="P995" s="198"/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203">
        <v>0.4</v>
      </c>
      <c r="L996" s="198"/>
      <c r="M996" s="198"/>
      <c r="N996" s="198"/>
      <c r="O996" s="198"/>
      <c r="P996" s="198"/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203">
        <v>0.0</v>
      </c>
      <c r="L997" s="198"/>
      <c r="M997" s="198"/>
      <c r="N997" s="198"/>
      <c r="O997" s="198"/>
      <c r="P997" s="198"/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203">
        <v>0.0</v>
      </c>
      <c r="L998" s="198"/>
      <c r="M998" s="198"/>
      <c r="N998" s="198"/>
      <c r="O998" s="198"/>
      <c r="P998" s="198"/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203">
        <v>0.0</v>
      </c>
      <c r="L999" s="198"/>
      <c r="M999" s="198"/>
      <c r="N999" s="198"/>
      <c r="O999" s="198"/>
      <c r="P999" s="198"/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204">
        <v>8000.0</v>
      </c>
      <c r="L1000" s="198"/>
      <c r="M1000" s="198"/>
      <c r="N1000" s="198"/>
      <c r="O1000" s="198"/>
      <c r="P1000" s="198"/>
      <c r="Q1000" s="198"/>
      <c r="R1000" s="198"/>
      <c r="S1000" s="198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204">
        <v>6000.0</v>
      </c>
      <c r="L1001" s="198"/>
      <c r="M1001" s="198"/>
      <c r="N1001" s="198"/>
      <c r="O1001" s="198"/>
      <c r="P1001" s="198"/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204">
        <v>0.0</v>
      </c>
      <c r="L1002" s="198"/>
      <c r="M1002" s="198"/>
      <c r="N1002" s="198"/>
      <c r="O1002" s="198"/>
      <c r="P1002" s="198"/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204">
        <v>0.0</v>
      </c>
      <c r="L1003" s="198"/>
      <c r="M1003" s="198"/>
      <c r="N1003" s="198"/>
      <c r="O1003" s="198"/>
      <c r="P1003" s="198"/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204">
        <v>0.0</v>
      </c>
      <c r="L1004" s="198"/>
      <c r="M1004" s="198"/>
      <c r="N1004" s="198"/>
      <c r="O1004" s="198"/>
      <c r="P1004" s="198"/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62">
        <f>IFERROR(__xludf.DUMMYFUNCTION("MATCH(
  MIN(FILTER(K1000:K1004,K1000:K1004&gt;0)),
  K1000:K1004,
  0
)
"),2.0)</f>
        <v>2</v>
      </c>
      <c r="L1005" s="198"/>
      <c r="M1005" s="198"/>
      <c r="N1005" s="198"/>
      <c r="O1005" s="198"/>
      <c r="P1005" s="198"/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48"/>
      <c r="L1006" s="198"/>
      <c r="M1006" s="198"/>
      <c r="N1006" s="198"/>
      <c r="O1006" s="198"/>
      <c r="P1006" s="19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K1007" si="289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89"/>
        <v>85</v>
      </c>
      <c r="J1007" s="148">
        <f t="shared" si="289"/>
        <v>45</v>
      </c>
      <c r="K1007" s="148">
        <f t="shared" si="289"/>
        <v>40</v>
      </c>
      <c r="L1007" s="198"/>
      <c r="M1007" s="198"/>
      <c r="N1007" s="198"/>
      <c r="O1007" s="198"/>
      <c r="P1007" s="198"/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K1008" si="290">(H1007*H1000)</f>
        <v>0</v>
      </c>
      <c r="I1008" s="150">
        <f t="shared" si="290"/>
        <v>680000</v>
      </c>
      <c r="J1008" s="150">
        <f t="shared" si="290"/>
        <v>360000</v>
      </c>
      <c r="K1008" s="150">
        <f t="shared" si="290"/>
        <v>320000</v>
      </c>
      <c r="L1008" s="198"/>
      <c r="M1008" s="198"/>
      <c r="N1008" s="198"/>
      <c r="O1008" s="198"/>
      <c r="P1008" s="198"/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48"/>
      <c r="L1009" s="198"/>
      <c r="M1009" s="198"/>
      <c r="N1009" s="198"/>
      <c r="O1009" s="198"/>
      <c r="P1009" s="19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K1010" si="291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1"/>
        <v>58</v>
      </c>
      <c r="J1010" s="148">
        <f t="shared" si="291"/>
        <v>31</v>
      </c>
      <c r="K1010" s="148">
        <f t="shared" si="291"/>
        <v>27</v>
      </c>
      <c r="L1010" s="198"/>
      <c r="M1010" s="198"/>
      <c r="N1010" s="198"/>
      <c r="O1010" s="198"/>
      <c r="P1010" s="198"/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K1011" si="292">(H1001*H1010)</f>
        <v>0</v>
      </c>
      <c r="I1011" s="150">
        <f t="shared" si="292"/>
        <v>348000</v>
      </c>
      <c r="J1011" s="150">
        <f t="shared" si="292"/>
        <v>186000</v>
      </c>
      <c r="K1011" s="150">
        <f t="shared" si="292"/>
        <v>162000</v>
      </c>
      <c r="L1011" s="198"/>
      <c r="M1011" s="198"/>
      <c r="N1011" s="198"/>
      <c r="O1011" s="198"/>
      <c r="P1011" s="198"/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48"/>
      <c r="L1012" s="198"/>
      <c r="M1012" s="198"/>
      <c r="N1012" s="198"/>
      <c r="O1012" s="198"/>
      <c r="P1012" s="19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K1013" si="293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3"/>
        <v>0</v>
      </c>
      <c r="J1013" s="148">
        <f t="shared" si="293"/>
        <v>0</v>
      </c>
      <c r="K1013" s="148">
        <f t="shared" si="293"/>
        <v>0</v>
      </c>
      <c r="L1013" s="198"/>
      <c r="M1013" s="198"/>
      <c r="N1013" s="198"/>
      <c r="O1013" s="198"/>
      <c r="P1013" s="198"/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K1014" si="294">(H1002*H1013)</f>
        <v>0</v>
      </c>
      <c r="I1014" s="150">
        <f t="shared" si="294"/>
        <v>0</v>
      </c>
      <c r="J1014" s="150">
        <f t="shared" si="294"/>
        <v>0</v>
      </c>
      <c r="K1014" s="150">
        <f t="shared" si="294"/>
        <v>0</v>
      </c>
      <c r="L1014" s="198"/>
      <c r="M1014" s="198"/>
      <c r="N1014" s="198"/>
      <c r="O1014" s="198"/>
      <c r="P1014" s="198"/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48"/>
      <c r="L1015" s="198"/>
      <c r="M1015" s="198"/>
      <c r="N1015" s="198"/>
      <c r="O1015" s="198"/>
      <c r="P1015" s="19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K1016" si="295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295"/>
        <v>0</v>
      </c>
      <c r="J1016" s="148">
        <f t="shared" si="295"/>
        <v>0</v>
      </c>
      <c r="K1016" s="148">
        <f t="shared" si="295"/>
        <v>0</v>
      </c>
      <c r="L1016" s="198"/>
      <c r="M1016" s="198"/>
      <c r="N1016" s="198"/>
      <c r="O1016" s="198"/>
      <c r="P1016" s="198"/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K1017" si="296">(H1003*H1016)</f>
        <v>0</v>
      </c>
      <c r="I1017" s="150">
        <f t="shared" si="296"/>
        <v>0</v>
      </c>
      <c r="J1017" s="150">
        <f t="shared" si="296"/>
        <v>0</v>
      </c>
      <c r="K1017" s="150">
        <f t="shared" si="296"/>
        <v>0</v>
      </c>
      <c r="L1017" s="198"/>
      <c r="M1017" s="198"/>
      <c r="N1017" s="198"/>
      <c r="O1017" s="198"/>
      <c r="P1017" s="198"/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48"/>
      <c r="L1018" s="198"/>
      <c r="M1018" s="198"/>
      <c r="N1018" s="198"/>
      <c r="O1018" s="198"/>
      <c r="P1018" s="19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K1019" si="297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297"/>
        <v>0</v>
      </c>
      <c r="J1019" s="148">
        <f t="shared" si="297"/>
        <v>0</v>
      </c>
      <c r="K1019" s="148">
        <f t="shared" si="297"/>
        <v>0</v>
      </c>
      <c r="L1019" s="198"/>
      <c r="M1019" s="198"/>
      <c r="N1019" s="198"/>
      <c r="O1019" s="198"/>
      <c r="P1019" s="198"/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K1020" si="298">(H1004*H1019)</f>
        <v>0</v>
      </c>
      <c r="I1020" s="150">
        <f t="shared" si="298"/>
        <v>0</v>
      </c>
      <c r="J1020" s="150">
        <f t="shared" si="298"/>
        <v>0</v>
      </c>
      <c r="K1020" s="150">
        <f t="shared" si="298"/>
        <v>0</v>
      </c>
      <c r="L1020" s="198"/>
      <c r="M1020" s="198"/>
      <c r="N1020" s="198"/>
      <c r="O1020" s="198"/>
      <c r="P1020" s="198"/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60"/>
      <c r="L1021" s="198"/>
      <c r="M1021" s="198"/>
      <c r="N1021" s="198"/>
      <c r="O1021" s="198"/>
      <c r="P1021" s="198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"/>
      <c r="M1022" s="1"/>
      <c r="N1022" s="1"/>
      <c r="O1022" s="1"/>
      <c r="P1022" s="1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78"/>
      <c r="L1023" s="1"/>
      <c r="M1023" s="1"/>
      <c r="N1023" s="1"/>
      <c r="O1023" s="1"/>
      <c r="P1023" s="1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K1024" si="299">SUM(H1027,H1064,H1081,)</f>
        <v>48912500</v>
      </c>
      <c r="I1024" s="173">
        <f t="shared" si="299"/>
        <v>8611600</v>
      </c>
      <c r="J1024" s="173">
        <f t="shared" si="299"/>
        <v>5577560</v>
      </c>
      <c r="K1024" s="173">
        <f t="shared" si="299"/>
        <v>4323516</v>
      </c>
      <c r="L1024" s="223">
        <f>SUM(H1024:K1024)</f>
        <v>67425176</v>
      </c>
      <c r="M1024" s="223"/>
      <c r="N1024" s="223"/>
      <c r="O1024" s="223"/>
      <c r="P1024" s="223"/>
      <c r="Q1024" s="223"/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63"/>
      <c r="L1025" s="1"/>
      <c r="M1025" s="1"/>
      <c r="N1025" s="1"/>
      <c r="O1025" s="1"/>
      <c r="P1025" s="1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63"/>
      <c r="L1026" s="1"/>
      <c r="M1026" s="1"/>
      <c r="N1026" s="1"/>
      <c r="O1026" s="1"/>
      <c r="P1026" s="1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K1027" si="300">SUM(H1029,H1036,H1043,H1050,H1057,)</f>
        <v>48876500</v>
      </c>
      <c r="I1027" s="178">
        <f t="shared" si="300"/>
        <v>0</v>
      </c>
      <c r="J1027" s="178">
        <f t="shared" si="300"/>
        <v>0</v>
      </c>
      <c r="K1027" s="178">
        <f t="shared" si="300"/>
        <v>0</v>
      </c>
      <c r="L1027" s="223">
        <f>SUM(H1027:K1027)</f>
        <v>48876500</v>
      </c>
      <c r="M1027" s="223"/>
      <c r="N1027" s="223"/>
      <c r="O1027" s="223"/>
      <c r="P1027" s="223"/>
      <c r="Q1027" s="223"/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178"/>
      <c r="L1028" s="223"/>
      <c r="M1028" s="223"/>
      <c r="N1028" s="223"/>
      <c r="O1028" s="223"/>
      <c r="P1028" s="223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K1029" si="301">SUM(H1030:H1034)</f>
        <v>3373000</v>
      </c>
      <c r="I1029" s="178">
        <f t="shared" si="301"/>
        <v>0</v>
      </c>
      <c r="J1029" s="178">
        <f t="shared" si="301"/>
        <v>0</v>
      </c>
      <c r="K1029" s="178">
        <f t="shared" si="301"/>
        <v>0</v>
      </c>
      <c r="L1029" s="1"/>
      <c r="M1029" s="1"/>
      <c r="N1029" s="1"/>
      <c r="O1029" s="1"/>
      <c r="P1029" s="1"/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2200000</v>
      </c>
      <c r="I1030" s="178" t="str">
        <f t="shared" ref="I1030:K1030" si="302">I428</f>
        <v/>
      </c>
      <c r="J1030" s="178" t="str">
        <f t="shared" si="302"/>
        <v/>
      </c>
      <c r="K1030" s="178" t="str">
        <f t="shared" si="302"/>
        <v/>
      </c>
      <c r="L1030" s="1"/>
      <c r="M1030" s="1"/>
      <c r="N1030" s="1"/>
      <c r="O1030" s="1"/>
      <c r="P1030" s="1"/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158000</v>
      </c>
      <c r="I1031" s="178" t="str">
        <f t="shared" ref="I1031:K1031" si="303">I430</f>
        <v/>
      </c>
      <c r="J1031" s="178" t="str">
        <f t="shared" si="303"/>
        <v/>
      </c>
      <c r="K1031" s="178" t="str">
        <f t="shared" si="303"/>
        <v/>
      </c>
      <c r="L1031" s="1"/>
      <c r="M1031" s="1"/>
      <c r="N1031" s="1"/>
      <c r="O1031" s="1"/>
      <c r="P1031" s="1"/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K1032" si="304">I432</f>
        <v/>
      </c>
      <c r="J1032" s="178" t="str">
        <f t="shared" si="304"/>
        <v/>
      </c>
      <c r="K1032" s="178" t="str">
        <f t="shared" si="304"/>
        <v/>
      </c>
      <c r="L1032" s="1"/>
      <c r="M1032" s="1"/>
      <c r="N1032" s="1"/>
      <c r="O1032" s="1"/>
      <c r="P1032" s="1"/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1015000</v>
      </c>
      <c r="I1033" s="178" t="str">
        <f t="shared" ref="I1033:K1033" si="305">I434</f>
        <v/>
      </c>
      <c r="J1033" s="178" t="str">
        <f t="shared" si="305"/>
        <v/>
      </c>
      <c r="K1033" s="178" t="str">
        <f t="shared" si="305"/>
        <v/>
      </c>
      <c r="L1033" s="1"/>
      <c r="M1033" s="1"/>
      <c r="N1033" s="1"/>
      <c r="O1033" s="1"/>
      <c r="P1033" s="1"/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K1034" si="306">I436</f>
        <v/>
      </c>
      <c r="J1034" s="178" t="str">
        <f t="shared" si="306"/>
        <v/>
      </c>
      <c r="K1034" s="178" t="str">
        <f t="shared" si="306"/>
        <v/>
      </c>
      <c r="L1034" s="1"/>
      <c r="M1034" s="1"/>
      <c r="N1034" s="1"/>
      <c r="O1034" s="1"/>
      <c r="P1034" s="1"/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78"/>
      <c r="L1035" s="1"/>
      <c r="M1035" s="1"/>
      <c r="N1035" s="1"/>
      <c r="O1035" s="1"/>
      <c r="P1035" s="1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K1036" si="307">SUM(H1037:H1041)</f>
        <v>3498000</v>
      </c>
      <c r="I1036" s="178">
        <f t="shared" si="307"/>
        <v>0</v>
      </c>
      <c r="J1036" s="178">
        <f t="shared" si="307"/>
        <v>0</v>
      </c>
      <c r="K1036" s="178">
        <f t="shared" si="307"/>
        <v>0</v>
      </c>
      <c r="L1036" s="1"/>
      <c r="M1036" s="1"/>
      <c r="N1036" s="1"/>
      <c r="O1036" s="1"/>
      <c r="P1036" s="1"/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2400000</v>
      </c>
      <c r="I1037" s="178" t="str">
        <f t="shared" ref="I1037:K1037" si="308">I454</f>
        <v/>
      </c>
      <c r="J1037" s="178" t="str">
        <f t="shared" si="308"/>
        <v/>
      </c>
      <c r="K1037" s="178" t="str">
        <f t="shared" si="308"/>
        <v/>
      </c>
      <c r="L1037" s="1"/>
      <c r="M1037" s="1"/>
      <c r="N1037" s="1"/>
      <c r="O1037" s="1"/>
      <c r="P1037" s="1"/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108000</v>
      </c>
      <c r="I1038" s="178" t="str">
        <f t="shared" ref="I1038:K1038" si="309">I456</f>
        <v/>
      </c>
      <c r="J1038" s="178" t="str">
        <f t="shared" si="309"/>
        <v/>
      </c>
      <c r="K1038" s="178" t="str">
        <f t="shared" si="309"/>
        <v/>
      </c>
      <c r="L1038" s="1"/>
      <c r="M1038" s="1"/>
      <c r="N1038" s="1"/>
      <c r="O1038" s="1"/>
      <c r="P1038" s="1"/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K1039" si="310">I458</f>
        <v/>
      </c>
      <c r="J1039" s="178" t="str">
        <f t="shared" si="310"/>
        <v/>
      </c>
      <c r="K1039" s="178" t="str">
        <f t="shared" si="310"/>
        <v/>
      </c>
      <c r="L1039" s="1"/>
      <c r="M1039" s="1"/>
      <c r="N1039" s="1"/>
      <c r="O1039" s="1"/>
      <c r="P1039" s="1"/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990000</v>
      </c>
      <c r="I1040" s="178" t="str">
        <f t="shared" ref="I1040:K1040" si="311">I460</f>
        <v/>
      </c>
      <c r="J1040" s="178" t="str">
        <f t="shared" si="311"/>
        <v/>
      </c>
      <c r="K1040" s="178" t="str">
        <f t="shared" si="311"/>
        <v/>
      </c>
      <c r="L1040" s="1"/>
      <c r="M1040" s="1"/>
      <c r="N1040" s="1"/>
      <c r="O1040" s="1"/>
      <c r="P1040" s="1"/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K1041" si="312">I462</f>
        <v/>
      </c>
      <c r="J1041" s="178" t="str">
        <f t="shared" si="312"/>
        <v/>
      </c>
      <c r="K1041" s="178" t="str">
        <f t="shared" si="312"/>
        <v/>
      </c>
      <c r="L1041" s="1"/>
      <c r="M1041" s="1"/>
      <c r="N1041" s="1"/>
      <c r="O1041" s="1"/>
      <c r="P1041" s="1"/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78"/>
      <c r="L1042" s="1"/>
      <c r="M1042" s="1"/>
      <c r="N1042" s="1"/>
      <c r="O1042" s="1"/>
      <c r="P1042" s="1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K1043" si="313">SUM(H1044:H1048)</f>
        <v>15518000</v>
      </c>
      <c r="I1043" s="178">
        <f t="shared" si="313"/>
        <v>0</v>
      </c>
      <c r="J1043" s="178">
        <f t="shared" si="313"/>
        <v>0</v>
      </c>
      <c r="K1043" s="178">
        <f t="shared" si="313"/>
        <v>0</v>
      </c>
      <c r="L1043" s="1"/>
      <c r="M1043" s="1"/>
      <c r="N1043" s="1"/>
      <c r="O1043" s="1"/>
      <c r="P1043" s="1"/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11600000</v>
      </c>
      <c r="I1044" s="178"/>
      <c r="J1044" s="178"/>
      <c r="K1044" s="178"/>
      <c r="L1044" s="1"/>
      <c r="M1044" s="1"/>
      <c r="N1044" s="1"/>
      <c r="O1044" s="1"/>
      <c r="P1044" s="1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390000</v>
      </c>
      <c r="I1045" s="178"/>
      <c r="J1045" s="178"/>
      <c r="K1045" s="178"/>
      <c r="L1045" s="1"/>
      <c r="M1045" s="1"/>
      <c r="N1045" s="1"/>
      <c r="O1045" s="1"/>
      <c r="P1045" s="1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78"/>
      <c r="L1046" s="1"/>
      <c r="M1046" s="1"/>
      <c r="N1046" s="1"/>
      <c r="O1046" s="1"/>
      <c r="P1046" s="1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3528000</v>
      </c>
      <c r="I1047" s="178"/>
      <c r="J1047" s="178"/>
      <c r="K1047" s="178"/>
      <c r="L1047" s="1"/>
      <c r="M1047" s="1"/>
      <c r="N1047" s="1"/>
      <c r="O1047" s="1"/>
      <c r="P1047" s="1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78"/>
      <c r="L1048" s="1"/>
      <c r="M1048" s="1"/>
      <c r="N1048" s="1"/>
      <c r="O1048" s="1"/>
      <c r="P1048" s="1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78"/>
      <c r="L1049" s="1"/>
      <c r="M1049" s="1"/>
      <c r="N1049" s="1"/>
      <c r="O1049" s="1"/>
      <c r="P1049" s="1"/>
      <c r="Q1049" s="1"/>
      <c r="R1049" s="1"/>
      <c r="S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K1050" si="314">SUM(H1051:H1055)</f>
        <v>19602500</v>
      </c>
      <c r="I1050" s="178">
        <f t="shared" si="314"/>
        <v>0</v>
      </c>
      <c r="J1050" s="178">
        <f t="shared" si="314"/>
        <v>0</v>
      </c>
      <c r="K1050" s="178">
        <f t="shared" si="314"/>
        <v>0</v>
      </c>
      <c r="L1050" s="1"/>
      <c r="M1050" s="1"/>
      <c r="N1050" s="1"/>
      <c r="O1050" s="1"/>
      <c r="P1050" s="1"/>
      <c r="Q1050" s="1"/>
      <c r="R1050" s="1"/>
      <c r="S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18280000</v>
      </c>
      <c r="I1051" s="178"/>
      <c r="J1051" s="178"/>
      <c r="K1051" s="178"/>
      <c r="L1051" s="1"/>
      <c r="M1051" s="1"/>
      <c r="N1051" s="1"/>
      <c r="O1051" s="1"/>
      <c r="P1051" s="1"/>
      <c r="Q1051" s="1"/>
      <c r="R1051" s="1"/>
      <c r="S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1322500</v>
      </c>
      <c r="I1052" s="178"/>
      <c r="J1052" s="178"/>
      <c r="K1052" s="178"/>
      <c r="L1052" s="1"/>
      <c r="M1052" s="1"/>
      <c r="N1052" s="1"/>
      <c r="O1052" s="1"/>
      <c r="P1052" s="1"/>
      <c r="Q1052" s="1"/>
      <c r="R1052" s="1"/>
      <c r="S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78"/>
      <c r="L1053" s="1"/>
      <c r="M1053" s="1"/>
      <c r="N1053" s="1"/>
      <c r="O1053" s="1"/>
      <c r="P1053" s="1"/>
      <c r="Q1053" s="1"/>
      <c r="R1053" s="1"/>
      <c r="S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78"/>
      <c r="L1054" s="1"/>
      <c r="M1054" s="1"/>
      <c r="N1054" s="1"/>
      <c r="O1054" s="1"/>
      <c r="P1054" s="1"/>
      <c r="Q1054" s="1"/>
      <c r="R1054" s="1"/>
      <c r="S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78"/>
      <c r="L1055" s="1"/>
      <c r="M1055" s="1"/>
      <c r="N1055" s="1"/>
      <c r="O1055" s="1"/>
      <c r="P1055" s="1"/>
      <c r="Q1055" s="1"/>
      <c r="R1055" s="1"/>
      <c r="S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78"/>
      <c r="L1056" s="1"/>
      <c r="M1056" s="1"/>
      <c r="N1056" s="1"/>
      <c r="O1056" s="1"/>
      <c r="P1056" s="1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K1057" si="315">SUM(H1058:H1062)</f>
        <v>6885000</v>
      </c>
      <c r="I1057" s="178">
        <f t="shared" si="315"/>
        <v>0</v>
      </c>
      <c r="J1057" s="178">
        <f t="shared" si="315"/>
        <v>0</v>
      </c>
      <c r="K1057" s="178">
        <f t="shared" si="315"/>
        <v>0</v>
      </c>
      <c r="L1057" s="1"/>
      <c r="M1057" s="1"/>
      <c r="N1057" s="1"/>
      <c r="O1057" s="1"/>
      <c r="P1057" s="1"/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6480000</v>
      </c>
      <c r="I1058" s="178"/>
      <c r="J1058" s="178"/>
      <c r="K1058" s="178"/>
      <c r="L1058" s="1"/>
      <c r="M1058" s="1"/>
      <c r="N1058" s="1"/>
      <c r="O1058" s="1"/>
      <c r="P1058" s="1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405000</v>
      </c>
      <c r="I1059" s="178"/>
      <c r="J1059" s="178"/>
      <c r="K1059" s="178"/>
      <c r="L1059" s="1"/>
      <c r="M1059" s="1"/>
      <c r="N1059" s="1"/>
      <c r="O1059" s="1"/>
      <c r="P1059" s="1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78"/>
      <c r="L1060" s="1"/>
      <c r="M1060" s="1"/>
      <c r="N1060" s="1"/>
      <c r="O1060" s="1"/>
      <c r="P1060" s="1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78"/>
      <c r="L1061" s="1"/>
      <c r="M1061" s="1"/>
      <c r="N1061" s="1"/>
      <c r="O1061" s="1"/>
      <c r="P1061" s="1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78"/>
      <c r="L1062" s="1"/>
      <c r="M1062" s="1"/>
      <c r="N1062" s="1"/>
      <c r="O1062" s="1"/>
      <c r="P1062" s="1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78"/>
      <c r="L1063" s="1"/>
      <c r="M1063" s="1"/>
      <c r="N1063" s="1"/>
      <c r="O1063" s="1"/>
      <c r="P1063" s="1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K1064" si="316">SUM(H1066,H1071,H1076,)</f>
        <v>36000</v>
      </c>
      <c r="I1064" s="178">
        <f t="shared" si="316"/>
        <v>39600</v>
      </c>
      <c r="J1064" s="178">
        <f t="shared" si="316"/>
        <v>43560</v>
      </c>
      <c r="K1064" s="178">
        <f t="shared" si="316"/>
        <v>297516</v>
      </c>
      <c r="L1064" s="223">
        <f>SUM(H1064:K1064)</f>
        <v>416676</v>
      </c>
      <c r="M1064" s="223"/>
      <c r="N1064" s="223"/>
      <c r="O1064" s="223"/>
      <c r="P1064" s="223"/>
      <c r="Q1064" s="223"/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178"/>
      <c r="L1065" s="223"/>
      <c r="M1065" s="223"/>
      <c r="N1065" s="223"/>
      <c r="O1065" s="223"/>
      <c r="P1065" s="223"/>
      <c r="Q1065" s="223"/>
      <c r="R1065" s="223"/>
      <c r="S1065" s="223"/>
    </row>
    <row r="1066" collapsed="1">
      <c r="A1066" s="1"/>
      <c r="B1066" s="1"/>
      <c r="C1066" s="1"/>
      <c r="D1066" s="1"/>
      <c r="E1066" s="13" t="s">
        <v>46</v>
      </c>
      <c r="G1066" s="178"/>
      <c r="H1066" s="178">
        <f t="shared" ref="H1066:K1066" si="317">SUM(H1067:H1069)</f>
        <v>13500</v>
      </c>
      <c r="I1066" s="178">
        <f t="shared" si="317"/>
        <v>14850</v>
      </c>
      <c r="J1066" s="178">
        <f t="shared" si="317"/>
        <v>16335</v>
      </c>
      <c r="K1066" s="178">
        <f t="shared" si="317"/>
        <v>17968.5</v>
      </c>
      <c r="L1066" s="1"/>
      <c r="M1066" s="1"/>
      <c r="N1066" s="1"/>
      <c r="O1066" s="1"/>
      <c r="P1066" s="1"/>
      <c r="Q1066" s="1"/>
      <c r="R1066" s="1"/>
      <c r="S1066" s="1"/>
    </row>
    <row r="1067" hidden="1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K1067" si="318">H571</f>
        <v>0</v>
      </c>
      <c r="I1067" s="178">
        <f t="shared" si="318"/>
        <v>0</v>
      </c>
      <c r="J1067" s="178">
        <f t="shared" si="318"/>
        <v>0</v>
      </c>
      <c r="K1067" s="178">
        <f t="shared" si="318"/>
        <v>0</v>
      </c>
      <c r="L1067" s="1"/>
      <c r="M1067" s="1"/>
      <c r="N1067" s="1"/>
      <c r="O1067" s="1"/>
      <c r="P1067" s="1"/>
      <c r="Q1067" s="1"/>
      <c r="R1067" s="1"/>
      <c r="S1067" s="1"/>
    </row>
    <row r="1068" hidden="1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K1068" si="319">H605</f>
        <v>0</v>
      </c>
      <c r="I1068" s="178">
        <f t="shared" si="319"/>
        <v>0</v>
      </c>
      <c r="J1068" s="178">
        <f t="shared" si="319"/>
        <v>0</v>
      </c>
      <c r="K1068" s="178">
        <f t="shared" si="319"/>
        <v>0</v>
      </c>
      <c r="L1068" s="1"/>
      <c r="M1068" s="1"/>
      <c r="N1068" s="1"/>
      <c r="O1068" s="1"/>
      <c r="P1068" s="1"/>
      <c r="Q1068" s="1"/>
      <c r="R1068" s="1"/>
      <c r="S1068" s="1"/>
    </row>
    <row r="1069" hidden="1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K1069" si="320">H624</f>
        <v>13500</v>
      </c>
      <c r="I1069" s="178">
        <f t="shared" si="320"/>
        <v>14850</v>
      </c>
      <c r="J1069" s="178">
        <f t="shared" si="320"/>
        <v>16335</v>
      </c>
      <c r="K1069" s="178">
        <f t="shared" si="320"/>
        <v>17968.5</v>
      </c>
      <c r="L1069" s="1"/>
      <c r="M1069" s="1"/>
      <c r="N1069" s="1"/>
      <c r="O1069" s="1"/>
      <c r="P1069" s="1"/>
      <c r="Q1069" s="1"/>
      <c r="R1069" s="1"/>
      <c r="S1069" s="1"/>
    </row>
    <row r="1070" hidden="1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78"/>
      <c r="L1070" s="1"/>
      <c r="M1070" s="1"/>
      <c r="N1070" s="1"/>
      <c r="O1070" s="1"/>
      <c r="P1070" s="1"/>
      <c r="Q1070" s="1"/>
      <c r="R1070" s="1"/>
      <c r="S1070" s="1"/>
    </row>
    <row r="1071" collapsed="1">
      <c r="A1071" s="1"/>
      <c r="B1071" s="1"/>
      <c r="C1071" s="1"/>
      <c r="D1071" s="1"/>
      <c r="E1071" s="13" t="s">
        <v>47</v>
      </c>
      <c r="G1071" s="178"/>
      <c r="H1071" s="178">
        <f t="shared" ref="H1071:K1071" si="321">SUM(H1072:H1074)</f>
        <v>22500</v>
      </c>
      <c r="I1071" s="178">
        <f t="shared" si="321"/>
        <v>24750</v>
      </c>
      <c r="J1071" s="178">
        <f t="shared" si="321"/>
        <v>27225</v>
      </c>
      <c r="K1071" s="178">
        <f t="shared" si="321"/>
        <v>29947.5</v>
      </c>
      <c r="L1071" s="1"/>
      <c r="M1071" s="1"/>
      <c r="N1071" s="1"/>
      <c r="O1071" s="1"/>
      <c r="P1071" s="1"/>
      <c r="Q1071" s="1"/>
      <c r="R1071" s="1"/>
      <c r="S1071" s="1"/>
    </row>
    <row r="1072" hidden="1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K1072" si="322">H646</f>
        <v>0</v>
      </c>
      <c r="I1072" s="178">
        <f t="shared" si="322"/>
        <v>0</v>
      </c>
      <c r="J1072" s="178">
        <f t="shared" si="322"/>
        <v>0</v>
      </c>
      <c r="K1072" s="178">
        <f t="shared" si="322"/>
        <v>0</v>
      </c>
      <c r="L1072" s="1"/>
      <c r="M1072" s="1"/>
      <c r="N1072" s="1"/>
      <c r="O1072" s="1"/>
      <c r="P1072" s="1"/>
      <c r="Q1072" s="1"/>
      <c r="R1072" s="1"/>
      <c r="S1072" s="1"/>
    </row>
    <row r="1073" hidden="1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K1073" si="323">H679</f>
        <v>0</v>
      </c>
      <c r="I1073" s="178">
        <f t="shared" si="323"/>
        <v>0</v>
      </c>
      <c r="J1073" s="178">
        <f t="shared" si="323"/>
        <v>0</v>
      </c>
      <c r="K1073" s="178">
        <f t="shared" si="323"/>
        <v>0</v>
      </c>
      <c r="L1073" s="1"/>
      <c r="M1073" s="1"/>
      <c r="N1073" s="1"/>
      <c r="O1073" s="1"/>
      <c r="P1073" s="1"/>
      <c r="Q1073" s="1"/>
      <c r="R1073" s="1"/>
      <c r="S1073" s="1"/>
    </row>
    <row r="1074" hidden="1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K1074" si="324">H698</f>
        <v>22500</v>
      </c>
      <c r="I1074" s="178">
        <f t="shared" si="324"/>
        <v>24750</v>
      </c>
      <c r="J1074" s="178">
        <f t="shared" si="324"/>
        <v>27225</v>
      </c>
      <c r="K1074" s="178">
        <f t="shared" si="324"/>
        <v>29947.5</v>
      </c>
      <c r="L1074" s="1"/>
      <c r="M1074" s="1"/>
      <c r="N1074" s="1"/>
      <c r="O1074" s="1"/>
      <c r="P1074" s="1"/>
      <c r="Q1074" s="1"/>
      <c r="R1074" s="1"/>
      <c r="S1074" s="1"/>
    </row>
    <row r="1075" hidden="1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78"/>
      <c r="L1075" s="1"/>
      <c r="M1075" s="1"/>
      <c r="N1075" s="1"/>
      <c r="O1075" s="1"/>
      <c r="P1075" s="1"/>
      <c r="Q1075" s="1"/>
      <c r="R1075" s="1"/>
      <c r="S1075" s="1"/>
    </row>
    <row r="1076" collapsed="1">
      <c r="A1076" s="1"/>
      <c r="B1076" s="1"/>
      <c r="C1076" s="1"/>
      <c r="D1076" s="1"/>
      <c r="E1076" s="13" t="s">
        <v>48</v>
      </c>
      <c r="G1076" s="178"/>
      <c r="H1076" s="178">
        <f t="shared" ref="H1076:K1076" si="325">SUM(H1077:H1079)</f>
        <v>0</v>
      </c>
      <c r="I1076" s="178">
        <f t="shared" si="325"/>
        <v>0</v>
      </c>
      <c r="J1076" s="178">
        <f t="shared" si="325"/>
        <v>0</v>
      </c>
      <c r="K1076" s="178">
        <f t="shared" si="325"/>
        <v>249600</v>
      </c>
      <c r="L1076" s="1"/>
      <c r="M1076" s="1"/>
      <c r="N1076" s="1"/>
      <c r="O1076" s="1"/>
      <c r="P1076" s="1"/>
      <c r="Q1076" s="1"/>
      <c r="R1076" s="1"/>
      <c r="S1076" s="1"/>
    </row>
    <row r="1077" hidden="1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K1077" si="326">H720</f>
        <v>0</v>
      </c>
      <c r="I1077" s="178">
        <f t="shared" si="326"/>
        <v>0</v>
      </c>
      <c r="J1077" s="178">
        <f t="shared" si="326"/>
        <v>0</v>
      </c>
      <c r="K1077" s="178">
        <f t="shared" si="326"/>
        <v>249600</v>
      </c>
      <c r="L1077" s="1"/>
      <c r="M1077" s="1"/>
      <c r="N1077" s="1"/>
      <c r="O1077" s="1"/>
      <c r="P1077" s="1"/>
      <c r="Q1077" s="1"/>
      <c r="R1077" s="1"/>
      <c r="S1077" s="1"/>
    </row>
    <row r="1078" hidden="1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K1078" si="327">H754</f>
        <v>0</v>
      </c>
      <c r="I1078" s="178">
        <f t="shared" si="327"/>
        <v>0</v>
      </c>
      <c r="J1078" s="178">
        <f t="shared" si="327"/>
        <v>0</v>
      </c>
      <c r="K1078" s="178">
        <f t="shared" si="327"/>
        <v>0</v>
      </c>
      <c r="L1078" s="1"/>
      <c r="M1078" s="1"/>
      <c r="N1078" s="1"/>
      <c r="O1078" s="1"/>
      <c r="P1078" s="1"/>
      <c r="Q1078" s="1"/>
      <c r="R1078" s="1"/>
      <c r="S1078" s="1"/>
    </row>
    <row r="1079" hidden="1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K1079" si="328">H774</f>
        <v>0</v>
      </c>
      <c r="I1079" s="178">
        <f t="shared" si="328"/>
        <v>0</v>
      </c>
      <c r="J1079" s="178">
        <f t="shared" si="328"/>
        <v>0</v>
      </c>
      <c r="K1079" s="178">
        <f t="shared" si="328"/>
        <v>0</v>
      </c>
      <c r="L1079" s="1"/>
      <c r="M1079" s="1"/>
      <c r="N1079" s="1"/>
      <c r="O1079" s="1"/>
      <c r="P1079" s="1"/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78"/>
      <c r="L1080" s="1"/>
      <c r="M1080" s="1"/>
      <c r="N1080" s="1"/>
      <c r="O1080" s="1"/>
      <c r="P1080" s="1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K1081" si="329">SUM(H1083,H1090,H1097,H1104,H1111,)</f>
        <v>0</v>
      </c>
      <c r="I1081" s="178">
        <f t="shared" si="329"/>
        <v>8572000</v>
      </c>
      <c r="J1081" s="178">
        <f t="shared" si="329"/>
        <v>5534000</v>
      </c>
      <c r="K1081" s="178">
        <f t="shared" si="329"/>
        <v>4026000</v>
      </c>
      <c r="L1081" s="223">
        <f>SUM(H1081:K1081)</f>
        <v>18132000</v>
      </c>
      <c r="M1081" s="223"/>
      <c r="N1081" s="223"/>
      <c r="O1081" s="223"/>
      <c r="P1081" s="223"/>
      <c r="Q1081" s="223"/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178"/>
      <c r="L1082" s="223"/>
      <c r="M1082" s="223"/>
      <c r="N1082" s="223"/>
      <c r="O1082" s="223"/>
      <c r="P1082" s="223"/>
      <c r="Q1082" s="223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K1083" si="330">SUM(H1084:H1088)</f>
        <v>0</v>
      </c>
      <c r="I1083" s="178">
        <f t="shared" si="330"/>
        <v>0</v>
      </c>
      <c r="J1083" s="178">
        <f t="shared" si="330"/>
        <v>320000</v>
      </c>
      <c r="K1083" s="178">
        <f t="shared" si="330"/>
        <v>0</v>
      </c>
      <c r="L1083" s="1"/>
      <c r="M1083" s="1"/>
      <c r="N1083" s="1"/>
      <c r="O1083" s="1"/>
      <c r="P1083" s="1"/>
      <c r="Q1083" s="1"/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K1084" si="331">H827</f>
        <v>0</v>
      </c>
      <c r="I1084" s="179">
        <f t="shared" si="331"/>
        <v>0</v>
      </c>
      <c r="J1084" s="179">
        <f t="shared" si="331"/>
        <v>280000</v>
      </c>
      <c r="K1084" s="179">
        <f t="shared" si="331"/>
        <v>0</v>
      </c>
      <c r="L1084" s="1"/>
      <c r="M1084" s="1"/>
      <c r="N1084" s="1"/>
      <c r="O1084" s="1"/>
      <c r="P1084" s="1"/>
      <c r="Q1084" s="1"/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K1085" si="332">H830</f>
        <v>0</v>
      </c>
      <c r="I1085" s="179">
        <f t="shared" si="332"/>
        <v>0</v>
      </c>
      <c r="J1085" s="179">
        <f t="shared" si="332"/>
        <v>40000</v>
      </c>
      <c r="K1085" s="179">
        <f t="shared" si="332"/>
        <v>0</v>
      </c>
      <c r="L1085" s="1"/>
      <c r="M1085" s="1"/>
      <c r="N1085" s="1"/>
      <c r="O1085" s="1"/>
      <c r="P1085" s="1"/>
      <c r="Q1085" s="1"/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K1086" si="333">H833</f>
        <v>0</v>
      </c>
      <c r="I1086" s="179">
        <f t="shared" si="333"/>
        <v>0</v>
      </c>
      <c r="J1086" s="179">
        <f t="shared" si="333"/>
        <v>0</v>
      </c>
      <c r="K1086" s="179">
        <f t="shared" si="333"/>
        <v>0</v>
      </c>
      <c r="L1086" s="1"/>
      <c r="M1086" s="1"/>
      <c r="N1086" s="1"/>
      <c r="O1086" s="1"/>
      <c r="P1086" s="1"/>
      <c r="Q1086" s="1"/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K1087" si="334">H836</f>
        <v>0</v>
      </c>
      <c r="I1087" s="179">
        <f t="shared" si="334"/>
        <v>0</v>
      </c>
      <c r="J1087" s="179">
        <f t="shared" si="334"/>
        <v>0</v>
      </c>
      <c r="K1087" s="179">
        <f t="shared" si="334"/>
        <v>0</v>
      </c>
      <c r="L1087" s="1"/>
      <c r="M1087" s="1"/>
      <c r="N1087" s="1"/>
      <c r="O1087" s="1"/>
      <c r="P1087" s="1"/>
      <c r="Q1087" s="1"/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K1088" si="335">H839</f>
        <v>0</v>
      </c>
      <c r="I1088" s="179">
        <f t="shared" si="335"/>
        <v>0</v>
      </c>
      <c r="J1088" s="179">
        <f t="shared" si="335"/>
        <v>0</v>
      </c>
      <c r="K1088" s="179">
        <f t="shared" si="335"/>
        <v>0</v>
      </c>
      <c r="L1088" s="1"/>
      <c r="M1088" s="1"/>
      <c r="N1088" s="1"/>
      <c r="O1088" s="1"/>
      <c r="P1088" s="1"/>
      <c r="Q1088" s="1"/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78"/>
      <c r="L1089" s="1"/>
      <c r="M1089" s="1"/>
      <c r="N1089" s="1"/>
      <c r="O1089" s="1"/>
      <c r="P1089" s="1"/>
      <c r="Q1089" s="1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K1090" si="336">SUM(H1091:H1095)</f>
        <v>0</v>
      </c>
      <c r="I1090" s="178">
        <f t="shared" si="336"/>
        <v>0</v>
      </c>
      <c r="J1090" s="178">
        <f t="shared" si="336"/>
        <v>660000</v>
      </c>
      <c r="K1090" s="178">
        <f t="shared" si="336"/>
        <v>0</v>
      </c>
      <c r="L1090" s="1"/>
      <c r="M1090" s="1"/>
      <c r="N1090" s="1"/>
      <c r="O1090" s="1"/>
      <c r="P1090" s="1"/>
      <c r="Q1090" s="1"/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K1091" si="337">H872</f>
        <v>0</v>
      </c>
      <c r="I1091" s="179">
        <f t="shared" si="337"/>
        <v>0</v>
      </c>
      <c r="J1091" s="179">
        <f t="shared" si="337"/>
        <v>300000</v>
      </c>
      <c r="K1091" s="179">
        <f t="shared" si="337"/>
        <v>0</v>
      </c>
      <c r="L1091" s="1"/>
      <c r="M1091" s="1"/>
      <c r="N1091" s="1"/>
      <c r="O1091" s="1"/>
      <c r="P1091" s="1"/>
      <c r="Q1091" s="1"/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K1092" si="338">H875</f>
        <v>0</v>
      </c>
      <c r="I1092" s="179">
        <f t="shared" si="338"/>
        <v>0</v>
      </c>
      <c r="J1092" s="179">
        <f t="shared" si="338"/>
        <v>120000</v>
      </c>
      <c r="K1092" s="179">
        <f t="shared" si="338"/>
        <v>0</v>
      </c>
      <c r="L1092" s="1"/>
      <c r="M1092" s="1"/>
      <c r="N1092" s="1"/>
      <c r="O1092" s="1"/>
      <c r="P1092" s="1"/>
      <c r="Q1092" s="1"/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K1093" si="339">H878</f>
        <v>0</v>
      </c>
      <c r="I1093" s="179">
        <f t="shared" si="339"/>
        <v>0</v>
      </c>
      <c r="J1093" s="179">
        <f t="shared" si="339"/>
        <v>24000</v>
      </c>
      <c r="K1093" s="179">
        <f t="shared" si="339"/>
        <v>0</v>
      </c>
      <c r="L1093" s="1"/>
      <c r="M1093" s="1"/>
      <c r="N1093" s="1"/>
      <c r="O1093" s="1"/>
      <c r="P1093" s="1"/>
      <c r="Q1093" s="1"/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K1094" si="340">H881</f>
        <v>0</v>
      </c>
      <c r="I1094" s="179">
        <f t="shared" si="340"/>
        <v>0</v>
      </c>
      <c r="J1094" s="179">
        <f t="shared" si="340"/>
        <v>216000</v>
      </c>
      <c r="K1094" s="179">
        <f t="shared" si="340"/>
        <v>0</v>
      </c>
      <c r="L1094" s="1"/>
      <c r="M1094" s="1"/>
      <c r="N1094" s="1"/>
      <c r="O1094" s="1"/>
      <c r="P1094" s="1"/>
      <c r="Q1094" s="1"/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K1095" si="341">H884</f>
        <v>0</v>
      </c>
      <c r="I1095" s="179">
        <f t="shared" si="341"/>
        <v>0</v>
      </c>
      <c r="J1095" s="179">
        <f t="shared" si="341"/>
        <v>0</v>
      </c>
      <c r="K1095" s="179">
        <f t="shared" si="341"/>
        <v>0</v>
      </c>
      <c r="L1095" s="1"/>
      <c r="M1095" s="1"/>
      <c r="N1095" s="1"/>
      <c r="O1095" s="1"/>
      <c r="P1095" s="1"/>
      <c r="Q1095" s="1"/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K1097" si="342">SUM(H1098:H1102)</f>
        <v>0</v>
      </c>
      <c r="I1097" s="178">
        <f t="shared" si="342"/>
        <v>4624000</v>
      </c>
      <c r="J1097" s="178">
        <f t="shared" si="342"/>
        <v>2452000</v>
      </c>
      <c r="K1097" s="178">
        <f t="shared" si="342"/>
        <v>2172000</v>
      </c>
      <c r="L1097" s="1"/>
      <c r="M1097" s="1"/>
      <c r="N1097" s="1"/>
      <c r="O1097" s="1"/>
      <c r="P1097" s="1"/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K1098" si="343">H917</f>
        <v>0</v>
      </c>
      <c r="I1098" s="180">
        <f t="shared" si="343"/>
        <v>1280000</v>
      </c>
      <c r="J1098" s="180">
        <f t="shared" si="343"/>
        <v>680000</v>
      </c>
      <c r="K1098" s="180">
        <f t="shared" si="343"/>
        <v>600000</v>
      </c>
      <c r="L1098" s="1"/>
      <c r="M1098" s="1"/>
      <c r="N1098" s="1"/>
      <c r="O1098" s="1"/>
      <c r="P1098" s="1"/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K1099" si="344">H920</f>
        <v>0</v>
      </c>
      <c r="I1099" s="170">
        <f t="shared" si="344"/>
        <v>890000</v>
      </c>
      <c r="J1099" s="170">
        <f t="shared" si="344"/>
        <v>470000</v>
      </c>
      <c r="K1099" s="170">
        <f t="shared" si="344"/>
        <v>420000</v>
      </c>
      <c r="L1099" s="1"/>
      <c r="M1099" s="1"/>
      <c r="N1099" s="1"/>
      <c r="O1099" s="1"/>
      <c r="P1099" s="1"/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K1100" si="345">H923</f>
        <v>0</v>
      </c>
      <c r="I1100" s="170">
        <f t="shared" si="345"/>
        <v>312000</v>
      </c>
      <c r="J1100" s="170">
        <f t="shared" si="345"/>
        <v>168000</v>
      </c>
      <c r="K1100" s="170">
        <f t="shared" si="345"/>
        <v>144000</v>
      </c>
      <c r="L1100" s="1"/>
      <c r="M1100" s="1"/>
      <c r="N1100" s="1"/>
      <c r="O1100" s="1"/>
      <c r="P1100" s="1"/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K1101" si="346">H926</f>
        <v>0</v>
      </c>
      <c r="I1101" s="170">
        <f t="shared" si="346"/>
        <v>2142000</v>
      </c>
      <c r="J1101" s="170">
        <f t="shared" si="346"/>
        <v>1134000</v>
      </c>
      <c r="K1101" s="170">
        <f t="shared" si="346"/>
        <v>1008000</v>
      </c>
      <c r="L1101" s="1"/>
      <c r="M1101" s="1"/>
      <c r="N1101" s="1"/>
      <c r="O1101" s="1"/>
      <c r="P1101" s="1"/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K1102" si="347">H929</f>
        <v>0</v>
      </c>
      <c r="I1102" s="170">
        <f t="shared" si="347"/>
        <v>0</v>
      </c>
      <c r="J1102" s="170">
        <f t="shared" si="347"/>
        <v>0</v>
      </c>
      <c r="K1102" s="170">
        <f t="shared" si="347"/>
        <v>0</v>
      </c>
      <c r="L1102" s="1"/>
      <c r="M1102" s="1"/>
      <c r="N1102" s="1"/>
      <c r="O1102" s="1"/>
      <c r="P1102" s="1"/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K1104" si="348">SUM(H1105:H1109)</f>
        <v>0</v>
      </c>
      <c r="I1104" s="178">
        <f t="shared" si="348"/>
        <v>2920000</v>
      </c>
      <c r="J1104" s="178">
        <f t="shared" si="348"/>
        <v>1556000</v>
      </c>
      <c r="K1104" s="178">
        <f t="shared" si="348"/>
        <v>1372000</v>
      </c>
      <c r="L1104" s="1"/>
      <c r="M1104" s="1"/>
      <c r="N1104" s="1"/>
      <c r="O1104" s="1"/>
      <c r="P1104" s="1"/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K1105" si="349">H963</f>
        <v>0</v>
      </c>
      <c r="I1105" s="170">
        <f t="shared" si="349"/>
        <v>1600000</v>
      </c>
      <c r="J1105" s="170">
        <f t="shared" si="349"/>
        <v>856000</v>
      </c>
      <c r="K1105" s="170">
        <f t="shared" si="349"/>
        <v>752000</v>
      </c>
      <c r="L1105" s="1"/>
      <c r="M1105" s="1"/>
      <c r="N1105" s="1"/>
      <c r="O1105" s="1"/>
      <c r="P1105" s="1"/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K1106" si="350">H966</f>
        <v>0</v>
      </c>
      <c r="I1106" s="170">
        <f t="shared" si="350"/>
        <v>1320000</v>
      </c>
      <c r="J1106" s="170">
        <f t="shared" si="350"/>
        <v>700000</v>
      </c>
      <c r="K1106" s="170">
        <f t="shared" si="350"/>
        <v>620000</v>
      </c>
      <c r="L1106" s="1"/>
      <c r="M1106" s="1"/>
      <c r="N1106" s="1"/>
      <c r="O1106" s="1"/>
      <c r="P1106" s="1"/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K1107" si="351">H969</f>
        <v>0</v>
      </c>
      <c r="I1107" s="170">
        <f t="shared" si="351"/>
        <v>0</v>
      </c>
      <c r="J1107" s="170">
        <f t="shared" si="351"/>
        <v>0</v>
      </c>
      <c r="K1107" s="170">
        <f t="shared" si="351"/>
        <v>0</v>
      </c>
      <c r="L1107" s="1"/>
      <c r="M1107" s="1"/>
      <c r="N1107" s="1"/>
      <c r="O1107" s="1"/>
      <c r="P1107" s="1"/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K1108" si="352">H972</f>
        <v>0</v>
      </c>
      <c r="I1108" s="170">
        <f t="shared" si="352"/>
        <v>0</v>
      </c>
      <c r="J1108" s="170">
        <f t="shared" si="352"/>
        <v>0</v>
      </c>
      <c r="K1108" s="170">
        <f t="shared" si="352"/>
        <v>0</v>
      </c>
      <c r="L1108" s="1"/>
      <c r="M1108" s="1"/>
      <c r="N1108" s="1"/>
      <c r="O1108" s="1"/>
      <c r="P1108" s="1"/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K1109" si="353">H975</f>
        <v>0</v>
      </c>
      <c r="I1109" s="170">
        <f t="shared" si="353"/>
        <v>0</v>
      </c>
      <c r="J1109" s="170">
        <f t="shared" si="353"/>
        <v>0</v>
      </c>
      <c r="K1109" s="170">
        <f t="shared" si="353"/>
        <v>0</v>
      </c>
      <c r="L1109" s="1"/>
      <c r="M1109" s="1"/>
      <c r="N1109" s="1"/>
      <c r="O1109" s="1"/>
      <c r="P1109" s="1"/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K1111" si="354">SUM(H1112:H1116)</f>
        <v>0</v>
      </c>
      <c r="I1111" s="178">
        <f t="shared" si="354"/>
        <v>1028000</v>
      </c>
      <c r="J1111" s="178">
        <f t="shared" si="354"/>
        <v>546000</v>
      </c>
      <c r="K1111" s="178">
        <f t="shared" si="354"/>
        <v>482000</v>
      </c>
      <c r="L1111" s="1"/>
      <c r="M1111" s="1"/>
      <c r="N1111" s="1"/>
      <c r="O1111" s="1"/>
      <c r="P1111" s="1"/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K1112" si="355">H1008</f>
        <v>0</v>
      </c>
      <c r="I1112" s="170">
        <f t="shared" si="355"/>
        <v>680000</v>
      </c>
      <c r="J1112" s="170">
        <f t="shared" si="355"/>
        <v>360000</v>
      </c>
      <c r="K1112" s="170">
        <f t="shared" si="355"/>
        <v>320000</v>
      </c>
      <c r="L1112" s="223"/>
      <c r="M1112" s="223"/>
      <c r="N1112" s="223"/>
      <c r="O1112" s="223"/>
      <c r="P1112" s="223"/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K1113" si="356">H1011</f>
        <v>0</v>
      </c>
      <c r="I1113" s="170">
        <f t="shared" si="356"/>
        <v>348000</v>
      </c>
      <c r="J1113" s="170">
        <f t="shared" si="356"/>
        <v>186000</v>
      </c>
      <c r="K1113" s="170">
        <f t="shared" si="356"/>
        <v>162000</v>
      </c>
      <c r="L1113" s="1"/>
      <c r="M1113" s="1"/>
      <c r="N1113" s="1"/>
      <c r="O1113" s="1"/>
      <c r="P1113" s="1"/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K1114" si="357">H1014</f>
        <v>0</v>
      </c>
      <c r="I1114" s="170">
        <f t="shared" si="357"/>
        <v>0</v>
      </c>
      <c r="J1114" s="170">
        <f t="shared" si="357"/>
        <v>0</v>
      </c>
      <c r="K1114" s="170">
        <f t="shared" si="357"/>
        <v>0</v>
      </c>
      <c r="L1114" s="1"/>
      <c r="M1114" s="1"/>
      <c r="N1114" s="1"/>
      <c r="O1114" s="1"/>
      <c r="P1114" s="1"/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K1115" si="358">H1017</f>
        <v>0</v>
      </c>
      <c r="I1115" s="170">
        <f t="shared" si="358"/>
        <v>0</v>
      </c>
      <c r="J1115" s="170">
        <f t="shared" si="358"/>
        <v>0</v>
      </c>
      <c r="K1115" s="170">
        <f t="shared" si="358"/>
        <v>0</v>
      </c>
      <c r="L1115" s="1"/>
      <c r="M1115" s="1"/>
      <c r="N1115" s="1"/>
      <c r="O1115" s="1"/>
      <c r="P1115" s="1"/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K1116" si="359">H1020</f>
        <v>0</v>
      </c>
      <c r="I1116" s="170">
        <f t="shared" si="359"/>
        <v>0</v>
      </c>
      <c r="J1116" s="170">
        <f t="shared" si="359"/>
        <v>0</v>
      </c>
      <c r="K1116" s="170">
        <f t="shared" si="359"/>
        <v>0</v>
      </c>
      <c r="L1116" s="1"/>
      <c r="M1116" s="1"/>
      <c r="N1116" s="1"/>
      <c r="O1116" s="1"/>
      <c r="P1116" s="1"/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L1:L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10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5" t="s">
        <v>1</v>
      </c>
      <c r="L1" s="6"/>
      <c r="M1" s="6"/>
      <c r="N1" s="6"/>
      <c r="O1" s="6"/>
      <c r="P1" s="6"/>
      <c r="Q1" s="6"/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412</v>
      </c>
      <c r="I2" s="9">
        <f t="shared" ref="I2:J2" si="1">H2+1</f>
        <v>11</v>
      </c>
      <c r="J2" s="9">
        <f t="shared" si="1"/>
        <v>12</v>
      </c>
      <c r="K2" s="10"/>
      <c r="L2" s="6"/>
      <c r="M2" s="6"/>
      <c r="N2" s="6"/>
      <c r="O2" s="6"/>
      <c r="P2" s="6"/>
      <c r="Q2" s="6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12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13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15"/>
      <c r="K5" s="124"/>
      <c r="L5" s="124"/>
      <c r="M5" s="124"/>
      <c r="N5" s="124"/>
      <c r="O5" s="124"/>
      <c r="P5" s="124"/>
      <c r="Q5" s="124"/>
      <c r="R5" s="124"/>
      <c r="S5" s="124"/>
    </row>
    <row r="6">
      <c r="A6" s="1"/>
      <c r="B6" s="1"/>
      <c r="C6" s="1"/>
      <c r="D6" s="1"/>
      <c r="E6" s="1"/>
      <c r="F6" s="1"/>
      <c r="G6" s="115"/>
      <c r="H6" s="115"/>
      <c r="I6" s="115"/>
      <c r="J6" s="115"/>
      <c r="K6" s="125"/>
      <c r="L6" s="125"/>
      <c r="M6" s="125"/>
      <c r="N6" s="125"/>
      <c r="O6" s="125"/>
      <c r="P6" s="125"/>
      <c r="Q6" s="125"/>
      <c r="R6" s="125"/>
      <c r="S6" s="125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18"/>
      <c r="K7" s="123"/>
      <c r="L7" s="123"/>
      <c r="M7" s="123"/>
      <c r="N7" s="123"/>
      <c r="O7" s="123"/>
      <c r="P7" s="123"/>
      <c r="Q7" s="123"/>
      <c r="R7" s="123"/>
      <c r="S7" s="123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- 2026'!Q6</f>
        <v>6778080.706</v>
      </c>
      <c r="I8" s="120"/>
      <c r="J8" s="120"/>
      <c r="K8" s="130"/>
      <c r="L8" s="130"/>
      <c r="M8" s="130"/>
      <c r="N8" s="130"/>
      <c r="O8" s="130"/>
      <c r="P8" s="130"/>
      <c r="Q8" s="130"/>
      <c r="R8" s="130"/>
      <c r="S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- 2026'!Q9</f>
        <v>458.1385498</v>
      </c>
      <c r="I9" s="122"/>
      <c r="J9" s="122"/>
      <c r="K9" s="130"/>
      <c r="L9" s="130"/>
      <c r="M9" s="130"/>
      <c r="N9" s="130"/>
      <c r="O9" s="130"/>
      <c r="P9" s="130"/>
      <c r="Q9" s="130"/>
      <c r="R9" s="130"/>
      <c r="S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14794.82726</v>
      </c>
      <c r="I10" s="123"/>
      <c r="J10" s="123"/>
      <c r="K10" s="130"/>
      <c r="L10" s="130"/>
      <c r="M10" s="130"/>
      <c r="N10" s="130"/>
      <c r="O10" s="130"/>
      <c r="P10" s="130"/>
      <c r="Q10" s="130"/>
      <c r="R10" s="130"/>
      <c r="S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2961.827261</v>
      </c>
      <c r="I11" s="124"/>
      <c r="J11" s="124"/>
      <c r="K11" s="130"/>
      <c r="L11" s="130"/>
      <c r="M11" s="130"/>
      <c r="N11" s="130"/>
      <c r="O11" s="130"/>
      <c r="P11" s="130"/>
      <c r="Q11" s="130"/>
      <c r="R11" s="130"/>
      <c r="S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11833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2">ROUNDDOWN(($H$10*$H$12)*H14,0)</f>
        <v>544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2"/>
        <v>604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2"/>
        <v>2394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2"/>
        <v>5633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2"/>
        <v>2658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572.8116882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18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15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11833</v>
      </c>
      <c r="I29" s="115"/>
      <c r="J29" s="115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0.2926561312</v>
      </c>
      <c r="I30" s="134"/>
      <c r="J30" s="134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3463</v>
      </c>
      <c r="I31" s="115"/>
      <c r="J31" s="115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35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15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544</v>
      </c>
      <c r="I34" s="115"/>
      <c r="J34" s="115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26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108</v>
      </c>
      <c r="I36" s="115"/>
      <c r="J36" s="115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15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15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604</v>
      </c>
      <c r="I39" s="115"/>
      <c r="J39" s="115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26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151</v>
      </c>
      <c r="I41" s="115"/>
      <c r="J41" s="115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15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15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2394</v>
      </c>
      <c r="I44" s="115"/>
      <c r="J44" s="115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26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718</v>
      </c>
      <c r="I46" s="115"/>
      <c r="J46" s="115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15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15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5633</v>
      </c>
      <c r="I49" s="115"/>
      <c r="J49" s="115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26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1689</v>
      </c>
      <c r="I51" s="115"/>
      <c r="J51" s="115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15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15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2658</v>
      </c>
      <c r="I54" s="115"/>
      <c r="J54" s="115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26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797</v>
      </c>
      <c r="I56" s="115"/>
      <c r="J56" s="115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15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15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18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15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3463</v>
      </c>
      <c r="I61" s="115"/>
      <c r="J61" s="115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1.073852151</v>
      </c>
      <c r="I62" s="138"/>
      <c r="J62" s="138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3718.75</v>
      </c>
      <c r="I63" s="115"/>
      <c r="J63" s="115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15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15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108</v>
      </c>
      <c r="I66" s="115"/>
      <c r="J66" s="115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26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115</v>
      </c>
      <c r="I68" s="115"/>
      <c r="J68" s="115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92</v>
      </c>
      <c r="I69" s="115"/>
      <c r="J69" s="115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23</v>
      </c>
      <c r="I70" s="115"/>
      <c r="J70" s="115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15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26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151</v>
      </c>
      <c r="I73" s="115"/>
      <c r="J73" s="115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15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161.25</v>
      </c>
      <c r="I75" s="115"/>
      <c r="J75" s="115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129</v>
      </c>
      <c r="I76" s="115"/>
      <c r="J76" s="115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32.25</v>
      </c>
      <c r="I77" s="126"/>
      <c r="J77" s="126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15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15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718</v>
      </c>
      <c r="I80" s="115"/>
      <c r="J80" s="115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15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771.25</v>
      </c>
      <c r="I82" s="126"/>
      <c r="J82" s="126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617</v>
      </c>
      <c r="I83" s="115"/>
      <c r="J83" s="115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154.25</v>
      </c>
      <c r="I84" s="115"/>
      <c r="J84" s="115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15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15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1689</v>
      </c>
      <c r="I87" s="126"/>
      <c r="J87" s="126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15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1815</v>
      </c>
      <c r="I89" s="115"/>
      <c r="J89" s="115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1452</v>
      </c>
      <c r="I90" s="115"/>
      <c r="J90" s="115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363</v>
      </c>
      <c r="I91" s="115"/>
      <c r="J91" s="115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15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15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797</v>
      </c>
      <c r="I94" s="115"/>
      <c r="J94" s="115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15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856.25</v>
      </c>
      <c r="I96" s="115"/>
      <c r="J96" s="115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685</v>
      </c>
      <c r="I97" s="115"/>
      <c r="J97" s="115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171.25</v>
      </c>
      <c r="I98" s="115"/>
      <c r="J98" s="115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15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15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18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15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3718.75</v>
      </c>
      <c r="I103" s="115"/>
      <c r="J103" s="115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0.3001008403</v>
      </c>
      <c r="I104" s="143"/>
      <c r="J104" s="143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0.09431251585</v>
      </c>
      <c r="I105" s="143"/>
      <c r="J105" s="143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1116</v>
      </c>
      <c r="I106" s="115"/>
      <c r="J106" s="115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46095.78853</v>
      </c>
      <c r="I107" s="115"/>
      <c r="J107" s="115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51442900</v>
      </c>
      <c r="I108" s="115"/>
      <c r="J108" s="115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15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43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115</v>
      </c>
      <c r="I111" s="135"/>
      <c r="J111" s="135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29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0.06433823529</v>
      </c>
      <c r="I113" s="143"/>
      <c r="J113" s="143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35</v>
      </c>
      <c r="I114" s="148"/>
      <c r="J114" s="148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122611.4286</v>
      </c>
      <c r="I115" s="150"/>
      <c r="J115" s="150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4291400</v>
      </c>
      <c r="I116" s="150"/>
      <c r="J116" s="150"/>
      <c r="K116" s="1"/>
      <c r="L116" s="1"/>
      <c r="M116" s="1"/>
      <c r="N116" s="1"/>
      <c r="O116" s="1"/>
      <c r="P116" s="1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53"/>
      <c r="K117" s="1"/>
      <c r="L117" s="1"/>
      <c r="M117" s="1"/>
      <c r="N117" s="1"/>
      <c r="O117" s="1"/>
      <c r="P117" s="1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53"/>
      <c r="K118" s="1"/>
      <c r="L118" s="1"/>
      <c r="M118" s="1"/>
      <c r="N118" s="1"/>
      <c r="O118" s="1"/>
      <c r="P118" s="1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55"/>
      <c r="K119" s="1"/>
      <c r="L119" s="1"/>
      <c r="M119" s="1"/>
      <c r="N119" s="1"/>
      <c r="O119" s="1"/>
      <c r="P119" s="1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55"/>
      <c r="K120" s="1"/>
      <c r="L120" s="1"/>
      <c r="M120" s="1"/>
      <c r="N120" s="1"/>
      <c r="O120" s="1"/>
      <c r="P120" s="1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55"/>
      <c r="K121" s="1"/>
      <c r="L121" s="1"/>
      <c r="M121" s="1"/>
      <c r="N121" s="1"/>
      <c r="O121" s="1"/>
      <c r="P121" s="1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150000.0</v>
      </c>
      <c r="I122" s="157"/>
      <c r="J122" s="157"/>
      <c r="K122" s="1"/>
      <c r="L122" s="1"/>
      <c r="M122" s="1"/>
      <c r="N122" s="1"/>
      <c r="O122" s="1"/>
      <c r="P122" s="1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57"/>
      <c r="K123" s="1"/>
      <c r="L123" s="1"/>
      <c r="M123" s="1"/>
      <c r="N123" s="1"/>
      <c r="O123" s="1"/>
      <c r="P123" s="1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57"/>
      <c r="K124" s="1"/>
      <c r="L124" s="1"/>
      <c r="M124" s="1"/>
      <c r="N124" s="1"/>
      <c r="O124" s="1"/>
      <c r="P124" s="1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57"/>
      <c r="K125" s="1"/>
      <c r="L125" s="1"/>
      <c r="M125" s="1"/>
      <c r="N125" s="1"/>
      <c r="O125" s="1"/>
      <c r="P125" s="1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59"/>
      <c r="K126" s="1"/>
      <c r="L126" s="1"/>
      <c r="M126" s="1"/>
      <c r="N126" s="1"/>
      <c r="O126" s="1"/>
      <c r="P126" s="1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62"/>
      <c r="K127" s="1"/>
      <c r="L127" s="1"/>
      <c r="M127" s="1"/>
      <c r="N127" s="1"/>
      <c r="O127" s="1"/>
      <c r="P127" s="1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21</v>
      </c>
      <c r="I128" s="148"/>
      <c r="J128" s="148"/>
      <c r="K128" s="1"/>
      <c r="L128" s="1"/>
      <c r="M128" s="1"/>
      <c r="N128" s="1"/>
      <c r="O128" s="1"/>
      <c r="P128" s="1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3150000</v>
      </c>
      <c r="I129" s="150"/>
      <c r="J129" s="150"/>
      <c r="K129" s="1"/>
      <c r="L129" s="1"/>
      <c r="M129" s="1"/>
      <c r="N129" s="1"/>
      <c r="O129" s="1"/>
      <c r="P129" s="1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4</v>
      </c>
      <c r="I130" s="148"/>
      <c r="J130" s="148"/>
      <c r="K130" s="1"/>
      <c r="L130" s="1"/>
      <c r="M130" s="1"/>
      <c r="N130" s="1"/>
      <c r="O130" s="1"/>
      <c r="P130" s="1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126400</v>
      </c>
      <c r="I131" s="150"/>
      <c r="J131" s="150"/>
      <c r="K131" s="1"/>
      <c r="L131" s="1"/>
      <c r="M131" s="1"/>
      <c r="N131" s="1"/>
      <c r="O131" s="1"/>
      <c r="P131" s="1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48"/>
      <c r="K132" s="1"/>
      <c r="L132" s="1"/>
      <c r="M132" s="1"/>
      <c r="N132" s="1"/>
      <c r="O132" s="1"/>
      <c r="P132" s="1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50"/>
      <c r="K133" s="1"/>
      <c r="L133" s="1"/>
      <c r="M133" s="1"/>
      <c r="N133" s="1"/>
      <c r="O133" s="1"/>
      <c r="P133" s="1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7</v>
      </c>
      <c r="I134" s="148"/>
      <c r="J134" s="148"/>
      <c r="K134" s="1"/>
      <c r="L134" s="1"/>
      <c r="M134" s="1"/>
      <c r="N134" s="1"/>
      <c r="O134" s="1"/>
      <c r="P134" s="1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1015000</v>
      </c>
      <c r="I135" s="150"/>
      <c r="J135" s="150"/>
      <c r="K135" s="1"/>
      <c r="L135" s="1"/>
      <c r="M135" s="1"/>
      <c r="N135" s="1"/>
      <c r="O135" s="1"/>
      <c r="P135" s="1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48"/>
      <c r="K136" s="1"/>
      <c r="L136" s="1"/>
      <c r="M136" s="1"/>
      <c r="N136" s="1"/>
      <c r="O136" s="1"/>
      <c r="P136" s="1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50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63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43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161.25</v>
      </c>
      <c r="I140" s="148"/>
      <c r="J140" s="148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29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0.07947019868</v>
      </c>
      <c r="I142" s="143"/>
      <c r="J142" s="143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48</v>
      </c>
      <c r="I143" s="148"/>
      <c r="J143" s="148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91187.5</v>
      </c>
      <c r="I144" s="150"/>
      <c r="J144" s="150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4377000</v>
      </c>
      <c r="I145" s="150"/>
      <c r="J145" s="150"/>
      <c r="K145" s="1"/>
      <c r="L145" s="1"/>
      <c r="M145" s="1"/>
      <c r="N145" s="1"/>
      <c r="O145" s="1"/>
      <c r="P145" s="1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55"/>
      <c r="K146" s="1"/>
      <c r="L146" s="1"/>
      <c r="M146" s="1"/>
      <c r="N146" s="1"/>
      <c r="O146" s="1"/>
      <c r="P146" s="1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53"/>
      <c r="K147" s="1"/>
      <c r="L147" s="1"/>
      <c r="M147" s="1"/>
      <c r="N147" s="1"/>
      <c r="O147" s="1"/>
      <c r="P147" s="1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55"/>
      <c r="K148" s="1"/>
      <c r="L148" s="1"/>
      <c r="M148" s="1"/>
      <c r="N148" s="1"/>
      <c r="O148" s="1"/>
      <c r="P148" s="1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55"/>
      <c r="K149" s="1"/>
      <c r="L149" s="1"/>
      <c r="M149" s="1"/>
      <c r="N149" s="1"/>
      <c r="O149" s="1"/>
      <c r="P149" s="1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55"/>
      <c r="K150" s="1"/>
      <c r="L150" s="1"/>
      <c r="M150" s="1"/>
      <c r="N150" s="1"/>
      <c r="O150" s="1"/>
      <c r="P150" s="1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120000.0</v>
      </c>
      <c r="I151" s="159"/>
      <c r="J151" s="159"/>
      <c r="K151" s="1"/>
      <c r="L151" s="1"/>
      <c r="M151" s="1"/>
      <c r="N151" s="1"/>
      <c r="O151" s="1"/>
      <c r="P151" s="1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57"/>
      <c r="K152" s="1"/>
      <c r="L152" s="1"/>
      <c r="M152" s="1"/>
      <c r="N152" s="1"/>
      <c r="O152" s="1"/>
      <c r="P152" s="1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57"/>
      <c r="K153" s="1"/>
      <c r="L153" s="1"/>
      <c r="M153" s="1"/>
      <c r="N153" s="1"/>
      <c r="O153" s="1"/>
      <c r="P153" s="1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59"/>
      <c r="K154" s="1"/>
      <c r="L154" s="1"/>
      <c r="M154" s="1"/>
      <c r="N154" s="1"/>
      <c r="O154" s="1"/>
      <c r="P154" s="1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59"/>
      <c r="K155" s="1"/>
      <c r="L155" s="1"/>
      <c r="M155" s="1"/>
      <c r="N155" s="1"/>
      <c r="O155" s="1"/>
      <c r="P155" s="1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62"/>
      <c r="K156" s="1"/>
      <c r="L156" s="1"/>
      <c r="M156" s="1"/>
      <c r="N156" s="1"/>
      <c r="O156" s="1"/>
      <c r="P156" s="1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28</v>
      </c>
      <c r="I157" s="148"/>
      <c r="J157" s="148"/>
      <c r="K157" s="1"/>
      <c r="L157" s="1"/>
      <c r="M157" s="1"/>
      <c r="N157" s="1"/>
      <c r="O157" s="1"/>
      <c r="P157" s="1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3360000</v>
      </c>
      <c r="I158" s="150"/>
      <c r="J158" s="150"/>
      <c r="K158" s="1"/>
      <c r="L158" s="1"/>
      <c r="M158" s="1"/>
      <c r="N158" s="1"/>
      <c r="O158" s="1"/>
      <c r="P158" s="1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7</v>
      </c>
      <c r="I159" s="148"/>
      <c r="J159" s="148"/>
      <c r="K159" s="1"/>
      <c r="L159" s="1"/>
      <c r="M159" s="1"/>
      <c r="N159" s="1"/>
      <c r="O159" s="1"/>
      <c r="P159" s="1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126000</v>
      </c>
      <c r="I160" s="150"/>
      <c r="J160" s="150"/>
      <c r="K160" s="1"/>
      <c r="L160" s="1"/>
      <c r="M160" s="1"/>
      <c r="N160" s="1"/>
      <c r="O160" s="1"/>
      <c r="P160" s="1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48"/>
      <c r="K161" s="1"/>
      <c r="L161" s="1"/>
      <c r="M161" s="1"/>
      <c r="N161" s="1"/>
      <c r="O161" s="1"/>
      <c r="P161" s="1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50"/>
      <c r="K162" s="1"/>
      <c r="L162" s="1"/>
      <c r="M162" s="1"/>
      <c r="N162" s="1"/>
      <c r="O162" s="1"/>
      <c r="P162" s="1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9</v>
      </c>
      <c r="I163" s="148"/>
      <c r="J163" s="148"/>
      <c r="K163" s="1"/>
      <c r="L163" s="1"/>
      <c r="M163" s="1"/>
      <c r="N163" s="1"/>
      <c r="O163" s="1"/>
      <c r="P163" s="1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891000</v>
      </c>
      <c r="I164" s="150"/>
      <c r="J164" s="150"/>
      <c r="K164" s="1"/>
      <c r="L164" s="1"/>
      <c r="M164" s="1"/>
      <c r="N164" s="1"/>
      <c r="O164" s="1"/>
      <c r="P164" s="1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4</v>
      </c>
      <c r="I165" s="148"/>
      <c r="J165" s="148"/>
      <c r="K165" s="1"/>
      <c r="L165" s="1"/>
      <c r="M165" s="1"/>
      <c r="N165" s="1"/>
      <c r="O165" s="1"/>
      <c r="P165" s="1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50"/>
      <c r="K166" s="1"/>
      <c r="L166" s="1"/>
      <c r="M166" s="1"/>
      <c r="N166" s="1"/>
      <c r="O166" s="1"/>
      <c r="P166" s="1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50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43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43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771.25</v>
      </c>
      <c r="I170" s="148"/>
      <c r="J170" s="148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29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0.09649122807</v>
      </c>
      <c r="I172" s="143"/>
      <c r="J172" s="143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231</v>
      </c>
      <c r="I173" s="166"/>
      <c r="J173" s="166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75935.06494</v>
      </c>
      <c r="I174" s="150"/>
      <c r="J174" s="150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17541000</v>
      </c>
      <c r="I175" s="150"/>
      <c r="J175" s="150"/>
      <c r="K175" s="1"/>
      <c r="L175" s="1"/>
      <c r="M175" s="1"/>
      <c r="N175" s="1"/>
      <c r="O175" s="1"/>
      <c r="P175" s="1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53"/>
      <c r="K176" s="1"/>
      <c r="L176" s="1"/>
      <c r="M176" s="1"/>
      <c r="N176" s="1"/>
      <c r="O176" s="1"/>
      <c r="P176" s="1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53"/>
      <c r="K177" s="1"/>
      <c r="L177" s="1"/>
      <c r="M177" s="1"/>
      <c r="N177" s="1"/>
      <c r="O177" s="1"/>
      <c r="P177" s="1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55"/>
      <c r="K178" s="1"/>
      <c r="L178" s="1"/>
      <c r="M178" s="1"/>
      <c r="N178" s="1"/>
      <c r="O178" s="1"/>
      <c r="P178" s="1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55"/>
      <c r="K179" s="1"/>
      <c r="L179" s="1"/>
      <c r="M179" s="1"/>
      <c r="N179" s="1"/>
      <c r="O179" s="1"/>
      <c r="P179" s="1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55"/>
      <c r="K180" s="1"/>
      <c r="L180" s="1"/>
      <c r="M180" s="1"/>
      <c r="N180" s="1"/>
      <c r="O180" s="1"/>
      <c r="P180" s="1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100000.0</v>
      </c>
      <c r="I181" s="157"/>
      <c r="J181" s="157"/>
      <c r="K181" s="1"/>
      <c r="L181" s="1"/>
      <c r="M181" s="1"/>
      <c r="N181" s="1"/>
      <c r="O181" s="1"/>
      <c r="P181" s="1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57"/>
      <c r="K182" s="1"/>
      <c r="L182" s="1"/>
      <c r="M182" s="1"/>
      <c r="N182" s="1"/>
      <c r="O182" s="1"/>
      <c r="P182" s="1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57"/>
      <c r="K183" s="1"/>
      <c r="L183" s="1"/>
      <c r="M183" s="1"/>
      <c r="N183" s="1"/>
      <c r="O183" s="1"/>
      <c r="P183" s="1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59"/>
      <c r="K184" s="1"/>
      <c r="L184" s="1"/>
      <c r="M184" s="1"/>
      <c r="N184" s="1"/>
      <c r="O184" s="1"/>
      <c r="P184" s="1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59"/>
      <c r="K185" s="1"/>
      <c r="L185" s="1"/>
      <c r="M185" s="1"/>
      <c r="N185" s="1"/>
      <c r="O185" s="1"/>
      <c r="P185" s="1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62"/>
      <c r="K186" s="1"/>
      <c r="L186" s="1"/>
      <c r="M186" s="1"/>
      <c r="N186" s="1"/>
      <c r="O186" s="1"/>
      <c r="P186" s="1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138</v>
      </c>
      <c r="I187" s="148"/>
      <c r="J187" s="148"/>
      <c r="K187" s="1"/>
      <c r="L187" s="1"/>
      <c r="M187" s="1"/>
      <c r="N187" s="1"/>
      <c r="O187" s="1"/>
      <c r="P187" s="1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13800000</v>
      </c>
      <c r="I188" s="150"/>
      <c r="J188" s="150"/>
      <c r="K188" s="1"/>
      <c r="L188" s="1"/>
      <c r="M188" s="1"/>
      <c r="N188" s="1"/>
      <c r="O188" s="1"/>
      <c r="P188" s="1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24</v>
      </c>
      <c r="I189" s="148"/>
      <c r="J189" s="148"/>
      <c r="K189" s="1"/>
      <c r="L189" s="1"/>
      <c r="M189" s="1"/>
      <c r="N189" s="1"/>
      <c r="O189" s="1"/>
      <c r="P189" s="1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360000</v>
      </c>
      <c r="I190" s="150"/>
      <c r="J190" s="150"/>
      <c r="K190" s="1"/>
      <c r="L190" s="1"/>
      <c r="M190" s="1"/>
      <c r="N190" s="1"/>
      <c r="O190" s="1"/>
      <c r="P190" s="1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48"/>
      <c r="K191" s="1"/>
      <c r="L191" s="1"/>
      <c r="M191" s="1"/>
      <c r="N191" s="1"/>
      <c r="O191" s="1"/>
      <c r="P191" s="1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50"/>
      <c r="K192" s="1"/>
      <c r="L192" s="1"/>
      <c r="M192" s="1"/>
      <c r="N192" s="1"/>
      <c r="O192" s="1"/>
      <c r="P192" s="1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69</v>
      </c>
      <c r="I193" s="148"/>
      <c r="J193" s="148"/>
      <c r="K193" s="1"/>
      <c r="L193" s="1"/>
      <c r="M193" s="1"/>
      <c r="N193" s="1"/>
      <c r="O193" s="1"/>
      <c r="P193" s="1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3381000</v>
      </c>
      <c r="I194" s="150"/>
      <c r="J194" s="150"/>
      <c r="K194" s="1"/>
      <c r="L194" s="1"/>
      <c r="M194" s="1"/>
      <c r="N194" s="1"/>
      <c r="O194" s="1"/>
      <c r="P194" s="1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48"/>
      <c r="K195" s="1"/>
      <c r="L195" s="1"/>
      <c r="M195" s="1"/>
      <c r="N195" s="1"/>
      <c r="O195" s="1"/>
      <c r="P195" s="1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50"/>
      <c r="K196" s="1"/>
      <c r="L196" s="1"/>
      <c r="M196" s="1"/>
      <c r="N196" s="1"/>
      <c r="O196" s="1"/>
      <c r="P196" s="1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50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43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43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1815</v>
      </c>
      <c r="I200" s="148"/>
      <c r="J200" s="148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26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0.09675128706</v>
      </c>
      <c r="I202" s="143"/>
      <c r="J202" s="143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545</v>
      </c>
      <c r="I203" s="148"/>
      <c r="J203" s="148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34300</v>
      </c>
      <c r="I204" s="150"/>
      <c r="J204" s="150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18693500</v>
      </c>
      <c r="I205" s="150"/>
      <c r="J205" s="150"/>
      <c r="K205" s="1"/>
      <c r="L205" s="1"/>
      <c r="M205" s="1"/>
      <c r="N205" s="1"/>
      <c r="O205" s="1"/>
      <c r="P205" s="1"/>
      <c r="Q205" s="1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55"/>
      <c r="K206" s="1"/>
      <c r="L206" s="1"/>
      <c r="M206" s="1"/>
      <c r="N206" s="1"/>
      <c r="O206" s="1"/>
      <c r="P206" s="1"/>
      <c r="Q206" s="1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55"/>
      <c r="K207" s="1"/>
      <c r="L207" s="1"/>
      <c r="M207" s="1"/>
      <c r="N207" s="1"/>
      <c r="O207" s="1"/>
      <c r="P207" s="1"/>
      <c r="Q207" s="1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55"/>
      <c r="K208" s="1"/>
      <c r="L208" s="1"/>
      <c r="M208" s="1"/>
      <c r="N208" s="1"/>
      <c r="O208" s="1"/>
      <c r="P208" s="1"/>
      <c r="Q208" s="1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53"/>
      <c r="K209" s="1"/>
      <c r="L209" s="1"/>
      <c r="M209" s="1"/>
      <c r="N209" s="1"/>
      <c r="O209" s="1"/>
      <c r="P209" s="1"/>
      <c r="Q209" s="1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55"/>
      <c r="K210" s="1"/>
      <c r="L210" s="1"/>
      <c r="M210" s="1"/>
      <c r="N210" s="1"/>
      <c r="O210" s="1"/>
      <c r="P210" s="1"/>
      <c r="Q210" s="1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40000.0</v>
      </c>
      <c r="I211" s="157"/>
      <c r="J211" s="157"/>
      <c r="K211" s="1"/>
      <c r="L211" s="1"/>
      <c r="M211" s="1"/>
      <c r="N211" s="1"/>
      <c r="O211" s="1"/>
      <c r="P211" s="1"/>
      <c r="Q211" s="1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57"/>
      <c r="K212" s="1"/>
      <c r="L212" s="1"/>
      <c r="M212" s="1"/>
      <c r="N212" s="1"/>
      <c r="O212" s="1"/>
      <c r="P212" s="1"/>
      <c r="Q212" s="1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59"/>
      <c r="K213" s="1"/>
      <c r="L213" s="1"/>
      <c r="M213" s="1"/>
      <c r="N213" s="1"/>
      <c r="O213" s="1"/>
      <c r="P213" s="1"/>
      <c r="Q213" s="1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59"/>
      <c r="K214" s="1"/>
      <c r="L214" s="1"/>
      <c r="M214" s="1"/>
      <c r="N214" s="1"/>
      <c r="O214" s="1"/>
      <c r="P214" s="1"/>
      <c r="Q214" s="1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59"/>
      <c r="K215" s="1"/>
      <c r="L215" s="1"/>
      <c r="M215" s="1"/>
      <c r="N215" s="1"/>
      <c r="O215" s="1"/>
      <c r="P215" s="1"/>
      <c r="Q215" s="1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62"/>
      <c r="K216" s="1"/>
      <c r="L216" s="1"/>
      <c r="M216" s="1"/>
      <c r="N216" s="1"/>
      <c r="O216" s="1"/>
      <c r="P216" s="1"/>
      <c r="Q216" s="1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436</v>
      </c>
      <c r="I217" s="148"/>
      <c r="J217" s="148"/>
      <c r="K217" s="1"/>
      <c r="L217" s="1"/>
      <c r="M217" s="1"/>
      <c r="N217" s="1"/>
      <c r="O217" s="1"/>
      <c r="P217" s="1"/>
      <c r="Q217" s="1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17440000</v>
      </c>
      <c r="I218" s="150"/>
      <c r="J218" s="150"/>
      <c r="K218" s="1"/>
      <c r="L218" s="1"/>
      <c r="M218" s="1"/>
      <c r="N218" s="1"/>
      <c r="O218" s="1"/>
      <c r="P218" s="1"/>
      <c r="Q218" s="1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109</v>
      </c>
      <c r="I219" s="148"/>
      <c r="J219" s="148"/>
      <c r="K219" s="1"/>
      <c r="L219" s="1"/>
      <c r="M219" s="1"/>
      <c r="N219" s="1"/>
      <c r="O219" s="1"/>
      <c r="P219" s="1"/>
      <c r="Q219" s="1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1253500</v>
      </c>
      <c r="I220" s="150"/>
      <c r="J220" s="150"/>
      <c r="K220" s="1"/>
      <c r="L220" s="1"/>
      <c r="M220" s="1"/>
      <c r="N220" s="1"/>
      <c r="O220" s="1"/>
      <c r="P220" s="1"/>
      <c r="Q220" s="1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48"/>
      <c r="K221" s="1"/>
      <c r="L221" s="1"/>
      <c r="M221" s="1"/>
      <c r="N221" s="1"/>
      <c r="O221" s="1"/>
      <c r="P221" s="1"/>
      <c r="Q221" s="1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50"/>
      <c r="K222" s="1"/>
      <c r="L222" s="1"/>
      <c r="M222" s="1"/>
      <c r="N222" s="1"/>
      <c r="O222" s="1"/>
      <c r="P222" s="1"/>
      <c r="Q222" s="1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48"/>
      <c r="K223" s="1"/>
      <c r="L223" s="1"/>
      <c r="M223" s="1"/>
      <c r="N223" s="1"/>
      <c r="O223" s="1"/>
      <c r="P223" s="1"/>
      <c r="Q223" s="1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50"/>
      <c r="K224" s="1"/>
      <c r="L224" s="1"/>
      <c r="M224" s="1"/>
      <c r="N224" s="1"/>
      <c r="O224" s="1"/>
      <c r="P224" s="1"/>
      <c r="Q224" s="1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48"/>
      <c r="K225" s="1"/>
      <c r="L225" s="1"/>
      <c r="M225" s="1"/>
      <c r="N225" s="1"/>
      <c r="O225" s="1"/>
      <c r="P225" s="1"/>
      <c r="Q225" s="1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50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15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43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856.25</v>
      </c>
      <c r="I229" s="148"/>
      <c r="J229" s="148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29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0.09668924003</v>
      </c>
      <c r="I231" s="143"/>
      <c r="J231" s="143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257</v>
      </c>
      <c r="I232" s="148"/>
      <c r="J232" s="148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25447.47082</v>
      </c>
      <c r="I233" s="150"/>
      <c r="J233" s="150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6540000</v>
      </c>
      <c r="I234" s="150"/>
      <c r="J234" s="150"/>
      <c r="K234" s="1"/>
      <c r="L234" s="1"/>
      <c r="M234" s="1"/>
      <c r="N234" s="1"/>
      <c r="O234" s="1"/>
      <c r="P234" s="1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55"/>
      <c r="K235" s="1"/>
      <c r="L235" s="1"/>
      <c r="M235" s="1"/>
      <c r="N235" s="1"/>
      <c r="O235" s="1"/>
      <c r="P235" s="1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55"/>
      <c r="K236" s="1"/>
      <c r="L236" s="1"/>
      <c r="M236" s="1"/>
      <c r="N236" s="1"/>
      <c r="O236" s="1"/>
      <c r="P236" s="1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55"/>
      <c r="K237" s="1"/>
      <c r="L237" s="1"/>
      <c r="M237" s="1"/>
      <c r="N237" s="1"/>
      <c r="O237" s="1"/>
      <c r="P237" s="1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53"/>
      <c r="K238" s="1"/>
      <c r="L238" s="1"/>
      <c r="M238" s="1"/>
      <c r="N238" s="1"/>
      <c r="O238" s="1"/>
      <c r="P238" s="1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55"/>
      <c r="K239" s="1"/>
      <c r="L239" s="1"/>
      <c r="M239" s="1"/>
      <c r="N239" s="1"/>
      <c r="O239" s="1"/>
      <c r="P239" s="1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30000.0</v>
      </c>
      <c r="I240" s="157"/>
      <c r="J240" s="157"/>
      <c r="K240" s="1"/>
      <c r="L240" s="1"/>
      <c r="M240" s="1"/>
      <c r="N240" s="1"/>
      <c r="O240" s="1"/>
      <c r="P240" s="1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57"/>
      <c r="K241" s="1"/>
      <c r="L241" s="1"/>
      <c r="M241" s="1"/>
      <c r="N241" s="1"/>
      <c r="O241" s="1"/>
      <c r="P241" s="1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59"/>
      <c r="K242" s="1"/>
      <c r="L242" s="1"/>
      <c r="M242" s="1"/>
      <c r="N242" s="1"/>
      <c r="O242" s="1"/>
      <c r="P242" s="1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59"/>
      <c r="K243" s="1"/>
      <c r="L243" s="1"/>
      <c r="M243" s="1"/>
      <c r="N243" s="1"/>
      <c r="O243" s="1"/>
      <c r="P243" s="1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59"/>
      <c r="K244" s="1"/>
      <c r="L244" s="1"/>
      <c r="M244" s="1"/>
      <c r="N244" s="1"/>
      <c r="O244" s="1"/>
      <c r="P244" s="1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62"/>
      <c r="K245" s="1"/>
      <c r="L245" s="1"/>
      <c r="M245" s="1"/>
      <c r="N245" s="1"/>
      <c r="O245" s="1"/>
      <c r="P245" s="1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205</v>
      </c>
      <c r="I246" s="148"/>
      <c r="J246" s="148"/>
      <c r="K246" s="1"/>
      <c r="L246" s="1"/>
      <c r="M246" s="1"/>
      <c r="N246" s="1"/>
      <c r="O246" s="1"/>
      <c r="P246" s="1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6150000</v>
      </c>
      <c r="I247" s="150"/>
      <c r="J247" s="150"/>
      <c r="K247" s="1"/>
      <c r="L247" s="1"/>
      <c r="M247" s="1"/>
      <c r="N247" s="1"/>
      <c r="O247" s="1"/>
      <c r="P247" s="1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52</v>
      </c>
      <c r="I248" s="148"/>
      <c r="J248" s="148"/>
      <c r="K248" s="1"/>
      <c r="L248" s="1"/>
      <c r="M248" s="1"/>
      <c r="N248" s="1"/>
      <c r="O248" s="1"/>
      <c r="P248" s="1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390000</v>
      </c>
      <c r="I249" s="150"/>
      <c r="J249" s="150"/>
      <c r="K249" s="1"/>
      <c r="L249" s="1"/>
      <c r="M249" s="1"/>
      <c r="N249" s="1"/>
      <c r="O249" s="1"/>
      <c r="P249" s="1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48"/>
      <c r="K250" s="1"/>
      <c r="L250" s="1"/>
      <c r="M250" s="1"/>
      <c r="N250" s="1"/>
      <c r="O250" s="1"/>
      <c r="P250" s="1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50"/>
      <c r="K251" s="1"/>
      <c r="L251" s="1"/>
      <c r="M251" s="1"/>
      <c r="N251" s="1"/>
      <c r="O251" s="1"/>
      <c r="P251" s="1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48"/>
      <c r="K252" s="1"/>
      <c r="L252" s="1"/>
      <c r="M252" s="1"/>
      <c r="N252" s="1"/>
      <c r="O252" s="1"/>
      <c r="P252" s="1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50"/>
      <c r="K253" s="1"/>
      <c r="L253" s="1"/>
      <c r="M253" s="1"/>
      <c r="N253" s="1"/>
      <c r="O253" s="1"/>
      <c r="P253" s="1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48"/>
      <c r="K254" s="1"/>
      <c r="L254" s="1"/>
      <c r="M254" s="1"/>
      <c r="N254" s="1"/>
      <c r="O254" s="1"/>
      <c r="P254" s="1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50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63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15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18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1116</v>
      </c>
      <c r="I259" s="115"/>
      <c r="J259" s="115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0.9238351254</v>
      </c>
      <c r="I260" s="168"/>
      <c r="J260" s="168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1031</v>
      </c>
      <c r="I261" s="169"/>
      <c r="J261" s="169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15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51442900</v>
      </c>
      <c r="I263" s="170"/>
      <c r="J263" s="170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68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47841897</v>
      </c>
      <c r="I265" s="150"/>
      <c r="J265" s="150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15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38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35</v>
      </c>
      <c r="I268" s="13"/>
      <c r="J268" s="13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0.8857142857</v>
      </c>
      <c r="I269" s="168"/>
      <c r="J269" s="168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31</v>
      </c>
      <c r="I270" s="166"/>
      <c r="J270" s="166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68"/>
      <c r="K271" s="1"/>
      <c r="L271" s="1"/>
      <c r="M271" s="1"/>
      <c r="N271" s="1"/>
      <c r="O271" s="1"/>
      <c r="P271" s="1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3991002</v>
      </c>
      <c r="I272" s="150"/>
      <c r="J272" s="150"/>
      <c r="K272" s="1"/>
      <c r="L272" s="1"/>
      <c r="M272" s="1"/>
      <c r="N272" s="1"/>
      <c r="O272" s="1"/>
      <c r="P272" s="1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55"/>
      <c r="K273" s="1"/>
      <c r="L273" s="1"/>
      <c r="M273" s="1"/>
      <c r="N273" s="1"/>
      <c r="O273" s="1"/>
      <c r="P273" s="1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55"/>
      <c r="K274" s="1"/>
      <c r="L274" s="1"/>
      <c r="M274" s="1"/>
      <c r="N274" s="1"/>
      <c r="O274" s="1"/>
      <c r="P274" s="1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55"/>
      <c r="K275" s="1"/>
      <c r="L275" s="1"/>
      <c r="M275" s="1"/>
      <c r="N275" s="1"/>
      <c r="O275" s="1"/>
      <c r="P275" s="1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55"/>
      <c r="K276" s="1"/>
      <c r="L276" s="1"/>
      <c r="M276" s="1"/>
      <c r="N276" s="1"/>
      <c r="O276" s="1"/>
      <c r="P276" s="1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55"/>
      <c r="K277" s="1"/>
      <c r="L277" s="1"/>
      <c r="M277" s="1"/>
      <c r="N277" s="1"/>
      <c r="O277" s="1"/>
      <c r="P277" s="1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55"/>
      <c r="K278" s="1"/>
      <c r="L278" s="1"/>
      <c r="M278" s="1"/>
      <c r="N278" s="1"/>
      <c r="O278" s="1"/>
      <c r="P278" s="1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55"/>
      <c r="K279" s="1"/>
      <c r="L279" s="1"/>
      <c r="M279" s="1"/>
      <c r="N279" s="1"/>
      <c r="O279" s="1"/>
      <c r="P279" s="1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55"/>
      <c r="K280" s="1"/>
      <c r="L280" s="1"/>
      <c r="M280" s="1"/>
      <c r="N280" s="1"/>
      <c r="O280" s="1"/>
      <c r="P280" s="1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52"/>
      <c r="K281" s="160"/>
      <c r="L281" s="160"/>
      <c r="M281" s="160"/>
      <c r="N281" s="160"/>
      <c r="O281" s="160"/>
      <c r="P281" s="160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52"/>
      <c r="K282" s="160"/>
      <c r="L282" s="160"/>
      <c r="M282" s="160"/>
      <c r="N282" s="160"/>
      <c r="O282" s="160"/>
      <c r="P282" s="160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3">ROUND(H128*H273,0)</f>
        <v>20</v>
      </c>
      <c r="I283" s="166"/>
      <c r="J283" s="166"/>
      <c r="K283" s="1"/>
      <c r="L283" s="1"/>
      <c r="M283" s="1"/>
      <c r="N283" s="1"/>
      <c r="O283" s="1"/>
      <c r="P283" s="1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3"/>
        <v>2929500</v>
      </c>
      <c r="I284" s="150"/>
      <c r="J284" s="150"/>
      <c r="K284" s="1"/>
      <c r="L284" s="1"/>
      <c r="M284" s="1"/>
      <c r="N284" s="1"/>
      <c r="O284" s="1"/>
      <c r="P284" s="1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3"/>
        <v>4</v>
      </c>
      <c r="I285" s="166"/>
      <c r="J285" s="166"/>
      <c r="K285" s="1"/>
      <c r="L285" s="1"/>
      <c r="M285" s="1"/>
      <c r="N285" s="1"/>
      <c r="O285" s="1"/>
      <c r="P285" s="1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3"/>
        <v>117552</v>
      </c>
      <c r="I286" s="150"/>
      <c r="J286" s="150"/>
      <c r="K286" s="1"/>
      <c r="L286" s="1"/>
      <c r="M286" s="1"/>
      <c r="N286" s="1"/>
      <c r="O286" s="1"/>
      <c r="P286" s="1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3"/>
        <v>0</v>
      </c>
      <c r="I287" s="166"/>
      <c r="J287" s="166"/>
      <c r="K287" s="1"/>
      <c r="L287" s="1"/>
      <c r="M287" s="1"/>
      <c r="N287" s="1"/>
      <c r="O287" s="1"/>
      <c r="P287" s="1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3"/>
        <v>0</v>
      </c>
      <c r="I288" s="150"/>
      <c r="J288" s="150"/>
      <c r="K288" s="1"/>
      <c r="L288" s="1"/>
      <c r="M288" s="1"/>
      <c r="N288" s="1"/>
      <c r="O288" s="1"/>
      <c r="P288" s="1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3"/>
        <v>7</v>
      </c>
      <c r="I289" s="166"/>
      <c r="J289" s="166"/>
      <c r="K289" s="1"/>
      <c r="L289" s="1"/>
      <c r="M289" s="1"/>
      <c r="N289" s="1"/>
      <c r="O289" s="1"/>
      <c r="P289" s="1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3"/>
        <v>943950</v>
      </c>
      <c r="I290" s="150"/>
      <c r="J290" s="150"/>
      <c r="K290" s="1"/>
      <c r="L290" s="1"/>
      <c r="M290" s="1"/>
      <c r="N290" s="1"/>
      <c r="O290" s="1"/>
      <c r="P290" s="1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3"/>
        <v>3</v>
      </c>
      <c r="I291" s="166"/>
      <c r="J291" s="166"/>
      <c r="K291" s="1"/>
      <c r="L291" s="1"/>
      <c r="M291" s="1"/>
      <c r="N291" s="1"/>
      <c r="O291" s="1"/>
      <c r="P291" s="1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3"/>
        <v>0</v>
      </c>
      <c r="I292" s="150"/>
      <c r="J292" s="150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38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48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0.8541666667</v>
      </c>
      <c r="I296" s="168"/>
      <c r="J296" s="168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41</v>
      </c>
      <c r="I297" s="148"/>
      <c r="J297" s="148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68"/>
      <c r="K298" s="1"/>
      <c r="L298" s="1"/>
      <c r="M298" s="1"/>
      <c r="N298" s="1"/>
      <c r="O298" s="1"/>
      <c r="P298" s="1"/>
      <c r="Q298" s="1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4070610</v>
      </c>
      <c r="I299" s="173"/>
      <c r="J299" s="173"/>
      <c r="K299" s="1"/>
      <c r="L299" s="1"/>
      <c r="M299" s="1"/>
      <c r="N299" s="1"/>
      <c r="O299" s="1"/>
      <c r="P299" s="1"/>
      <c r="Q299" s="1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55"/>
      <c r="K300" s="1"/>
      <c r="L300" s="1"/>
      <c r="M300" s="1"/>
      <c r="N300" s="1"/>
      <c r="O300" s="1"/>
      <c r="P300" s="1"/>
      <c r="Q300" s="1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55"/>
      <c r="K301" s="1"/>
      <c r="L301" s="1"/>
      <c r="M301" s="1"/>
      <c r="N301" s="1"/>
      <c r="O301" s="1"/>
      <c r="P301" s="1"/>
      <c r="Q301" s="1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55"/>
      <c r="K302" s="1"/>
      <c r="L302" s="1"/>
      <c r="M302" s="1"/>
      <c r="N302" s="1"/>
      <c r="O302" s="1"/>
      <c r="P302" s="1"/>
      <c r="Q302" s="1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55"/>
      <c r="K303" s="1"/>
      <c r="L303" s="1"/>
      <c r="M303" s="1"/>
      <c r="N303" s="1"/>
      <c r="O303" s="1"/>
      <c r="P303" s="1"/>
      <c r="Q303" s="1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55"/>
      <c r="K304" s="1"/>
      <c r="L304" s="1"/>
      <c r="M304" s="1"/>
      <c r="N304" s="1"/>
      <c r="O304" s="1"/>
      <c r="P304" s="1"/>
      <c r="Q304" s="1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55"/>
      <c r="K305" s="1"/>
      <c r="L305" s="1"/>
      <c r="M305" s="1"/>
      <c r="N305" s="1"/>
      <c r="O305" s="1"/>
      <c r="P305" s="1"/>
      <c r="Q305" s="1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55"/>
      <c r="K306" s="1"/>
      <c r="L306" s="1"/>
      <c r="M306" s="1"/>
      <c r="N306" s="1"/>
      <c r="O306" s="1"/>
      <c r="P306" s="1"/>
      <c r="Q306" s="1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55"/>
      <c r="K307" s="1"/>
      <c r="L307" s="1"/>
      <c r="M307" s="1"/>
      <c r="N307" s="1"/>
      <c r="O307" s="1"/>
      <c r="P307" s="1"/>
      <c r="Q307" s="1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55"/>
      <c r="K308" s="1"/>
      <c r="L308" s="1"/>
      <c r="M308" s="1"/>
      <c r="N308" s="1"/>
      <c r="O308" s="1"/>
      <c r="P308" s="1"/>
      <c r="Q308" s="1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55"/>
      <c r="K309" s="1"/>
      <c r="L309" s="1"/>
      <c r="M309" s="1"/>
      <c r="N309" s="1"/>
      <c r="O309" s="1"/>
      <c r="P309" s="1"/>
      <c r="Q309" s="1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4">ROUND(H157*H300,0)</f>
        <v>26</v>
      </c>
      <c r="I310" s="148"/>
      <c r="J310" s="148"/>
      <c r="K310" s="1"/>
      <c r="L310" s="1"/>
      <c r="M310" s="1"/>
      <c r="N310" s="1"/>
      <c r="O310" s="1"/>
      <c r="P310" s="1"/>
      <c r="Q310" s="1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4"/>
        <v>3124800</v>
      </c>
      <c r="I311" s="150"/>
      <c r="J311" s="150"/>
      <c r="K311" s="1"/>
      <c r="L311" s="1"/>
      <c r="M311" s="1"/>
      <c r="N311" s="1"/>
      <c r="O311" s="1"/>
      <c r="P311" s="1"/>
      <c r="Q311" s="1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4"/>
        <v>7</v>
      </c>
      <c r="I312" s="148"/>
      <c r="J312" s="148"/>
      <c r="K312" s="1"/>
      <c r="L312" s="1"/>
      <c r="M312" s="1"/>
      <c r="N312" s="1"/>
      <c r="O312" s="1"/>
      <c r="P312" s="1"/>
      <c r="Q312" s="1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4"/>
        <v>117180</v>
      </c>
      <c r="I313" s="150"/>
      <c r="J313" s="150"/>
      <c r="K313" s="1"/>
      <c r="L313" s="1"/>
      <c r="M313" s="1"/>
      <c r="N313" s="1"/>
      <c r="O313" s="1"/>
      <c r="P313" s="1"/>
      <c r="Q313" s="1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4"/>
        <v>0</v>
      </c>
      <c r="I314" s="148"/>
      <c r="J314" s="148"/>
      <c r="K314" s="1"/>
      <c r="L314" s="1"/>
      <c r="M314" s="1"/>
      <c r="N314" s="1"/>
      <c r="O314" s="1"/>
      <c r="P314" s="1"/>
      <c r="Q314" s="1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4"/>
        <v>0</v>
      </c>
      <c r="I315" s="150"/>
      <c r="J315" s="150"/>
      <c r="K315" s="1"/>
      <c r="L315" s="1"/>
      <c r="M315" s="1"/>
      <c r="N315" s="1"/>
      <c r="O315" s="1"/>
      <c r="P315" s="1"/>
      <c r="Q315" s="1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4"/>
        <v>8</v>
      </c>
      <c r="I316" s="148"/>
      <c r="J316" s="148"/>
      <c r="K316" s="1"/>
      <c r="L316" s="1"/>
      <c r="M316" s="1"/>
      <c r="N316" s="1"/>
      <c r="O316" s="1"/>
      <c r="P316" s="1"/>
      <c r="Q316" s="1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4"/>
        <v>828630</v>
      </c>
      <c r="I317" s="150"/>
      <c r="J317" s="150"/>
      <c r="K317" s="1"/>
      <c r="L317" s="1"/>
      <c r="M317" s="1"/>
      <c r="N317" s="1"/>
      <c r="O317" s="1"/>
      <c r="P317" s="1"/>
      <c r="Q317" s="1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4"/>
        <v>4</v>
      </c>
      <c r="I318" s="166"/>
      <c r="J318" s="166"/>
      <c r="K318" s="1"/>
      <c r="L318" s="1"/>
      <c r="M318" s="1"/>
      <c r="N318" s="1"/>
      <c r="O318" s="1"/>
      <c r="P318" s="1"/>
      <c r="Q318" s="1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4"/>
        <v>0</v>
      </c>
      <c r="I319" s="150"/>
      <c r="J319" s="150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38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231</v>
      </c>
      <c r="I322" s="163"/>
      <c r="J322" s="163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0.9264069264</v>
      </c>
      <c r="I323" s="168"/>
      <c r="J323" s="168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214</v>
      </c>
      <c r="I324" s="148"/>
      <c r="J324" s="148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68"/>
      <c r="K325" s="1"/>
      <c r="L325" s="1"/>
      <c r="M325" s="1"/>
      <c r="N325" s="1"/>
      <c r="O325" s="1"/>
      <c r="P325" s="1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16313130</v>
      </c>
      <c r="I326" s="150"/>
      <c r="J326" s="150"/>
      <c r="K326" s="1"/>
      <c r="L326" s="1"/>
      <c r="M326" s="1"/>
      <c r="N326" s="1"/>
      <c r="O326" s="1"/>
      <c r="P326" s="1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55"/>
      <c r="K327" s="1"/>
      <c r="L327" s="1"/>
      <c r="M327" s="1"/>
      <c r="N327" s="1"/>
      <c r="O327" s="1"/>
      <c r="P327" s="1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55"/>
      <c r="K328" s="1"/>
      <c r="L328" s="1"/>
      <c r="M328" s="1"/>
      <c r="N328" s="1"/>
      <c r="O328" s="1"/>
      <c r="P328" s="1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55"/>
      <c r="K329" s="1"/>
      <c r="L329" s="1"/>
      <c r="M329" s="1"/>
      <c r="N329" s="1"/>
      <c r="O329" s="1"/>
      <c r="P329" s="1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55"/>
      <c r="K330" s="1"/>
      <c r="L330" s="1"/>
      <c r="M330" s="1"/>
      <c r="N330" s="1"/>
      <c r="O330" s="1"/>
      <c r="P330" s="1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55"/>
      <c r="K331" s="1"/>
      <c r="L331" s="1"/>
      <c r="M331" s="1"/>
      <c r="N331" s="1"/>
      <c r="O331" s="1"/>
      <c r="P331" s="1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55"/>
      <c r="K332" s="1"/>
      <c r="L332" s="1"/>
      <c r="M332" s="1"/>
      <c r="N332" s="1"/>
      <c r="O332" s="1"/>
      <c r="P332" s="1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55"/>
      <c r="K333" s="1"/>
      <c r="L333" s="1"/>
      <c r="M333" s="1"/>
      <c r="N333" s="1"/>
      <c r="O333" s="1"/>
      <c r="P333" s="1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55"/>
      <c r="K334" s="1"/>
      <c r="L334" s="1"/>
      <c r="M334" s="1"/>
      <c r="N334" s="1"/>
      <c r="O334" s="1"/>
      <c r="P334" s="1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55"/>
      <c r="K335" s="1"/>
      <c r="L335" s="1"/>
      <c r="M335" s="1"/>
      <c r="N335" s="1"/>
      <c r="O335" s="1"/>
      <c r="P335" s="1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55"/>
      <c r="K336" s="1"/>
      <c r="L336" s="1"/>
      <c r="M336" s="1"/>
      <c r="N336" s="1"/>
      <c r="O336" s="1"/>
      <c r="P336" s="1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5">ROUND(H187*H327,0)</f>
        <v>128</v>
      </c>
      <c r="I337" s="148"/>
      <c r="J337" s="148"/>
      <c r="K337" s="1"/>
      <c r="L337" s="1"/>
      <c r="M337" s="1"/>
      <c r="N337" s="1"/>
      <c r="O337" s="1"/>
      <c r="P337" s="1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5"/>
        <v>12834000</v>
      </c>
      <c r="I338" s="150"/>
      <c r="J338" s="150"/>
      <c r="K338" s="1"/>
      <c r="L338" s="1"/>
      <c r="M338" s="1"/>
      <c r="N338" s="1"/>
      <c r="O338" s="1"/>
      <c r="P338" s="1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5"/>
        <v>22</v>
      </c>
      <c r="I339" s="148"/>
      <c r="J339" s="148"/>
      <c r="K339" s="1"/>
      <c r="L339" s="1"/>
      <c r="M339" s="1"/>
      <c r="N339" s="1"/>
      <c r="O339" s="1"/>
      <c r="P339" s="1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5"/>
        <v>334800</v>
      </c>
      <c r="I340" s="150"/>
      <c r="J340" s="150"/>
      <c r="K340" s="1"/>
      <c r="L340" s="1"/>
      <c r="M340" s="1"/>
      <c r="N340" s="1"/>
      <c r="O340" s="1"/>
      <c r="P340" s="1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5"/>
        <v>0</v>
      </c>
      <c r="I341" s="148"/>
      <c r="J341" s="148"/>
      <c r="K341" s="1"/>
      <c r="L341" s="1"/>
      <c r="M341" s="1"/>
      <c r="N341" s="1"/>
      <c r="O341" s="1"/>
      <c r="P341" s="1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5"/>
        <v>0</v>
      </c>
      <c r="I342" s="150"/>
      <c r="J342" s="150"/>
      <c r="K342" s="1"/>
      <c r="L342" s="1"/>
      <c r="M342" s="1"/>
      <c r="N342" s="1"/>
      <c r="O342" s="1"/>
      <c r="P342" s="1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5"/>
        <v>64</v>
      </c>
      <c r="I343" s="148"/>
      <c r="J343" s="148"/>
      <c r="K343" s="1"/>
      <c r="L343" s="1"/>
      <c r="M343" s="1"/>
      <c r="N343" s="1"/>
      <c r="O343" s="1"/>
      <c r="P343" s="1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5"/>
        <v>3144330</v>
      </c>
      <c r="I344" s="150"/>
      <c r="J344" s="150"/>
      <c r="K344" s="1"/>
      <c r="L344" s="1"/>
      <c r="M344" s="1"/>
      <c r="N344" s="1"/>
      <c r="O344" s="1"/>
      <c r="P344" s="1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5"/>
        <v>0</v>
      </c>
      <c r="I345" s="166"/>
      <c r="J345" s="166"/>
      <c r="K345" s="1"/>
      <c r="L345" s="1"/>
      <c r="M345" s="1"/>
      <c r="N345" s="1"/>
      <c r="O345" s="1"/>
      <c r="P345" s="1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5"/>
        <v>0</v>
      </c>
      <c r="I346" s="150"/>
      <c r="J346" s="150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38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545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0.928440367</v>
      </c>
      <c r="I350" s="168"/>
      <c r="J350" s="168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506</v>
      </c>
      <c r="I351" s="148"/>
      <c r="J351" s="148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68"/>
      <c r="K352" s="1"/>
      <c r="L352" s="1"/>
      <c r="M352" s="1"/>
      <c r="N352" s="1"/>
      <c r="O352" s="1"/>
      <c r="P352" s="1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17384955</v>
      </c>
      <c r="I353" s="150"/>
      <c r="J353" s="150"/>
      <c r="K353" s="1"/>
      <c r="L353" s="1"/>
      <c r="M353" s="1"/>
      <c r="N353" s="1"/>
      <c r="O353" s="1"/>
      <c r="P353" s="1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55"/>
      <c r="K354" s="1"/>
      <c r="L354" s="1"/>
      <c r="M354" s="1"/>
      <c r="N354" s="1"/>
      <c r="O354" s="1"/>
      <c r="P354" s="1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55"/>
      <c r="K355" s="1"/>
      <c r="L355" s="1"/>
      <c r="M355" s="1"/>
      <c r="N355" s="1"/>
      <c r="O355" s="1"/>
      <c r="P355" s="1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55"/>
      <c r="K356" s="1"/>
      <c r="L356" s="1"/>
      <c r="M356" s="1"/>
      <c r="N356" s="1"/>
      <c r="O356" s="1"/>
      <c r="P356" s="1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55"/>
      <c r="K357" s="1"/>
      <c r="L357" s="1"/>
      <c r="M357" s="1"/>
      <c r="N357" s="1"/>
      <c r="O357" s="1"/>
      <c r="P357" s="1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53"/>
      <c r="K358" s="1"/>
      <c r="L358" s="1"/>
      <c r="M358" s="1"/>
      <c r="N358" s="1"/>
      <c r="O358" s="1"/>
      <c r="P358" s="1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53"/>
      <c r="K359" s="1"/>
      <c r="L359" s="1"/>
      <c r="M359" s="1"/>
      <c r="N359" s="1"/>
      <c r="O359" s="1"/>
      <c r="P359" s="1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53"/>
      <c r="K360" s="1"/>
      <c r="L360" s="1"/>
      <c r="M360" s="1"/>
      <c r="N360" s="1"/>
      <c r="O360" s="1"/>
      <c r="P360" s="1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53"/>
      <c r="K361" s="1"/>
      <c r="L361" s="1"/>
      <c r="M361" s="1"/>
      <c r="N361" s="1"/>
      <c r="O361" s="1"/>
      <c r="P361" s="1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55"/>
      <c r="K362" s="1"/>
      <c r="L362" s="1"/>
      <c r="M362" s="1"/>
      <c r="N362" s="1"/>
      <c r="O362" s="1"/>
      <c r="P362" s="1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55"/>
      <c r="K363" s="1"/>
      <c r="L363" s="1"/>
      <c r="M363" s="1"/>
      <c r="N363" s="1"/>
      <c r="O363" s="1"/>
      <c r="P363" s="1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6">ROUND(H217*H354,0)</f>
        <v>405</v>
      </c>
      <c r="I364" s="148"/>
      <c r="J364" s="148"/>
      <c r="K364" s="1"/>
      <c r="L364" s="1"/>
      <c r="M364" s="1"/>
      <c r="N364" s="1"/>
      <c r="O364" s="1"/>
      <c r="P364" s="1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6"/>
        <v>16219200</v>
      </c>
      <c r="I365" s="150"/>
      <c r="J365" s="150"/>
      <c r="K365" s="1"/>
      <c r="L365" s="1"/>
      <c r="M365" s="1"/>
      <c r="N365" s="1"/>
      <c r="O365" s="1"/>
      <c r="P365" s="1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6"/>
        <v>101</v>
      </c>
      <c r="I366" s="148"/>
      <c r="J366" s="148"/>
      <c r="K366" s="1"/>
      <c r="L366" s="1"/>
      <c r="M366" s="1"/>
      <c r="N366" s="1"/>
      <c r="O366" s="1"/>
      <c r="P366" s="1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6"/>
        <v>1165755</v>
      </c>
      <c r="I367" s="150"/>
      <c r="J367" s="150"/>
      <c r="K367" s="1"/>
      <c r="L367" s="1"/>
      <c r="M367" s="1"/>
      <c r="N367" s="1"/>
      <c r="O367" s="1"/>
      <c r="P367" s="1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6"/>
        <v>0</v>
      </c>
      <c r="I368" s="148"/>
      <c r="J368" s="148"/>
      <c r="K368" s="1"/>
      <c r="L368" s="1"/>
      <c r="M368" s="1"/>
      <c r="N368" s="1"/>
      <c r="O368" s="1"/>
      <c r="P368" s="1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6"/>
        <v>0</v>
      </c>
      <c r="I369" s="150"/>
      <c r="J369" s="150"/>
      <c r="K369" s="1"/>
      <c r="L369" s="1"/>
      <c r="M369" s="1"/>
      <c r="N369" s="1"/>
      <c r="O369" s="1"/>
      <c r="P369" s="1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6"/>
        <v>0</v>
      </c>
      <c r="I370" s="148"/>
      <c r="J370" s="148"/>
      <c r="K370" s="1"/>
      <c r="L370" s="1"/>
      <c r="M370" s="1"/>
      <c r="N370" s="1"/>
      <c r="O370" s="1"/>
      <c r="P370" s="1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6"/>
        <v>0</v>
      </c>
      <c r="I371" s="150"/>
      <c r="J371" s="150"/>
      <c r="K371" s="1"/>
      <c r="L371" s="1"/>
      <c r="M371" s="1"/>
      <c r="N371" s="1"/>
      <c r="O371" s="1"/>
      <c r="P371" s="1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6"/>
        <v>0</v>
      </c>
      <c r="I372" s="166"/>
      <c r="J372" s="166"/>
      <c r="K372" s="1"/>
      <c r="L372" s="1"/>
      <c r="M372" s="1"/>
      <c r="N372" s="1"/>
      <c r="O372" s="1"/>
      <c r="P372" s="1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6"/>
        <v>0</v>
      </c>
      <c r="I373" s="150"/>
      <c r="J373" s="150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38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257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0.9299610895</v>
      </c>
      <c r="I377" s="168"/>
      <c r="J377" s="168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239</v>
      </c>
      <c r="I378" s="148"/>
      <c r="J378" s="148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34"/>
      <c r="K379" s="1"/>
      <c r="L379" s="1"/>
      <c r="M379" s="1"/>
      <c r="N379" s="1"/>
      <c r="O379" s="1"/>
      <c r="P379" s="1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6082200</v>
      </c>
      <c r="I380" s="150"/>
      <c r="J380" s="150"/>
      <c r="K380" s="1"/>
      <c r="L380" s="1"/>
      <c r="M380" s="1"/>
      <c r="N380" s="1"/>
      <c r="O380" s="1"/>
      <c r="P380" s="1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55"/>
      <c r="K381" s="1"/>
      <c r="L381" s="1"/>
      <c r="M381" s="1"/>
      <c r="N381" s="1"/>
      <c r="O381" s="1"/>
      <c r="P381" s="1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55"/>
      <c r="K382" s="1"/>
      <c r="L382" s="1"/>
      <c r="M382" s="1"/>
      <c r="N382" s="1"/>
      <c r="O382" s="1"/>
      <c r="P382" s="1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55"/>
      <c r="K383" s="1"/>
      <c r="L383" s="1"/>
      <c r="M383" s="1"/>
      <c r="N383" s="1"/>
      <c r="O383" s="1"/>
      <c r="P383" s="1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55"/>
      <c r="K384" s="1"/>
      <c r="L384" s="1"/>
      <c r="M384" s="1"/>
      <c r="N384" s="1"/>
      <c r="O384" s="1"/>
      <c r="P384" s="1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53"/>
      <c r="K385" s="1"/>
      <c r="L385" s="1"/>
      <c r="M385" s="1"/>
      <c r="N385" s="1"/>
      <c r="O385" s="1"/>
      <c r="P385" s="1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53"/>
      <c r="K386" s="1"/>
      <c r="L386" s="1"/>
      <c r="M386" s="1"/>
      <c r="N386" s="1"/>
      <c r="O386" s="1"/>
      <c r="P386" s="1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53"/>
      <c r="K387" s="1"/>
      <c r="L387" s="1"/>
      <c r="M387" s="1"/>
      <c r="N387" s="1"/>
      <c r="O387" s="1"/>
      <c r="P387" s="1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53"/>
      <c r="K388" s="1"/>
      <c r="L388" s="1"/>
      <c r="M388" s="1"/>
      <c r="N388" s="1"/>
      <c r="O388" s="1"/>
      <c r="P388" s="1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55"/>
      <c r="K389" s="1"/>
      <c r="L389" s="1"/>
      <c r="M389" s="1"/>
      <c r="N389" s="1"/>
      <c r="O389" s="1"/>
      <c r="P389" s="1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55"/>
      <c r="K390" s="1"/>
      <c r="L390" s="1"/>
      <c r="M390" s="1"/>
      <c r="N390" s="1"/>
      <c r="O390" s="1"/>
      <c r="P390" s="1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7">ROUND(H246*H381,0)</f>
        <v>191</v>
      </c>
      <c r="I391" s="148"/>
      <c r="J391" s="148"/>
      <c r="K391" s="1"/>
      <c r="L391" s="1"/>
      <c r="M391" s="1"/>
      <c r="N391" s="1"/>
      <c r="O391" s="1"/>
      <c r="P391" s="1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7"/>
        <v>5719500</v>
      </c>
      <c r="I392" s="150"/>
      <c r="J392" s="150"/>
      <c r="K392" s="1"/>
      <c r="L392" s="1"/>
      <c r="M392" s="1"/>
      <c r="N392" s="1"/>
      <c r="O392" s="1"/>
      <c r="P392" s="1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7"/>
        <v>48</v>
      </c>
      <c r="I393" s="148"/>
      <c r="J393" s="148"/>
      <c r="K393" s="1"/>
      <c r="L393" s="1"/>
      <c r="M393" s="1"/>
      <c r="N393" s="1"/>
      <c r="O393" s="1"/>
      <c r="P393" s="1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7"/>
        <v>362700</v>
      </c>
      <c r="I394" s="150"/>
      <c r="J394" s="150"/>
      <c r="K394" s="1"/>
      <c r="L394" s="1"/>
      <c r="M394" s="1"/>
      <c r="N394" s="1"/>
      <c r="O394" s="1"/>
      <c r="P394" s="1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7"/>
        <v>0</v>
      </c>
      <c r="I395" s="148"/>
      <c r="J395" s="148"/>
      <c r="K395" s="1"/>
      <c r="L395" s="1"/>
      <c r="M395" s="1"/>
      <c r="N395" s="1"/>
      <c r="O395" s="1"/>
      <c r="P395" s="1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7"/>
        <v>0</v>
      </c>
      <c r="I396" s="150"/>
      <c r="J396" s="150"/>
      <c r="K396" s="1"/>
      <c r="L396" s="1"/>
      <c r="M396" s="1"/>
      <c r="N396" s="1"/>
      <c r="O396" s="1"/>
      <c r="P396" s="1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7"/>
        <v>0</v>
      </c>
      <c r="I397" s="148"/>
      <c r="J397" s="148"/>
      <c r="K397" s="1"/>
      <c r="L397" s="1"/>
      <c r="M397" s="1"/>
      <c r="N397" s="1"/>
      <c r="O397" s="1"/>
      <c r="P397" s="1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7"/>
        <v>0</v>
      </c>
      <c r="I398" s="150"/>
      <c r="J398" s="150"/>
      <c r="K398" s="1"/>
      <c r="L398" s="1"/>
      <c r="M398" s="1"/>
      <c r="N398" s="1"/>
      <c r="O398" s="1"/>
      <c r="P398" s="1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7"/>
        <v>0</v>
      </c>
      <c r="I399" s="148"/>
      <c r="J399" s="148"/>
      <c r="K399" s="1"/>
      <c r="L399" s="1"/>
      <c r="M399" s="1"/>
      <c r="N399" s="1"/>
      <c r="O399" s="1"/>
      <c r="P399" s="1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7"/>
        <v>0</v>
      </c>
      <c r="I400" s="150"/>
      <c r="J400" s="150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18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1031</v>
      </c>
      <c r="I404" s="123"/>
      <c r="J404" s="123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68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1031</v>
      </c>
      <c r="I406" s="148"/>
      <c r="J406" s="148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47841897</v>
      </c>
      <c r="I408" s="150"/>
      <c r="J408" s="150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68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47841897</v>
      </c>
      <c r="I410" s="150"/>
      <c r="J410" s="150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15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38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68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31</v>
      </c>
      <c r="I414" s="148"/>
      <c r="J414" s="148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68"/>
      <c r="K415" s="1"/>
      <c r="L415" s="1"/>
      <c r="M415" s="1"/>
      <c r="N415" s="1"/>
      <c r="O415" s="1"/>
      <c r="P415" s="1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3991002</v>
      </c>
      <c r="I416" s="150"/>
      <c r="J416" s="150"/>
      <c r="K416" s="1"/>
      <c r="L416" s="1"/>
      <c r="M416" s="1"/>
      <c r="N416" s="1"/>
      <c r="O416" s="1"/>
      <c r="P416" s="1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53"/>
      <c r="K417" s="1"/>
      <c r="L417" s="1"/>
      <c r="M417" s="1"/>
      <c r="N417" s="1"/>
      <c r="O417" s="1"/>
      <c r="P417" s="1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53"/>
      <c r="K418" s="1"/>
      <c r="L418" s="1"/>
      <c r="M418" s="1"/>
      <c r="N418" s="1"/>
      <c r="O418" s="1"/>
      <c r="P418" s="1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53"/>
      <c r="K419" s="1"/>
      <c r="L419" s="1"/>
      <c r="M419" s="1"/>
      <c r="N419" s="1"/>
      <c r="O419" s="1"/>
      <c r="P419" s="1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53"/>
      <c r="K420" s="1"/>
      <c r="L420" s="1"/>
      <c r="M420" s="1"/>
      <c r="N420" s="1"/>
      <c r="O420" s="1"/>
      <c r="P420" s="1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53"/>
      <c r="K421" s="1"/>
      <c r="L421" s="1"/>
      <c r="M421" s="1"/>
      <c r="N421" s="1"/>
      <c r="O421" s="1"/>
      <c r="P421" s="1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53"/>
      <c r="K422" s="1"/>
      <c r="L422" s="1"/>
      <c r="M422" s="1"/>
      <c r="N422" s="1"/>
      <c r="O422" s="1"/>
      <c r="P422" s="1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53"/>
      <c r="K423" s="1"/>
      <c r="L423" s="1"/>
      <c r="M423" s="1"/>
      <c r="N423" s="1"/>
      <c r="O423" s="1"/>
      <c r="P423" s="1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53"/>
      <c r="K424" s="1"/>
      <c r="L424" s="1"/>
      <c r="M424" s="1"/>
      <c r="N424" s="1"/>
      <c r="O424" s="1"/>
      <c r="P424" s="1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53"/>
      <c r="K425" s="1"/>
      <c r="L425" s="1"/>
      <c r="M425" s="1"/>
      <c r="N425" s="1"/>
      <c r="O425" s="1"/>
      <c r="P425" s="1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53"/>
      <c r="K426" s="1"/>
      <c r="L426" s="1"/>
      <c r="M426" s="1"/>
      <c r="N426" s="1"/>
      <c r="O426" s="1"/>
      <c r="P426" s="1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8">ROUND(H283*H417,0)</f>
        <v>20</v>
      </c>
      <c r="I427" s="148"/>
      <c r="J427" s="148"/>
      <c r="K427" s="1"/>
      <c r="L427" s="1"/>
      <c r="M427" s="1"/>
      <c r="N427" s="1"/>
      <c r="O427" s="1"/>
      <c r="P427" s="1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8"/>
        <v>2929500</v>
      </c>
      <c r="I428" s="173"/>
      <c r="J428" s="173"/>
      <c r="K428" s="1"/>
      <c r="L428" s="1"/>
      <c r="M428" s="1"/>
      <c r="N428" s="1"/>
      <c r="O428" s="1"/>
      <c r="P428" s="1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8"/>
        <v>4</v>
      </c>
      <c r="I429" s="148"/>
      <c r="J429" s="148"/>
      <c r="K429" s="1"/>
      <c r="L429" s="1"/>
      <c r="M429" s="1"/>
      <c r="N429" s="1"/>
      <c r="O429" s="1"/>
      <c r="P429" s="1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8"/>
        <v>117552</v>
      </c>
      <c r="I430" s="148"/>
      <c r="J430" s="148"/>
      <c r="K430" s="1"/>
      <c r="L430" s="1"/>
      <c r="M430" s="1"/>
      <c r="N430" s="1"/>
      <c r="O430" s="1"/>
      <c r="P430" s="1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8"/>
        <v>0</v>
      </c>
      <c r="I431" s="174"/>
      <c r="J431" s="174"/>
      <c r="K431" s="1"/>
      <c r="L431" s="1"/>
      <c r="M431" s="1"/>
      <c r="N431" s="1"/>
      <c r="O431" s="1"/>
      <c r="P431" s="1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8"/>
        <v>0</v>
      </c>
      <c r="I432" s="174"/>
      <c r="J432" s="174"/>
      <c r="K432" s="1"/>
      <c r="L432" s="1"/>
      <c r="M432" s="1"/>
      <c r="N432" s="1"/>
      <c r="O432" s="1"/>
      <c r="P432" s="1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8"/>
        <v>7</v>
      </c>
      <c r="I433" s="174"/>
      <c r="J433" s="174"/>
      <c r="K433" s="1"/>
      <c r="L433" s="1"/>
      <c r="M433" s="1"/>
      <c r="N433" s="1"/>
      <c r="O433" s="1"/>
      <c r="P433" s="1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8"/>
        <v>943950</v>
      </c>
      <c r="I434" s="174"/>
      <c r="J434" s="174"/>
      <c r="K434" s="1"/>
      <c r="L434" s="1"/>
      <c r="M434" s="1"/>
      <c r="N434" s="1"/>
      <c r="O434" s="1"/>
      <c r="P434" s="1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8"/>
        <v>3</v>
      </c>
      <c r="I435" s="174"/>
      <c r="J435" s="174"/>
      <c r="K435" s="1"/>
      <c r="L435" s="1"/>
      <c r="M435" s="1"/>
      <c r="N435" s="1"/>
      <c r="O435" s="1"/>
      <c r="P435" s="1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8"/>
        <v>0</v>
      </c>
      <c r="I436" s="174"/>
      <c r="J436" s="174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38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68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41</v>
      </c>
      <c r="I440" s="148"/>
      <c r="J440" s="148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68"/>
      <c r="K441" s="1"/>
      <c r="L441" s="1"/>
      <c r="M441" s="1"/>
      <c r="N441" s="1"/>
      <c r="O441" s="1"/>
      <c r="P441" s="1"/>
      <c r="Q441" s="1"/>
      <c r="R441" s="1"/>
      <c r="S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4070610</v>
      </c>
      <c r="I442" s="150"/>
      <c r="J442" s="150"/>
      <c r="K442" s="1"/>
      <c r="L442" s="1"/>
      <c r="M442" s="1"/>
      <c r="N442" s="1"/>
      <c r="O442" s="1"/>
      <c r="P442" s="1"/>
      <c r="Q442" s="1"/>
      <c r="R442" s="1"/>
      <c r="S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55"/>
      <c r="K443" s="1"/>
      <c r="L443" s="1"/>
      <c r="M443" s="1"/>
      <c r="N443" s="1"/>
      <c r="O443" s="1"/>
      <c r="P443" s="1"/>
      <c r="Q443" s="1"/>
      <c r="R443" s="1"/>
      <c r="S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55"/>
      <c r="K444" s="1"/>
      <c r="L444" s="1"/>
      <c r="M444" s="1"/>
      <c r="N444" s="1"/>
      <c r="O444" s="1"/>
      <c r="P444" s="1"/>
      <c r="Q444" s="1"/>
      <c r="R444" s="1"/>
      <c r="S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55"/>
      <c r="K445" s="1"/>
      <c r="L445" s="1"/>
      <c r="M445" s="1"/>
      <c r="N445" s="1"/>
      <c r="O445" s="1"/>
      <c r="P445" s="1"/>
      <c r="Q445" s="1"/>
      <c r="R445" s="1"/>
      <c r="S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55"/>
      <c r="K446" s="1"/>
      <c r="L446" s="1"/>
      <c r="M446" s="1"/>
      <c r="N446" s="1"/>
      <c r="O446" s="1"/>
      <c r="P446" s="1"/>
      <c r="Q446" s="1"/>
      <c r="R446" s="1"/>
      <c r="S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55"/>
      <c r="K447" s="1"/>
      <c r="L447" s="1"/>
      <c r="M447" s="1"/>
      <c r="N447" s="1"/>
      <c r="O447" s="1"/>
      <c r="P447" s="1"/>
      <c r="Q447" s="1"/>
      <c r="R447" s="1"/>
      <c r="S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55"/>
      <c r="K448" s="1"/>
      <c r="L448" s="1"/>
      <c r="M448" s="1"/>
      <c r="N448" s="1"/>
      <c r="O448" s="1"/>
      <c r="P448" s="1"/>
      <c r="Q448" s="1"/>
      <c r="R448" s="1"/>
      <c r="S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53"/>
      <c r="K449" s="1"/>
      <c r="L449" s="1"/>
      <c r="M449" s="1"/>
      <c r="N449" s="1"/>
      <c r="O449" s="1"/>
      <c r="P449" s="1"/>
      <c r="Q449" s="1"/>
      <c r="R449" s="1"/>
      <c r="S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53"/>
      <c r="K450" s="1"/>
      <c r="L450" s="1"/>
      <c r="M450" s="1"/>
      <c r="N450" s="1"/>
      <c r="O450" s="1"/>
      <c r="P450" s="1"/>
      <c r="Q450" s="1"/>
      <c r="R450" s="1"/>
      <c r="S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53"/>
      <c r="K451" s="1"/>
      <c r="L451" s="1"/>
      <c r="M451" s="1"/>
      <c r="N451" s="1"/>
      <c r="O451" s="1"/>
      <c r="P451" s="1"/>
      <c r="Q451" s="1"/>
      <c r="R451" s="1"/>
      <c r="S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53"/>
      <c r="K452" s="1"/>
      <c r="L452" s="1"/>
      <c r="M452" s="1"/>
      <c r="N452" s="1"/>
      <c r="O452" s="1"/>
      <c r="P452" s="1"/>
      <c r="Q452" s="1"/>
      <c r="R452" s="1"/>
      <c r="S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9">ROUND(H310*H443,0)</f>
        <v>26</v>
      </c>
      <c r="I453" s="148"/>
      <c r="J453" s="148"/>
      <c r="K453" s="1"/>
      <c r="L453" s="1"/>
      <c r="M453" s="1"/>
      <c r="N453" s="1"/>
      <c r="O453" s="1"/>
      <c r="P453" s="1"/>
      <c r="Q453" s="1"/>
      <c r="R453" s="1"/>
      <c r="S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9"/>
        <v>3124800</v>
      </c>
      <c r="I454" s="148"/>
      <c r="J454" s="148"/>
      <c r="K454" s="1"/>
      <c r="L454" s="1"/>
      <c r="M454" s="1"/>
      <c r="N454" s="1"/>
      <c r="O454" s="1"/>
      <c r="P454" s="1"/>
      <c r="Q454" s="1"/>
      <c r="R454" s="1"/>
      <c r="S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9"/>
        <v>7</v>
      </c>
      <c r="I455" s="148"/>
      <c r="J455" s="148"/>
      <c r="K455" s="1"/>
      <c r="L455" s="1"/>
      <c r="M455" s="1"/>
      <c r="N455" s="1"/>
      <c r="O455" s="1"/>
      <c r="P455" s="1"/>
      <c r="Q455" s="1"/>
      <c r="R455" s="1"/>
      <c r="S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9"/>
        <v>117180</v>
      </c>
      <c r="I456" s="148"/>
      <c r="J456" s="148"/>
      <c r="K456" s="1"/>
      <c r="L456" s="1"/>
      <c r="M456" s="1"/>
      <c r="N456" s="1"/>
      <c r="O456" s="1"/>
      <c r="P456" s="1"/>
      <c r="Q456" s="1"/>
      <c r="R456" s="1"/>
      <c r="S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9"/>
        <v>0</v>
      </c>
      <c r="I457" s="148"/>
      <c r="J457" s="148"/>
      <c r="K457" s="1"/>
      <c r="L457" s="1"/>
      <c r="M457" s="1"/>
      <c r="N457" s="1"/>
      <c r="O457" s="1"/>
      <c r="P457" s="1"/>
      <c r="Q457" s="1"/>
      <c r="R457" s="1"/>
      <c r="S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9"/>
        <v>0</v>
      </c>
      <c r="I458" s="148"/>
      <c r="J458" s="148"/>
      <c r="K458" s="1"/>
      <c r="L458" s="1"/>
      <c r="M458" s="1"/>
      <c r="N458" s="1"/>
      <c r="O458" s="1"/>
      <c r="P458" s="1"/>
      <c r="Q458" s="1"/>
      <c r="R458" s="1"/>
      <c r="S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9"/>
        <v>8</v>
      </c>
      <c r="I459" s="148"/>
      <c r="J459" s="148"/>
      <c r="K459" s="1"/>
      <c r="L459" s="1"/>
      <c r="M459" s="1"/>
      <c r="N459" s="1"/>
      <c r="O459" s="1"/>
      <c r="P459" s="1"/>
      <c r="Q459" s="1"/>
      <c r="R459" s="1"/>
      <c r="S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9"/>
        <v>828630</v>
      </c>
      <c r="I460" s="148"/>
      <c r="J460" s="148"/>
      <c r="K460" s="1"/>
      <c r="L460" s="1"/>
      <c r="M460" s="1"/>
      <c r="N460" s="1"/>
      <c r="O460" s="1"/>
      <c r="P460" s="1"/>
      <c r="Q460" s="1"/>
      <c r="R460" s="1"/>
      <c r="S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9"/>
        <v>4</v>
      </c>
      <c r="I461" s="148"/>
      <c r="J461" s="148"/>
      <c r="K461" s="1"/>
      <c r="L461" s="1"/>
      <c r="M461" s="1"/>
      <c r="N461" s="1"/>
      <c r="O461" s="1"/>
      <c r="P461" s="1"/>
      <c r="Q461" s="1"/>
      <c r="R461" s="1"/>
      <c r="S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9"/>
        <v>0</v>
      </c>
      <c r="I462" s="148"/>
      <c r="J462" s="148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38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68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214</v>
      </c>
      <c r="I466" s="148"/>
      <c r="J466" s="148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68"/>
      <c r="K467" s="1"/>
      <c r="L467" s="1"/>
      <c r="M467" s="1"/>
      <c r="N467" s="1"/>
      <c r="O467" s="1"/>
      <c r="P467" s="1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16313130</v>
      </c>
      <c r="I468" s="150"/>
      <c r="J468" s="150"/>
      <c r="K468" s="1"/>
      <c r="L468" s="1"/>
      <c r="M468" s="1"/>
      <c r="N468" s="1"/>
      <c r="O468" s="1"/>
      <c r="P468" s="1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55"/>
      <c r="K469" s="1"/>
      <c r="L469" s="1"/>
      <c r="M469" s="1"/>
      <c r="N469" s="1"/>
      <c r="O469" s="1"/>
      <c r="P469" s="1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55"/>
      <c r="K470" s="1"/>
      <c r="L470" s="1"/>
      <c r="M470" s="1"/>
      <c r="N470" s="1"/>
      <c r="O470" s="1"/>
      <c r="P470" s="1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55"/>
      <c r="K471" s="1"/>
      <c r="L471" s="1"/>
      <c r="M471" s="1"/>
      <c r="N471" s="1"/>
      <c r="O471" s="1"/>
      <c r="P471" s="1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55"/>
      <c r="K472" s="1"/>
      <c r="L472" s="1"/>
      <c r="M472" s="1"/>
      <c r="N472" s="1"/>
      <c r="O472" s="1"/>
      <c r="P472" s="1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55"/>
      <c r="K473" s="1"/>
      <c r="L473" s="1"/>
      <c r="M473" s="1"/>
      <c r="N473" s="1"/>
      <c r="O473" s="1"/>
      <c r="P473" s="1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55"/>
      <c r="K474" s="1"/>
      <c r="L474" s="1"/>
      <c r="M474" s="1"/>
      <c r="N474" s="1"/>
      <c r="O474" s="1"/>
      <c r="P474" s="1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55"/>
      <c r="K475" s="1"/>
      <c r="L475" s="1"/>
      <c r="M475" s="1"/>
      <c r="N475" s="1"/>
      <c r="O475" s="1"/>
      <c r="P475" s="1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55"/>
      <c r="K476" s="1"/>
      <c r="L476" s="1"/>
      <c r="M476" s="1"/>
      <c r="N476" s="1"/>
      <c r="O476" s="1"/>
      <c r="P476" s="1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55"/>
      <c r="K477" s="1"/>
      <c r="L477" s="1"/>
      <c r="M477" s="1"/>
      <c r="N477" s="1"/>
      <c r="O477" s="1"/>
      <c r="P477" s="1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55"/>
      <c r="K478" s="1"/>
      <c r="L478" s="1"/>
      <c r="M478" s="1"/>
      <c r="N478" s="1"/>
      <c r="O478" s="1"/>
      <c r="P478" s="1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10">ROUND(H337*H469,0)</f>
        <v>128</v>
      </c>
      <c r="I479" s="148"/>
      <c r="J479" s="148"/>
      <c r="K479" s="1"/>
      <c r="L479" s="1"/>
      <c r="M479" s="1"/>
      <c r="N479" s="1"/>
      <c r="O479" s="1"/>
      <c r="P479" s="1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10"/>
        <v>12834000</v>
      </c>
      <c r="I480" s="148"/>
      <c r="J480" s="148"/>
      <c r="K480" s="1"/>
      <c r="L480" s="1"/>
      <c r="M480" s="1"/>
      <c r="N480" s="1"/>
      <c r="O480" s="1"/>
      <c r="P480" s="1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10"/>
        <v>22</v>
      </c>
      <c r="I481" s="148"/>
      <c r="J481" s="148"/>
      <c r="K481" s="1"/>
      <c r="L481" s="1"/>
      <c r="M481" s="1"/>
      <c r="N481" s="1"/>
      <c r="O481" s="1"/>
      <c r="P481" s="1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10"/>
        <v>334800</v>
      </c>
      <c r="I482" s="148"/>
      <c r="J482" s="148"/>
      <c r="K482" s="1"/>
      <c r="L482" s="1"/>
      <c r="M482" s="1"/>
      <c r="N482" s="1"/>
      <c r="O482" s="1"/>
      <c r="P482" s="1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10"/>
        <v>0</v>
      </c>
      <c r="I483" s="148"/>
      <c r="J483" s="148"/>
      <c r="K483" s="1"/>
      <c r="L483" s="1"/>
      <c r="M483" s="1"/>
      <c r="N483" s="1"/>
      <c r="O483" s="1"/>
      <c r="P483" s="1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10"/>
        <v>0</v>
      </c>
      <c r="I484" s="148"/>
      <c r="J484" s="148"/>
      <c r="K484" s="1"/>
      <c r="L484" s="1"/>
      <c r="M484" s="1"/>
      <c r="N484" s="1"/>
      <c r="O484" s="1"/>
      <c r="P484" s="1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10"/>
        <v>64</v>
      </c>
      <c r="I485" s="148"/>
      <c r="J485" s="148"/>
      <c r="K485" s="1"/>
      <c r="L485" s="1"/>
      <c r="M485" s="1"/>
      <c r="N485" s="1"/>
      <c r="O485" s="1"/>
      <c r="P485" s="1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10"/>
        <v>3144330</v>
      </c>
      <c r="I486" s="148"/>
      <c r="J486" s="148"/>
      <c r="K486" s="1"/>
      <c r="L486" s="1"/>
      <c r="M486" s="1"/>
      <c r="N486" s="1"/>
      <c r="O486" s="1"/>
      <c r="P486" s="1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10"/>
        <v>0</v>
      </c>
      <c r="I487" s="148"/>
      <c r="J487" s="148"/>
      <c r="K487" s="1"/>
      <c r="L487" s="1"/>
      <c r="M487" s="1"/>
      <c r="N487" s="1"/>
      <c r="O487" s="1"/>
      <c r="P487" s="1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10"/>
        <v>0</v>
      </c>
      <c r="I488" s="148"/>
      <c r="J488" s="148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38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68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506</v>
      </c>
      <c r="I492" s="148"/>
      <c r="J492" s="148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68"/>
      <c r="K493" s="1"/>
      <c r="L493" s="1"/>
      <c r="M493" s="1"/>
      <c r="N493" s="1"/>
      <c r="O493" s="1"/>
      <c r="P493" s="1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17384955</v>
      </c>
      <c r="I494" s="150"/>
      <c r="J494" s="150"/>
      <c r="K494" s="1"/>
      <c r="L494" s="1"/>
      <c r="M494" s="1"/>
      <c r="N494" s="1"/>
      <c r="O494" s="1"/>
      <c r="P494" s="1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55"/>
      <c r="K495" s="1"/>
      <c r="L495" s="1"/>
      <c r="M495" s="1"/>
      <c r="N495" s="1"/>
      <c r="O495" s="1"/>
      <c r="P495" s="1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55"/>
      <c r="K496" s="1"/>
      <c r="L496" s="1"/>
      <c r="M496" s="1"/>
      <c r="N496" s="1"/>
      <c r="O496" s="1"/>
      <c r="P496" s="1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55"/>
      <c r="K497" s="1"/>
      <c r="L497" s="1"/>
      <c r="M497" s="1"/>
      <c r="N497" s="1"/>
      <c r="O497" s="1"/>
      <c r="P497" s="1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55"/>
      <c r="K498" s="1"/>
      <c r="L498" s="1"/>
      <c r="M498" s="1"/>
      <c r="N498" s="1"/>
      <c r="O498" s="1"/>
      <c r="P498" s="1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53"/>
      <c r="K499" s="1"/>
      <c r="L499" s="1"/>
      <c r="M499" s="1"/>
      <c r="N499" s="1"/>
      <c r="O499" s="1"/>
      <c r="P499" s="1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53"/>
      <c r="K500" s="1"/>
      <c r="L500" s="1"/>
      <c r="M500" s="1"/>
      <c r="N500" s="1"/>
      <c r="O500" s="1"/>
      <c r="P500" s="1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53"/>
      <c r="K501" s="1"/>
      <c r="L501" s="1"/>
      <c r="M501" s="1"/>
      <c r="N501" s="1"/>
      <c r="O501" s="1"/>
      <c r="P501" s="1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53"/>
      <c r="K502" s="1"/>
      <c r="L502" s="1"/>
      <c r="M502" s="1"/>
      <c r="N502" s="1"/>
      <c r="O502" s="1"/>
      <c r="P502" s="1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53"/>
      <c r="K503" s="1"/>
      <c r="L503" s="1"/>
      <c r="M503" s="1"/>
      <c r="N503" s="1"/>
      <c r="O503" s="1"/>
      <c r="P503" s="1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53"/>
      <c r="K504" s="1"/>
      <c r="L504" s="1"/>
      <c r="M504" s="1"/>
      <c r="N504" s="1"/>
      <c r="O504" s="1"/>
      <c r="P504" s="1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1">ROUND(H364*H495,0)</f>
        <v>405</v>
      </c>
      <c r="I505" s="148"/>
      <c r="J505" s="148"/>
      <c r="K505" s="1"/>
      <c r="L505" s="1"/>
      <c r="M505" s="1"/>
      <c r="N505" s="1"/>
      <c r="O505" s="1"/>
      <c r="P505" s="1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1"/>
        <v>16219200</v>
      </c>
      <c r="I506" s="148"/>
      <c r="J506" s="148"/>
      <c r="K506" s="1"/>
      <c r="L506" s="1"/>
      <c r="M506" s="1"/>
      <c r="N506" s="1"/>
      <c r="O506" s="1"/>
      <c r="P506" s="1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1"/>
        <v>101</v>
      </c>
      <c r="I507" s="148"/>
      <c r="J507" s="148"/>
      <c r="K507" s="1"/>
      <c r="L507" s="1"/>
      <c r="M507" s="1"/>
      <c r="N507" s="1"/>
      <c r="O507" s="1"/>
      <c r="P507" s="1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1"/>
        <v>1165755</v>
      </c>
      <c r="I508" s="148"/>
      <c r="J508" s="148"/>
      <c r="K508" s="1"/>
      <c r="L508" s="1"/>
      <c r="M508" s="1"/>
      <c r="N508" s="1"/>
      <c r="O508" s="1"/>
      <c r="P508" s="1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1"/>
        <v>0</v>
      </c>
      <c r="I509" s="148"/>
      <c r="J509" s="148"/>
      <c r="K509" s="1"/>
      <c r="L509" s="1"/>
      <c r="M509" s="1"/>
      <c r="N509" s="1"/>
      <c r="O509" s="1"/>
      <c r="P509" s="1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1"/>
        <v>0</v>
      </c>
      <c r="I510" s="148"/>
      <c r="J510" s="148"/>
      <c r="K510" s="1"/>
      <c r="L510" s="1"/>
      <c r="M510" s="1"/>
      <c r="N510" s="1"/>
      <c r="O510" s="1"/>
      <c r="P510" s="1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1"/>
        <v>0</v>
      </c>
      <c r="I511" s="148"/>
      <c r="J511" s="148"/>
      <c r="K511" s="1"/>
      <c r="L511" s="1"/>
      <c r="M511" s="1"/>
      <c r="N511" s="1"/>
      <c r="O511" s="1"/>
      <c r="P511" s="1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1"/>
        <v>0</v>
      </c>
      <c r="I512" s="148"/>
      <c r="J512" s="148"/>
      <c r="K512" s="1"/>
      <c r="L512" s="1"/>
      <c r="M512" s="1"/>
      <c r="N512" s="1"/>
      <c r="O512" s="1"/>
      <c r="P512" s="1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1"/>
        <v>0</v>
      </c>
      <c r="I513" s="148"/>
      <c r="J513" s="148"/>
      <c r="K513" s="1"/>
      <c r="L513" s="1"/>
      <c r="M513" s="1"/>
      <c r="N513" s="1"/>
      <c r="O513" s="1"/>
      <c r="P513" s="1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1"/>
        <v>0</v>
      </c>
      <c r="I514" s="148"/>
      <c r="J514" s="148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38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68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239</v>
      </c>
      <c r="I518" s="148"/>
      <c r="J518" s="148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68"/>
      <c r="K519" s="1"/>
      <c r="L519" s="1"/>
      <c r="M519" s="1"/>
      <c r="N519" s="1"/>
      <c r="O519" s="1"/>
      <c r="P519" s="1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6082200</v>
      </c>
      <c r="I520" s="150"/>
      <c r="J520" s="150"/>
      <c r="K520" s="1"/>
      <c r="L520" s="1"/>
      <c r="M520" s="1"/>
      <c r="N520" s="1"/>
      <c r="O520" s="1"/>
      <c r="P520" s="1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55"/>
      <c r="K521" s="1"/>
      <c r="L521" s="1"/>
      <c r="M521" s="1"/>
      <c r="N521" s="1"/>
      <c r="O521" s="1"/>
      <c r="P521" s="1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55"/>
      <c r="K522" s="1"/>
      <c r="L522" s="1"/>
      <c r="M522" s="1"/>
      <c r="N522" s="1"/>
      <c r="O522" s="1"/>
      <c r="P522" s="1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55"/>
      <c r="K523" s="1"/>
      <c r="L523" s="1"/>
      <c r="M523" s="1"/>
      <c r="N523" s="1"/>
      <c r="O523" s="1"/>
      <c r="P523" s="1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55"/>
      <c r="K524" s="1"/>
      <c r="L524" s="1"/>
      <c r="M524" s="1"/>
      <c r="N524" s="1"/>
      <c r="O524" s="1"/>
      <c r="P524" s="1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53"/>
      <c r="K525" s="1"/>
      <c r="L525" s="1"/>
      <c r="M525" s="1"/>
      <c r="N525" s="1"/>
      <c r="O525" s="1"/>
      <c r="P525" s="1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53"/>
      <c r="K526" s="1"/>
      <c r="L526" s="1"/>
      <c r="M526" s="1"/>
      <c r="N526" s="1"/>
      <c r="O526" s="1"/>
      <c r="P526" s="1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53"/>
      <c r="K527" s="1"/>
      <c r="L527" s="1"/>
      <c r="M527" s="1"/>
      <c r="N527" s="1"/>
      <c r="O527" s="1"/>
      <c r="P527" s="1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53"/>
      <c r="K528" s="1"/>
      <c r="L528" s="1"/>
      <c r="M528" s="1"/>
      <c r="N528" s="1"/>
      <c r="O528" s="1"/>
      <c r="P528" s="1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53"/>
      <c r="K529" s="1"/>
      <c r="L529" s="1"/>
      <c r="M529" s="1"/>
      <c r="N529" s="1"/>
      <c r="O529" s="1"/>
      <c r="P529" s="1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53"/>
      <c r="K530" s="1"/>
      <c r="L530" s="1"/>
      <c r="M530" s="1"/>
      <c r="N530" s="1"/>
      <c r="O530" s="1"/>
      <c r="P530" s="1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2">ROUND(H391*H521,0)</f>
        <v>191</v>
      </c>
      <c r="I531" s="148"/>
      <c r="J531" s="148"/>
      <c r="K531" s="1"/>
      <c r="L531" s="1"/>
      <c r="M531" s="1"/>
      <c r="N531" s="1"/>
      <c r="O531" s="1"/>
      <c r="P531" s="1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2"/>
        <v>5719500</v>
      </c>
      <c r="I532" s="148"/>
      <c r="J532" s="148"/>
      <c r="K532" s="1"/>
      <c r="L532" s="1"/>
      <c r="M532" s="1"/>
      <c r="N532" s="1"/>
      <c r="O532" s="1"/>
      <c r="P532" s="1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2"/>
        <v>48</v>
      </c>
      <c r="I533" s="148"/>
      <c r="J533" s="148"/>
      <c r="K533" s="1"/>
      <c r="L533" s="1"/>
      <c r="M533" s="1"/>
      <c r="N533" s="1"/>
      <c r="O533" s="1"/>
      <c r="P533" s="1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2"/>
        <v>362700</v>
      </c>
      <c r="I534" s="148"/>
      <c r="J534" s="148"/>
      <c r="K534" s="1"/>
      <c r="L534" s="1"/>
      <c r="M534" s="1"/>
      <c r="N534" s="1"/>
      <c r="O534" s="1"/>
      <c r="P534" s="1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2"/>
        <v>0</v>
      </c>
      <c r="I535" s="148"/>
      <c r="J535" s="148"/>
      <c r="K535" s="1"/>
      <c r="L535" s="1"/>
      <c r="M535" s="1"/>
      <c r="N535" s="1"/>
      <c r="O535" s="1"/>
      <c r="P535" s="1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2"/>
        <v>0</v>
      </c>
      <c r="I536" s="148"/>
      <c r="J536" s="148"/>
      <c r="K536" s="1"/>
      <c r="L536" s="1"/>
      <c r="M536" s="1"/>
      <c r="N536" s="1"/>
      <c r="O536" s="1"/>
      <c r="P536" s="1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2"/>
        <v>0</v>
      </c>
      <c r="I537" s="148"/>
      <c r="J537" s="148"/>
      <c r="K537" s="1"/>
      <c r="L537" s="1"/>
      <c r="M537" s="1"/>
      <c r="N537" s="1"/>
      <c r="O537" s="1"/>
      <c r="P537" s="1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2"/>
        <v>0</v>
      </c>
      <c r="I538" s="148"/>
      <c r="J538" s="148"/>
      <c r="K538" s="1"/>
      <c r="L538" s="1"/>
      <c r="M538" s="1"/>
      <c r="N538" s="1"/>
      <c r="O538" s="1"/>
      <c r="P538" s="1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2"/>
        <v>0</v>
      </c>
      <c r="I539" s="148"/>
      <c r="J539" s="148"/>
      <c r="K539" s="1"/>
      <c r="L539" s="1"/>
      <c r="M539" s="1"/>
      <c r="N539" s="1"/>
      <c r="O539" s="1"/>
      <c r="P539" s="1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2"/>
        <v>0</v>
      </c>
      <c r="I540" s="148"/>
      <c r="J540" s="148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18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J545" si="13">SUM(H554,H588,H629,H663,H703,H737)</f>
        <v>4916910</v>
      </c>
      <c r="I545" s="178">
        <f t="shared" si="13"/>
        <v>0</v>
      </c>
      <c r="J545" s="178">
        <f t="shared" si="13"/>
        <v>0</v>
      </c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J546" si="14">SUM(H553,H587,H628,H662,H702,H735)</f>
        <v>0</v>
      </c>
      <c r="I546" s="180">
        <f t="shared" si="14"/>
        <v>354000</v>
      </c>
      <c r="J546" s="180">
        <f t="shared" si="14"/>
        <v>454000</v>
      </c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43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J549" si="15">SUM(H571,H605,H624,H646,H679,H698,H720,H754,H774)</f>
        <v>31500</v>
      </c>
      <c r="I549" s="178">
        <f t="shared" si="15"/>
        <v>34650</v>
      </c>
      <c r="J549" s="178">
        <f t="shared" si="15"/>
        <v>38115</v>
      </c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8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83"/>
      <c r="K551" s="136"/>
      <c r="L551" s="136"/>
      <c r="M551" s="136"/>
      <c r="N551" s="136"/>
      <c r="O551" s="136"/>
      <c r="P551" s="136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84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J553" si="16">F833</f>
        <v>$ [Executar-no loyalty] Revenue Expansion</v>
      </c>
      <c r="G553" s="163" t="str">
        <f t="shared" si="16"/>
        <v/>
      </c>
      <c r="H553" s="170">
        <f t="shared" si="16"/>
        <v>0</v>
      </c>
      <c r="I553" s="170">
        <f t="shared" si="16"/>
        <v>0</v>
      </c>
      <c r="J553" s="170">
        <f t="shared" si="16"/>
        <v>0</v>
      </c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J554" si="17">H133</f>
        <v>0</v>
      </c>
      <c r="I554" s="184" t="str">
        <f t="shared" si="17"/>
        <v/>
      </c>
      <c r="J554" s="184" t="str">
        <f t="shared" si="17"/>
        <v/>
      </c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J555" si="18">SUM(H553:H554)</f>
        <v>0</v>
      </c>
      <c r="I555" s="184">
        <f t="shared" si="18"/>
        <v>0</v>
      </c>
      <c r="J555" s="184">
        <f t="shared" si="18"/>
        <v>0</v>
      </c>
      <c r="K555" s="1"/>
      <c r="L555" s="1"/>
      <c r="M555" s="1"/>
      <c r="N555" s="1"/>
      <c r="O555" s="1"/>
      <c r="P555" s="1"/>
      <c r="Q555" s="1"/>
      <c r="R555" s="1"/>
      <c r="S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86"/>
      <c r="K556" s="1"/>
      <c r="L556" s="1"/>
      <c r="M556" s="1"/>
      <c r="N556" s="1"/>
      <c r="O556" s="1"/>
      <c r="P556" s="1"/>
      <c r="Q556" s="1"/>
      <c r="R556" s="1"/>
      <c r="S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J557" si="19">IF(COLUMN() &lt; (COLUMN($H$557) + (ROW()-ROW($H$557))), 0, IF(COLUMN() = (COLUMN($H$557) + (ROW()-ROW($H$557))), $H$556, IF(G557&gt;0, G557-1, $H$556-1)))</f>
        <v>2</v>
      </c>
      <c r="I557" s="186">
        <f t="shared" si="19"/>
        <v>1</v>
      </c>
      <c r="J557" s="186">
        <f t="shared" si="19"/>
        <v>0</v>
      </c>
      <c r="K557" s="1"/>
      <c r="L557" s="1"/>
      <c r="M557" s="1"/>
      <c r="N557" s="1"/>
      <c r="O557" s="1"/>
      <c r="P557" s="1"/>
      <c r="Q557" s="1"/>
      <c r="R557" s="1"/>
      <c r="S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J558" si="20">IF(COLUMN() &lt; (COLUMN($H$557) + (ROW()-ROW($H$557))), 0, IF(COLUMN() = (COLUMN($H$557) + (ROW()-ROW($H$557))), $H$556, IF(G558&gt;0, G558-1, $H$556-1)))</f>
        <v>0</v>
      </c>
      <c r="I558" s="186">
        <f t="shared" si="20"/>
        <v>2</v>
      </c>
      <c r="J558" s="186">
        <f t="shared" si="20"/>
        <v>1</v>
      </c>
      <c r="K558" s="1"/>
      <c r="L558" s="1"/>
      <c r="M558" s="1"/>
      <c r="N558" s="1"/>
      <c r="O558" s="1"/>
      <c r="P558" s="1"/>
      <c r="Q558" s="1"/>
      <c r="R558" s="1"/>
      <c r="S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J559" si="21">IF(COLUMN() &lt; (COLUMN($H$557) + (ROW()-ROW($H$557))), 0, IF(COLUMN() = (COLUMN($H$557) + (ROW()-ROW($H$557))), $H$556, IF(G559&gt;0, G559-1, $H$556-1)))</f>
        <v>0</v>
      </c>
      <c r="I559" s="186">
        <f t="shared" si="21"/>
        <v>0</v>
      </c>
      <c r="J559" s="186">
        <f t="shared" si="21"/>
        <v>2</v>
      </c>
      <c r="K559" s="1"/>
      <c r="L559" s="1"/>
      <c r="M559" s="1"/>
      <c r="N559" s="1"/>
      <c r="O559" s="1"/>
      <c r="P559" s="1"/>
      <c r="Q559" s="1"/>
      <c r="R559" s="1"/>
      <c r="S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J560" si="22">IF(COLUMN() &lt; (COLUMN($H$557) + (ROW()-ROW($H$557))), 0, IF(COLUMN() = (COLUMN($H$557) + (ROW()-ROW($H$557))), $H$556, IF(G560&gt;0, G560-1, $H$556-1)))</f>
        <v>0</v>
      </c>
      <c r="I560" s="186">
        <f t="shared" si="22"/>
        <v>0</v>
      </c>
      <c r="J560" s="186">
        <f t="shared" si="22"/>
        <v>0</v>
      </c>
      <c r="K560" s="1"/>
      <c r="L560" s="1"/>
      <c r="M560" s="1"/>
      <c r="N560" s="1"/>
      <c r="O560" s="1"/>
      <c r="P560" s="1"/>
      <c r="Q560" s="1"/>
      <c r="R560" s="1"/>
      <c r="S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J561" si="23">IF(COLUMN() &lt; (COLUMN($H$557) + (ROW()-ROW($H$557))), 0, IF(COLUMN() = (COLUMN($H$557) + (ROW()-ROW($H$557))), $H$556, IF(G561&gt;0, G561-1, $H$556-1)))</f>
        <v>0</v>
      </c>
      <c r="I561" s="186">
        <f t="shared" si="23"/>
        <v>0</v>
      </c>
      <c r="J561" s="186">
        <f t="shared" si="23"/>
        <v>0</v>
      </c>
      <c r="K561" s="1"/>
      <c r="L561" s="1"/>
      <c r="M561" s="1"/>
      <c r="N561" s="1"/>
      <c r="O561" s="1"/>
      <c r="P561" s="1"/>
      <c r="Q561" s="1"/>
      <c r="R561" s="1"/>
      <c r="S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J562" si="24">IF(COLUMN() &lt; (COLUMN($H$557) + (ROW()-ROW($H$557))), 0, IF(COLUMN() = (COLUMN($H$557) + (ROW()-ROW($H$557))), $H$556, IF(G562&gt;0, G562-1, $H$556-1)))</f>
        <v>0</v>
      </c>
      <c r="I562" s="186">
        <f t="shared" si="24"/>
        <v>0</v>
      </c>
      <c r="J562" s="186">
        <f t="shared" si="24"/>
        <v>0</v>
      </c>
      <c r="K562" s="1"/>
      <c r="L562" s="1"/>
      <c r="M562" s="1"/>
      <c r="N562" s="1"/>
      <c r="O562" s="1"/>
      <c r="P562" s="1"/>
      <c r="Q562" s="1"/>
      <c r="R562" s="1"/>
      <c r="S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J563" si="25">IF(COLUMN() &lt; (COLUMN($H$557) + (ROW()-ROW($H$557))), 0, IF(COLUMN() = (COLUMN($H$557) + (ROW()-ROW($H$557))), $H$556, IF(G563&gt;0, G563-1, $H$556-1)))</f>
        <v>0</v>
      </c>
      <c r="I563" s="186">
        <f t="shared" si="25"/>
        <v>0</v>
      </c>
      <c r="J563" s="186">
        <f t="shared" si="25"/>
        <v>0</v>
      </c>
      <c r="K563" s="1"/>
      <c r="L563" s="1"/>
      <c r="M563" s="1"/>
      <c r="N563" s="1"/>
      <c r="O563" s="1"/>
      <c r="P563" s="1"/>
      <c r="Q563" s="1"/>
      <c r="R563" s="1"/>
      <c r="S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J564" si="26">IF(COLUMN() &lt; (COLUMN($H$557) + (ROW()-ROW($H$557))), 0, IF(COLUMN() = (COLUMN($H$557) + (ROW()-ROW($H$557))), $H$556, IF(G564&gt;0, G564-1, $H$556-1)))</f>
        <v>0</v>
      </c>
      <c r="I564" s="186">
        <f t="shared" si="26"/>
        <v>0</v>
      </c>
      <c r="J564" s="186">
        <f t="shared" si="26"/>
        <v>0</v>
      </c>
      <c r="K564" s="1"/>
      <c r="L564" s="1"/>
      <c r="M564" s="1"/>
      <c r="N564" s="1"/>
      <c r="O564" s="1"/>
      <c r="P564" s="1"/>
      <c r="Q564" s="1"/>
      <c r="R564" s="1"/>
      <c r="S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J565" si="27">IF(COLUMN() &lt; (COLUMN($H$557) + (ROW()-ROW($H$557))), 0, IF(COLUMN() = (COLUMN($H$557) + (ROW()-ROW($H$557))), $H$556, IF(G565&gt;0, G565-1, $H$556-1)))</f>
        <v>0</v>
      </c>
      <c r="I565" s="186">
        <f t="shared" si="27"/>
        <v>0</v>
      </c>
      <c r="J565" s="186">
        <f t="shared" si="27"/>
        <v>0</v>
      </c>
      <c r="K565" s="1"/>
      <c r="L565" s="1"/>
      <c r="M565" s="1"/>
      <c r="N565" s="1"/>
      <c r="O565" s="1"/>
      <c r="P565" s="1"/>
      <c r="Q565" s="1"/>
      <c r="R565" s="1"/>
      <c r="S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J566" si="28">IF(COLUMN() &lt; (COLUMN($H$557) + (ROW()-ROW($H$557))), 0, IF(COLUMN() = (COLUMN($H$557) + (ROW()-ROW($H$557))), $H$556, IF(G566&gt;0, G566-1, $H$556-1)))</f>
        <v>0</v>
      </c>
      <c r="I566" s="186">
        <f t="shared" si="28"/>
        <v>0</v>
      </c>
      <c r="J566" s="186">
        <f t="shared" si="28"/>
        <v>0</v>
      </c>
      <c r="K566" s="1"/>
      <c r="L566" s="1"/>
      <c r="M566" s="1"/>
      <c r="N566" s="1"/>
      <c r="O566" s="1"/>
      <c r="P566" s="1"/>
      <c r="Q566" s="1"/>
      <c r="R566" s="1"/>
      <c r="S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J567" si="29">IF(COLUMN() &lt; (COLUMN($H$557) + (ROW()-ROW($H$557))), 0, IF(COLUMN() = (COLUMN($H$557) + (ROW()-ROW($H$557))), $H$556, IF(G567&gt;0, G567-1, $H$556-1)))</f>
        <v>0</v>
      </c>
      <c r="I567" s="186">
        <f t="shared" si="29"/>
        <v>0</v>
      </c>
      <c r="J567" s="186">
        <f t="shared" si="29"/>
        <v>0</v>
      </c>
      <c r="K567" s="1"/>
      <c r="L567" s="1"/>
      <c r="M567" s="1"/>
      <c r="N567" s="1"/>
      <c r="O567" s="1"/>
      <c r="P567" s="1"/>
      <c r="Q567" s="1"/>
      <c r="R567" s="1"/>
      <c r="S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J568" si="30">IF(COLUMN() &lt; (COLUMN($H$557) + (ROW()-ROW($H$557))), 0, IF(COLUMN() = (COLUMN($H$557) + (ROW()-ROW($H$557))), $H$556, IF(G568&gt;0, G568-1, $H$556-1)))</f>
        <v>0</v>
      </c>
      <c r="I568" s="186">
        <f t="shared" si="30"/>
        <v>0</v>
      </c>
      <c r="J568" s="186">
        <f t="shared" si="30"/>
        <v>0</v>
      </c>
      <c r="K568" s="1"/>
      <c r="L568" s="1"/>
      <c r="M568" s="1"/>
      <c r="N568" s="1"/>
      <c r="O568" s="1"/>
      <c r="P568" s="1"/>
      <c r="Q568" s="1"/>
      <c r="R568" s="1"/>
      <c r="S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86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55">
        <v>0.8</v>
      </c>
      <c r="K570" s="1"/>
      <c r="L570" s="1"/>
      <c r="M570" s="1"/>
      <c r="N570" s="1"/>
      <c r="O570" s="1"/>
      <c r="P570" s="1"/>
      <c r="Q570" s="1"/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J571" si="31">H572-H555</f>
        <v>0</v>
      </c>
      <c r="I571" s="184">
        <f t="shared" si="31"/>
        <v>0</v>
      </c>
      <c r="J571" s="184">
        <f t="shared" si="31"/>
        <v>0</v>
      </c>
      <c r="K571" s="1"/>
      <c r="L571" s="1"/>
      <c r="M571" s="1"/>
      <c r="N571" s="1"/>
      <c r="O571" s="1"/>
      <c r="P571" s="1"/>
      <c r="Q571" s="1"/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J572" si="32">SUM(H573:H584)</f>
        <v>0</v>
      </c>
      <c r="I572" s="184">
        <f t="shared" si="32"/>
        <v>0</v>
      </c>
      <c r="J572" s="184">
        <f t="shared" si="32"/>
        <v>0</v>
      </c>
      <c r="K572" s="1"/>
      <c r="L572" s="1"/>
      <c r="M572" s="1"/>
      <c r="N572" s="1"/>
      <c r="O572" s="1"/>
      <c r="P572" s="1"/>
      <c r="Q572" s="1"/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J573" si="33">IF(COLUMN() &lt; (COLUMN($H$573) + (ROW()-ROW($H$573))), 0, IF(COLUMN() = (COLUMN($H$573) + (ROW()-ROW($H$573))), INDEX($H$555:$J$555, 1, COLUMN()-COLUMN($H$555)+1), IF(H557=0, OFFSET(H573, 0, -$H$556) * $H$570, 0)))</f>
        <v>0</v>
      </c>
      <c r="I573" s="186">
        <f t="shared" si="33"/>
        <v>0</v>
      </c>
      <c r="J573" s="186">
        <f t="shared" si="33"/>
        <v>0</v>
      </c>
      <c r="K573" s="1"/>
      <c r="L573" s="1"/>
      <c r="M573" s="1"/>
      <c r="N573" s="1"/>
      <c r="O573" s="1"/>
      <c r="P573" s="1"/>
      <c r="Q573" s="1"/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J574" si="34">IF(COLUMN() &lt; (COLUMN($H$573) + (ROW()-ROW($H$573))), 0, IF(COLUMN() = (COLUMN($H$573) + (ROW()-ROW($H$573))), INDEX($H$555:$J$555, 1, COLUMN()-COLUMN($H$555)+1), IF(H558=0, OFFSET(H574, 0, -$H$556) * $H$570, 0)))</f>
        <v>0</v>
      </c>
      <c r="I574" s="186">
        <f t="shared" si="34"/>
        <v>0</v>
      </c>
      <c r="J574" s="186">
        <f t="shared" si="34"/>
        <v>0</v>
      </c>
      <c r="K574" s="1"/>
      <c r="L574" s="1"/>
      <c r="M574" s="1"/>
      <c r="N574" s="1"/>
      <c r="O574" s="1"/>
      <c r="P574" s="1"/>
      <c r="Q574" s="1"/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J575" si="35">IF(COLUMN() &lt; (COLUMN($H$573) + (ROW()-ROW($H$573))), 0, IF(COLUMN() = (COLUMN($H$573) + (ROW()-ROW($H$573))), INDEX($H$555:$J$555, 1, COLUMN()-COLUMN($H$555)+1), IF(H559=0, OFFSET(H575, 0, -$H$556) * $H$570, 0)))</f>
        <v>0</v>
      </c>
      <c r="I575" s="186">
        <f t="shared" si="35"/>
        <v>0</v>
      </c>
      <c r="J575" s="186">
        <f t="shared" si="35"/>
        <v>0</v>
      </c>
      <c r="K575" s="1"/>
      <c r="L575" s="1"/>
      <c r="M575" s="1"/>
      <c r="N575" s="1"/>
      <c r="O575" s="1"/>
      <c r="P575" s="1"/>
      <c r="Q575" s="1"/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J576" si="36">IF(COLUMN() &lt; (COLUMN($H$573) + (ROW()-ROW($H$573))), 0, IF(COLUMN() = (COLUMN($H$573) + (ROW()-ROW($H$573))), INDEX($H$555:$J$555, 1, COLUMN()-COLUMN($H$555)+1), IF(H560=0, OFFSET(H576, 0, -$H$556) * $H$570, 0)))</f>
        <v>0</v>
      </c>
      <c r="I576" s="186">
        <f t="shared" si="36"/>
        <v>0</v>
      </c>
      <c r="J576" s="186">
        <f t="shared" si="36"/>
        <v>0</v>
      </c>
      <c r="K576" s="1"/>
      <c r="L576" s="1"/>
      <c r="M576" s="1"/>
      <c r="N576" s="1"/>
      <c r="O576" s="1"/>
      <c r="P576" s="1"/>
      <c r="Q576" s="1"/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J577" si="37">IF(COLUMN() &lt; (COLUMN($H$573) + (ROW()-ROW($H$573))), 0, IF(COLUMN() = (COLUMN($H$573) + (ROW()-ROW($H$573))), INDEX($H$555:$J$555, 1, COLUMN()-COLUMN($H$555)+1), IF(H561=0, OFFSET(H577, 0, -$H$556) * $H$570, 0)))</f>
        <v>0</v>
      </c>
      <c r="I577" s="186">
        <f t="shared" si="37"/>
        <v>0</v>
      </c>
      <c r="J577" s="186">
        <f t="shared" si="37"/>
        <v>0</v>
      </c>
      <c r="K577" s="1"/>
      <c r="L577" s="1"/>
      <c r="M577" s="1"/>
      <c r="N577" s="1"/>
      <c r="O577" s="1"/>
      <c r="P577" s="1"/>
      <c r="Q577" s="1"/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J578" si="38">IF(COLUMN() &lt; (COLUMN($H$573) + (ROW()-ROW($H$573))), 0, IF(COLUMN() = (COLUMN($H$573) + (ROW()-ROW($H$573))), INDEX($H$555:$J$555, 1, COLUMN()-COLUMN($H$555)+1), IF(H562=0, OFFSET(H578, 0, -$H$556) * $H$570, 0)))</f>
        <v>0</v>
      </c>
      <c r="I578" s="186">
        <f t="shared" si="38"/>
        <v>0</v>
      </c>
      <c r="J578" s="186">
        <f t="shared" si="38"/>
        <v>0</v>
      </c>
      <c r="K578" s="1"/>
      <c r="L578" s="1"/>
      <c r="M578" s="1"/>
      <c r="N578" s="1"/>
      <c r="O578" s="1"/>
      <c r="P578" s="1"/>
      <c r="Q578" s="1"/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J579" si="39">IF(COLUMN() &lt; (COLUMN($H$573) + (ROW()-ROW($H$573))), 0, IF(COLUMN() = (COLUMN($H$573) + (ROW()-ROW($H$573))), INDEX($H$555:$J$555, 1, COLUMN()-COLUMN($H$555)+1), IF(H563=0, OFFSET(H579, 0, -$H$556) * $H$570, 0)))</f>
        <v>0</v>
      </c>
      <c r="I579" s="186">
        <f t="shared" si="39"/>
        <v>0</v>
      </c>
      <c r="J579" s="186">
        <f t="shared" si="39"/>
        <v>0</v>
      </c>
      <c r="K579" s="1"/>
      <c r="L579" s="1"/>
      <c r="M579" s="1"/>
      <c r="N579" s="1"/>
      <c r="O579" s="1"/>
      <c r="P579" s="1"/>
      <c r="Q579" s="1"/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J580" si="40">IF(COLUMN() &lt; (COLUMN($H$573) + (ROW()-ROW($H$573))), 0, IF(COLUMN() = (COLUMN($H$573) + (ROW()-ROW($H$573))), INDEX($H$555:$J$555, 1, COLUMN()-COLUMN($H$555)+1), IF(H564=0, OFFSET(H580, 0, -$H$556) * $H$570, 0)))</f>
        <v>0</v>
      </c>
      <c r="I580" s="186">
        <f t="shared" si="40"/>
        <v>0</v>
      </c>
      <c r="J580" s="186">
        <f t="shared" si="40"/>
        <v>0</v>
      </c>
      <c r="K580" s="1"/>
      <c r="L580" s="1"/>
      <c r="M580" s="1"/>
      <c r="N580" s="1"/>
      <c r="O580" s="1"/>
      <c r="P580" s="1"/>
      <c r="Q580" s="1"/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J581" si="41">IF(COLUMN() &lt; (COLUMN($H$573) + (ROW()-ROW($H$573))), 0, IF(COLUMN() = (COLUMN($H$573) + (ROW()-ROW($H$573))), INDEX($H$555:$J$555, 1, COLUMN()-COLUMN($H$555)+1), IF(H565=0, OFFSET(H581, 0, -$H$556) * $H$570, 0)))</f>
        <v>0</v>
      </c>
      <c r="I581" s="186">
        <f t="shared" si="41"/>
        <v>0</v>
      </c>
      <c r="J581" s="186">
        <f t="shared" si="41"/>
        <v>0</v>
      </c>
      <c r="K581" s="1"/>
      <c r="L581" s="1"/>
      <c r="M581" s="1"/>
      <c r="N581" s="1"/>
      <c r="O581" s="1"/>
      <c r="P581" s="1"/>
      <c r="Q581" s="1"/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J582" si="42">IF(COLUMN() &lt; (COLUMN($H$573) + (ROW()-ROW($H$573))), 0, IF(COLUMN() = (COLUMN($H$573) + (ROW()-ROW($H$573))), INDEX($H$555:$J$555, 1, COLUMN()-COLUMN($H$555)+1), IF(H566=0, OFFSET(H582, 0, -$H$556) * $H$570, 0)))</f>
        <v>0</v>
      </c>
      <c r="I582" s="186">
        <f t="shared" si="42"/>
        <v>0</v>
      </c>
      <c r="J582" s="186">
        <f t="shared" si="42"/>
        <v>0</v>
      </c>
      <c r="K582" s="1"/>
      <c r="L582" s="1"/>
      <c r="M582" s="1"/>
      <c r="N582" s="1"/>
      <c r="O582" s="1"/>
      <c r="P582" s="1"/>
      <c r="Q582" s="1"/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J583" si="43">IF(COLUMN() &lt; (COLUMN($H$573) + (ROW()-ROW($H$573))), 0, IF(COLUMN() = (COLUMN($H$573) + (ROW()-ROW($H$573))), INDEX($H$555:$J$555, 1, COLUMN()-COLUMN($H$555)+1), IF(H567=0, OFFSET(H583, 0, -$H$556) * $H$570, 0)))</f>
        <v>0</v>
      </c>
      <c r="I583" s="186">
        <f t="shared" si="43"/>
        <v>0</v>
      </c>
      <c r="J583" s="186">
        <f t="shared" si="43"/>
        <v>0</v>
      </c>
      <c r="K583" s="1"/>
      <c r="L583" s="1"/>
      <c r="M583" s="1"/>
      <c r="N583" s="1"/>
      <c r="O583" s="1"/>
      <c r="P583" s="1"/>
      <c r="Q583" s="1"/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J584" si="44">IF(COLUMN() &lt; (COLUMN($H$573) + (ROW()-ROW($H$573))), 0, IF(COLUMN() = (COLUMN($H$573) + (ROW()-ROW($H$573))), INDEX($H$555:$J$555, 1, COLUMN()-COLUMN($H$555)+1), IF(H568=0, OFFSET(H584, 0, -$H$556) * $H$570, 0)))</f>
        <v>0</v>
      </c>
      <c r="I584" s="186">
        <f t="shared" si="44"/>
        <v>0</v>
      </c>
      <c r="J584" s="186">
        <f t="shared" si="44"/>
        <v>0</v>
      </c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55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84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J587" si="45">F836</f>
        <v>$ [Executar-loyalty] Revenue Expansion</v>
      </c>
      <c r="G587" s="163" t="str">
        <f t="shared" si="45"/>
        <v/>
      </c>
      <c r="H587" s="170">
        <f t="shared" si="45"/>
        <v>0</v>
      </c>
      <c r="I587" s="170">
        <f t="shared" si="45"/>
        <v>0</v>
      </c>
      <c r="J587" s="170">
        <f t="shared" si="45"/>
        <v>0</v>
      </c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J588" si="46">H434</f>
        <v>943950</v>
      </c>
      <c r="I588" s="184" t="str">
        <f t="shared" si="46"/>
        <v/>
      </c>
      <c r="J588" s="184" t="str">
        <f t="shared" si="46"/>
        <v/>
      </c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J589" si="47">SUM(H587:H588)</f>
        <v>943950</v>
      </c>
      <c r="I589" s="184">
        <f t="shared" si="47"/>
        <v>0</v>
      </c>
      <c r="J589" s="184">
        <f t="shared" si="47"/>
        <v>0</v>
      </c>
      <c r="K589" s="1"/>
      <c r="L589" s="1"/>
      <c r="M589" s="1"/>
      <c r="N589" s="1"/>
      <c r="O589" s="1"/>
      <c r="P589" s="1"/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86"/>
      <c r="K590" s="1"/>
      <c r="L590" s="1"/>
      <c r="M590" s="1"/>
      <c r="N590" s="1"/>
      <c r="O590" s="1"/>
      <c r="P590" s="1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J591" si="48">IF(COLUMN() &lt; (COLUMN($H$591) + (ROW()-ROW($H$591))), 0, IF(COLUMN() = (COLUMN($H$591) + (ROW()-ROW($H$591))), $H$590, IF(G591&gt;0, G591-1, $H$590-1)))</f>
        <v>10</v>
      </c>
      <c r="I591" s="186">
        <f t="shared" si="48"/>
        <v>9</v>
      </c>
      <c r="J591" s="186">
        <f t="shared" si="48"/>
        <v>8</v>
      </c>
      <c r="K591" s="1"/>
      <c r="L591" s="1"/>
      <c r="M591" s="1"/>
      <c r="N591" s="1"/>
      <c r="O591" s="1"/>
      <c r="P591" s="1"/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J592" si="49">IF(COLUMN() &lt; (COLUMN($H$591) + (ROW()-ROW($H$591))), 0, IF(COLUMN() = (COLUMN($H$591) + (ROW()-ROW($H$591))), $H$590, IF(G592&gt;0, G592-1, $H$590-1)))</f>
        <v>0</v>
      </c>
      <c r="I592" s="186">
        <f t="shared" si="49"/>
        <v>10</v>
      </c>
      <c r="J592" s="186">
        <f t="shared" si="49"/>
        <v>9</v>
      </c>
      <c r="K592" s="1"/>
      <c r="L592" s="1"/>
      <c r="M592" s="1"/>
      <c r="N592" s="1"/>
      <c r="O592" s="1"/>
      <c r="P592" s="1"/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J593" si="50">IF(COLUMN() &lt; (COLUMN($H$591) + (ROW()-ROW($H$591))), 0, IF(COLUMN() = (COLUMN($H$591) + (ROW()-ROW($H$591))), $H$590, IF(G593&gt;0, G593-1, $H$590-1)))</f>
        <v>0</v>
      </c>
      <c r="I593" s="186">
        <f t="shared" si="50"/>
        <v>0</v>
      </c>
      <c r="J593" s="186">
        <f t="shared" si="50"/>
        <v>10</v>
      </c>
      <c r="K593" s="1"/>
      <c r="L593" s="1"/>
      <c r="M593" s="1"/>
      <c r="N593" s="1"/>
      <c r="O593" s="1"/>
      <c r="P593" s="1"/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J594" si="51">IF(COLUMN() &lt; (COLUMN($H$591) + (ROW()-ROW($H$591))), 0, IF(COLUMN() = (COLUMN($H$591) + (ROW()-ROW($H$591))), $H$590, IF(G594&gt;0, G594-1, $H$590-1)))</f>
        <v>0</v>
      </c>
      <c r="I594" s="186">
        <f t="shared" si="51"/>
        <v>0</v>
      </c>
      <c r="J594" s="186">
        <f t="shared" si="51"/>
        <v>0</v>
      </c>
      <c r="K594" s="1"/>
      <c r="L594" s="1"/>
      <c r="M594" s="1"/>
      <c r="N594" s="1"/>
      <c r="O594" s="1"/>
      <c r="P594" s="1"/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J595" si="52">IF(COLUMN() &lt; (COLUMN($H$591) + (ROW()-ROW($H$591))), 0, IF(COLUMN() = (COLUMN($H$591) + (ROW()-ROW($H$591))), $H$590, IF(G595&gt;0, G595-1, $H$590-1)))</f>
        <v>0</v>
      </c>
      <c r="I595" s="186">
        <f t="shared" si="52"/>
        <v>0</v>
      </c>
      <c r="J595" s="186">
        <f t="shared" si="52"/>
        <v>0</v>
      </c>
      <c r="K595" s="1"/>
      <c r="L595" s="1"/>
      <c r="M595" s="1"/>
      <c r="N595" s="1"/>
      <c r="O595" s="1"/>
      <c r="P595" s="1"/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J596" si="53">IF(COLUMN() &lt; (COLUMN($H$591) + (ROW()-ROW($H$591))), 0, IF(COLUMN() = (COLUMN($H$591) + (ROW()-ROW($H$591))), $H$590, IF(G596&gt;0, G596-1, $H$590-1)))</f>
        <v>0</v>
      </c>
      <c r="I596" s="186">
        <f t="shared" si="53"/>
        <v>0</v>
      </c>
      <c r="J596" s="186">
        <f t="shared" si="53"/>
        <v>0</v>
      </c>
      <c r="K596" s="1"/>
      <c r="L596" s="1"/>
      <c r="M596" s="1"/>
      <c r="N596" s="1"/>
      <c r="O596" s="1"/>
      <c r="P596" s="1"/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J597" si="54">IF(COLUMN() &lt; (COLUMN($H$591) + (ROW()-ROW($H$591))), 0, IF(COLUMN() = (COLUMN($H$591) + (ROW()-ROW($H$591))), $H$590, IF(G597&gt;0, G597-1, $H$590-1)))</f>
        <v>0</v>
      </c>
      <c r="I597" s="186">
        <f t="shared" si="54"/>
        <v>0</v>
      </c>
      <c r="J597" s="186">
        <f t="shared" si="54"/>
        <v>0</v>
      </c>
      <c r="K597" s="1"/>
      <c r="L597" s="1"/>
      <c r="M597" s="1"/>
      <c r="N597" s="1"/>
      <c r="O597" s="1"/>
      <c r="P597" s="1"/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J598" si="55">IF(COLUMN() &lt; (COLUMN($H$591) + (ROW()-ROW($H$591))), 0, IF(COLUMN() = (COLUMN($H$591) + (ROW()-ROW($H$591))), $H$590, IF(G598&gt;0, G598-1, $H$590-1)))</f>
        <v>0</v>
      </c>
      <c r="I598" s="186">
        <f t="shared" si="55"/>
        <v>0</v>
      </c>
      <c r="J598" s="186">
        <f t="shared" si="55"/>
        <v>0</v>
      </c>
      <c r="K598" s="1"/>
      <c r="L598" s="1"/>
      <c r="M598" s="1"/>
      <c r="N598" s="1"/>
      <c r="O598" s="1"/>
      <c r="P598" s="1"/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J599" si="56">IF(COLUMN() &lt; (COLUMN($H$591) + (ROW()-ROW($H$591))), 0, IF(COLUMN() = (COLUMN($H$591) + (ROW()-ROW($H$591))), $H$590, IF(G599&gt;0, G599-1, $H$590-1)))</f>
        <v>0</v>
      </c>
      <c r="I599" s="186">
        <f t="shared" si="56"/>
        <v>0</v>
      </c>
      <c r="J599" s="186">
        <f t="shared" si="56"/>
        <v>0</v>
      </c>
      <c r="K599" s="1"/>
      <c r="L599" s="1"/>
      <c r="M599" s="1"/>
      <c r="N599" s="1"/>
      <c r="O599" s="1"/>
      <c r="P599" s="1"/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J600" si="57">IF(COLUMN() &lt; (COLUMN($H$591) + (ROW()-ROW($H$591))), 0, IF(COLUMN() = (COLUMN($H$591) + (ROW()-ROW($H$591))), $H$590, IF(G600&gt;0, G600-1, $H$590-1)))</f>
        <v>0</v>
      </c>
      <c r="I600" s="186">
        <f t="shared" si="57"/>
        <v>0</v>
      </c>
      <c r="J600" s="186">
        <f t="shared" si="57"/>
        <v>0</v>
      </c>
      <c r="K600" s="1"/>
      <c r="L600" s="1"/>
      <c r="M600" s="1"/>
      <c r="N600" s="1"/>
      <c r="O600" s="1"/>
      <c r="P600" s="1"/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J601" si="58">IF(COLUMN() &lt; (COLUMN($H$591) + (ROW()-ROW($H$591))), 0, IF(COLUMN() = (COLUMN($H$591) + (ROW()-ROW($H$591))), $H$590, IF(G601&gt;0, G601-1, $H$590-1)))</f>
        <v>0</v>
      </c>
      <c r="I601" s="186">
        <f t="shared" si="58"/>
        <v>0</v>
      </c>
      <c r="J601" s="186">
        <f t="shared" si="58"/>
        <v>0</v>
      </c>
      <c r="K601" s="1"/>
      <c r="L601" s="1"/>
      <c r="M601" s="1"/>
      <c r="N601" s="1"/>
      <c r="O601" s="1"/>
      <c r="P601" s="1"/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J602" si="59">IF(COLUMN() &lt; (COLUMN($H$591) + (ROW()-ROW($H$591))), 0, IF(COLUMN() = (COLUMN($H$591) + (ROW()-ROW($H$591))), $H$590, IF(G602&gt;0, G602-1, $H$590-1)))</f>
        <v>0</v>
      </c>
      <c r="I602" s="186">
        <f t="shared" si="59"/>
        <v>0</v>
      </c>
      <c r="J602" s="186">
        <f t="shared" si="59"/>
        <v>0</v>
      </c>
      <c r="K602" s="1"/>
      <c r="L602" s="1"/>
      <c r="M602" s="1"/>
      <c r="N602" s="1"/>
      <c r="O602" s="1"/>
      <c r="P602" s="1"/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86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55"/>
      <c r="K604" s="1"/>
      <c r="L604" s="1"/>
      <c r="M604" s="1"/>
      <c r="N604" s="1"/>
      <c r="O604" s="1"/>
      <c r="P604" s="1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J605" si="60">H606-H589</f>
        <v>0</v>
      </c>
      <c r="I605" s="184">
        <f t="shared" si="60"/>
        <v>0</v>
      </c>
      <c r="J605" s="184">
        <f t="shared" si="60"/>
        <v>0</v>
      </c>
      <c r="K605" s="1"/>
      <c r="L605" s="1"/>
      <c r="M605" s="1"/>
      <c r="N605" s="1"/>
      <c r="O605" s="1"/>
      <c r="P605" s="1"/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J606" si="61">SUM(H607:H618)</f>
        <v>943950</v>
      </c>
      <c r="I606" s="184">
        <f t="shared" si="61"/>
        <v>0</v>
      </c>
      <c r="J606" s="184">
        <f t="shared" si="61"/>
        <v>0</v>
      </c>
      <c r="K606" s="1"/>
      <c r="L606" s="1"/>
      <c r="M606" s="1"/>
      <c r="N606" s="1"/>
      <c r="O606" s="1"/>
      <c r="P606" s="1"/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J607" si="62">IF(COLUMN() &lt; (COLUMN($H$607) + (ROW()-ROW($H$607))), 0, IF(COLUMN() = (COLUMN($H$607) + (ROW()-ROW($H$607))), INDEX($H$589:$J$589, 1, COLUMN()-COLUMN($H$589)+1), IF(H591=0, OFFSET(H607, 0, -$H$590) * $H$604, 0)))</f>
        <v>943950</v>
      </c>
      <c r="I607" s="186">
        <f t="shared" si="62"/>
        <v>0</v>
      </c>
      <c r="J607" s="186">
        <f t="shared" si="62"/>
        <v>0</v>
      </c>
      <c r="K607" s="1"/>
      <c r="L607" s="1"/>
      <c r="M607" s="1"/>
      <c r="N607" s="1"/>
      <c r="O607" s="1"/>
      <c r="P607" s="1"/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J608" si="63">IF(COLUMN() &lt; (COLUMN($H$607) + (ROW()-ROW($H$607))), 0, IF(COLUMN() = (COLUMN($H$607) + (ROW()-ROW($H$607))), INDEX($H$589:$J$589, 1, COLUMN()-COLUMN($H$589)+1), IF(H592=0, OFFSET(H608, 0, -$H$590) * $H$604, 0)))</f>
        <v>0</v>
      </c>
      <c r="I608" s="186">
        <f t="shared" si="63"/>
        <v>0</v>
      </c>
      <c r="J608" s="186">
        <f t="shared" si="63"/>
        <v>0</v>
      </c>
      <c r="K608" s="1"/>
      <c r="L608" s="1"/>
      <c r="M608" s="1"/>
      <c r="N608" s="1"/>
      <c r="O608" s="1"/>
      <c r="P608" s="1"/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J609" si="64">IF(COLUMN() &lt; (COLUMN($H$607) + (ROW()-ROW($H$607))), 0, IF(COLUMN() = (COLUMN($H$607) + (ROW()-ROW($H$607))), INDEX($H$589:$J$589, 1, COLUMN()-COLUMN($H$589)+1), IF(H593=0, OFFSET(H609, 0, -$H$590) * $H$604, 0)))</f>
        <v>0</v>
      </c>
      <c r="I609" s="186">
        <f t="shared" si="64"/>
        <v>0</v>
      </c>
      <c r="J609" s="186">
        <f t="shared" si="64"/>
        <v>0</v>
      </c>
      <c r="K609" s="1"/>
      <c r="L609" s="1"/>
      <c r="M609" s="1"/>
      <c r="N609" s="1"/>
      <c r="O609" s="1"/>
      <c r="P609" s="1"/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J610" si="65">IF(COLUMN() &lt; (COLUMN($H$607) + (ROW()-ROW($H$607))), 0, IF(COLUMN() = (COLUMN($H$607) + (ROW()-ROW($H$607))), INDEX($H$589:$J$589, 1, COLUMN()-COLUMN($H$589)+1), IF(H594=0, OFFSET(H610, 0, -$H$590) * $H$604, 0)))</f>
        <v>0</v>
      </c>
      <c r="I610" s="186">
        <f t="shared" si="65"/>
        <v>0</v>
      </c>
      <c r="J610" s="186">
        <f t="shared" si="65"/>
        <v>0</v>
      </c>
      <c r="K610" s="1"/>
      <c r="L610" s="1"/>
      <c r="M610" s="1"/>
      <c r="N610" s="1"/>
      <c r="O610" s="1"/>
      <c r="P610" s="1"/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J611" si="66">IF(COLUMN() &lt; (COLUMN($H$607) + (ROW()-ROW($H$607))), 0, IF(COLUMN() = (COLUMN($H$607) + (ROW()-ROW($H$607))), INDEX($H$589:$J$589, 1, COLUMN()-COLUMN($H$589)+1), IF(H595=0, OFFSET(H611, 0, -$H$590) * $H$604, 0)))</f>
        <v>0</v>
      </c>
      <c r="I611" s="186">
        <f t="shared" si="66"/>
        <v>0</v>
      </c>
      <c r="J611" s="186">
        <f t="shared" si="66"/>
        <v>0</v>
      </c>
      <c r="K611" s="1"/>
      <c r="L611" s="1"/>
      <c r="M611" s="1"/>
      <c r="N611" s="1"/>
      <c r="O611" s="1"/>
      <c r="P611" s="1"/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J612" si="67">IF(COLUMN() &lt; (COLUMN($H$607) + (ROW()-ROW($H$607))), 0, IF(COLUMN() = (COLUMN($H$607) + (ROW()-ROW($H$607))), INDEX($H$589:$J$589, 1, COLUMN()-COLUMN($H$589)+1), IF(H596=0, OFFSET(H612, 0, -$H$590) * $H$604, 0)))</f>
        <v>0</v>
      </c>
      <c r="I612" s="186">
        <f t="shared" si="67"/>
        <v>0</v>
      </c>
      <c r="J612" s="186">
        <f t="shared" si="67"/>
        <v>0</v>
      </c>
      <c r="K612" s="1"/>
      <c r="L612" s="1"/>
      <c r="M612" s="1"/>
      <c r="N612" s="1"/>
      <c r="O612" s="1"/>
      <c r="P612" s="1"/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J613" si="68">IF(COLUMN() &lt; (COLUMN($H$607) + (ROW()-ROW($H$607))), 0, IF(COLUMN() = (COLUMN($H$607) + (ROW()-ROW($H$607))), INDEX($H$589:$J$589, 1, COLUMN()-COLUMN($H$589)+1), IF(H597=0, OFFSET(H613, 0, -$H$590) * $H$604, 0)))</f>
        <v>0</v>
      </c>
      <c r="I613" s="186">
        <f t="shared" si="68"/>
        <v>0</v>
      </c>
      <c r="J613" s="186">
        <f t="shared" si="68"/>
        <v>0</v>
      </c>
      <c r="K613" s="1"/>
      <c r="L613" s="1"/>
      <c r="M613" s="1"/>
      <c r="N613" s="1"/>
      <c r="O613" s="1"/>
      <c r="P613" s="1"/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J614" si="69">IF(COLUMN() &lt; (COLUMN($H$607) + (ROW()-ROW($H$607))), 0, IF(COLUMN() = (COLUMN($H$607) + (ROW()-ROW($H$607))), INDEX($H$589:$J$589, 1, COLUMN()-COLUMN($H$589)+1), IF(H598=0, OFFSET(H614, 0, -$H$590) * $H$604, 0)))</f>
        <v>0</v>
      </c>
      <c r="I614" s="186">
        <f t="shared" si="69"/>
        <v>0</v>
      </c>
      <c r="J614" s="186">
        <f t="shared" si="69"/>
        <v>0</v>
      </c>
      <c r="K614" s="1"/>
      <c r="L614" s="1"/>
      <c r="M614" s="1"/>
      <c r="N614" s="1"/>
      <c r="O614" s="1"/>
      <c r="P614" s="1"/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J615" si="70">IF(COLUMN() &lt; (COLUMN($H$607) + (ROW()-ROW($H$607))), 0, IF(COLUMN() = (COLUMN($H$607) + (ROW()-ROW($H$607))), INDEX($H$589:$J$589, 1, COLUMN()-COLUMN($H$589)+1), IF(H599=0, OFFSET(H615, 0, -$H$590) * $H$604, 0)))</f>
        <v>0</v>
      </c>
      <c r="I615" s="186">
        <f t="shared" si="70"/>
        <v>0</v>
      </c>
      <c r="J615" s="186">
        <f t="shared" si="70"/>
        <v>0</v>
      </c>
      <c r="K615" s="1"/>
      <c r="L615" s="1"/>
      <c r="M615" s="1"/>
      <c r="N615" s="1"/>
      <c r="O615" s="1"/>
      <c r="P615" s="1"/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J616" si="71">IF(COLUMN() &lt; (COLUMN($H$607) + (ROW()-ROW($H$607))), 0, IF(COLUMN() = (COLUMN($H$607) + (ROW()-ROW($H$607))), INDEX($H$589:$J$589, 1, COLUMN()-COLUMN($H$589)+1), IF(H600=0, OFFSET(H616, 0, -$H$590) * $H$604, 0)))</f>
        <v>0</v>
      </c>
      <c r="I616" s="186">
        <f t="shared" si="71"/>
        <v>0</v>
      </c>
      <c r="J616" s="186">
        <f t="shared" si="71"/>
        <v>0</v>
      </c>
      <c r="K616" s="1"/>
      <c r="L616" s="1"/>
      <c r="M616" s="1"/>
      <c r="N616" s="1"/>
      <c r="O616" s="1"/>
      <c r="P616" s="1"/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J617" si="72">IF(COLUMN() &lt; (COLUMN($H$607) + (ROW()-ROW($H$607))), 0, IF(COLUMN() = (COLUMN($H$607) + (ROW()-ROW($H$607))), INDEX($H$589:$J$589, 1, COLUMN()-COLUMN($H$589)+1), IF(H601=0, OFFSET(H617, 0, -$H$590) * $H$604, 0)))</f>
        <v>0</v>
      </c>
      <c r="I617" s="186">
        <f t="shared" si="72"/>
        <v>0</v>
      </c>
      <c r="J617" s="186">
        <f t="shared" si="72"/>
        <v>0</v>
      </c>
      <c r="K617" s="1"/>
      <c r="L617" s="1"/>
      <c r="M617" s="1"/>
      <c r="N617" s="1"/>
      <c r="O617" s="1"/>
      <c r="P617" s="1"/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J618" si="73">IF(COLUMN() &lt; (COLUMN($H$607) + (ROW()-ROW($H$607))), 0, IF(COLUMN() = (COLUMN($H$607) + (ROW()-ROW($H$607))), INDEX($H$589:$J$589, 1, COLUMN()-COLUMN($H$589)+1), IF(H602=0, OFFSET(H618, 0, -$H$590) * $H$604, 0)))</f>
        <v>0</v>
      </c>
      <c r="I618" s="186">
        <f t="shared" si="73"/>
        <v>0</v>
      </c>
      <c r="J618" s="186">
        <f t="shared" si="73"/>
        <v>0</v>
      </c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55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84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 t="shared" ref="I621:J621" si="74">H621</f>
        <v>3</v>
      </c>
      <c r="J621" s="186">
        <f t="shared" si="74"/>
        <v>3</v>
      </c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 t="shared" ref="I622:J622" si="75">H622*H623</f>
        <v>4950</v>
      </c>
      <c r="J622" s="184">
        <f t="shared" si="75"/>
        <v>5445</v>
      </c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55">
        <v>1.1</v>
      </c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J624" si="76">H621*H622</f>
        <v>13500</v>
      </c>
      <c r="I624" s="184">
        <f t="shared" si="76"/>
        <v>14850</v>
      </c>
      <c r="J624" s="184">
        <f t="shared" si="76"/>
        <v>16335</v>
      </c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63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83"/>
      <c r="K626" s="136"/>
      <c r="L626" s="136"/>
      <c r="M626" s="136"/>
      <c r="N626" s="136"/>
      <c r="O626" s="136"/>
      <c r="P626" s="136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84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J628" si="77">F878</f>
        <v>$ [Executar-no loyalty] Revenue Expansion</v>
      </c>
      <c r="G628" s="163" t="str">
        <f t="shared" si="77"/>
        <v/>
      </c>
      <c r="H628" s="178">
        <f t="shared" si="77"/>
        <v>0</v>
      </c>
      <c r="I628" s="178">
        <f t="shared" si="77"/>
        <v>0</v>
      </c>
      <c r="J628" s="178">
        <f t="shared" si="77"/>
        <v>40000</v>
      </c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J629" si="78">H458</f>
        <v>0</v>
      </c>
      <c r="I629" s="184" t="str">
        <f t="shared" si="78"/>
        <v/>
      </c>
      <c r="J629" s="184" t="str">
        <f t="shared" si="78"/>
        <v/>
      </c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J630" si="79">SUM(H628:H629)</f>
        <v>0</v>
      </c>
      <c r="I630" s="184">
        <f t="shared" si="79"/>
        <v>0</v>
      </c>
      <c r="J630" s="184">
        <f t="shared" si="79"/>
        <v>40000</v>
      </c>
      <c r="K630" s="1"/>
      <c r="L630" s="1"/>
      <c r="M630" s="1"/>
      <c r="N630" s="1"/>
      <c r="O630" s="1"/>
      <c r="P630" s="1"/>
      <c r="Q630" s="1"/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86"/>
      <c r="K631" s="1"/>
      <c r="L631" s="1"/>
      <c r="M631" s="1"/>
      <c r="N631" s="1"/>
      <c r="O631" s="1"/>
      <c r="P631" s="1"/>
      <c r="Q631" s="1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J632" si="80">IF(COLUMN() &lt; (COLUMN($H$632) + (ROW()-ROW($H$632))), 0, IF(COLUMN() = (COLUMN($H$632) + (ROW()-ROW($H$632))), $H$631, IF(G632&gt;0, G632-1, $H$631-1)))</f>
        <v>2</v>
      </c>
      <c r="I632" s="186">
        <f t="shared" si="80"/>
        <v>1</v>
      </c>
      <c r="J632" s="186">
        <f t="shared" si="80"/>
        <v>0</v>
      </c>
      <c r="K632" s="1"/>
      <c r="L632" s="1"/>
      <c r="M632" s="1"/>
      <c r="N632" s="1"/>
      <c r="O632" s="1"/>
      <c r="P632" s="1"/>
      <c r="Q632" s="1"/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J633" si="81">IF(COLUMN() &lt; (COLUMN($H$632) + (ROW()-ROW($H$632))), 0, IF(COLUMN() = (COLUMN($H$632) + (ROW()-ROW($H$632))), $H$631, IF(G633&gt;0, G633-1, $H$631-1)))</f>
        <v>0</v>
      </c>
      <c r="I633" s="186">
        <f t="shared" si="81"/>
        <v>2</v>
      </c>
      <c r="J633" s="186">
        <f t="shared" si="81"/>
        <v>1</v>
      </c>
      <c r="K633" s="1"/>
      <c r="L633" s="1"/>
      <c r="M633" s="1"/>
      <c r="N633" s="1"/>
      <c r="O633" s="1"/>
      <c r="P633" s="1"/>
      <c r="Q633" s="1"/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J634" si="82">IF(COLUMN() &lt; (COLUMN($H$632) + (ROW()-ROW($H$632))), 0, IF(COLUMN() = (COLUMN($H$632) + (ROW()-ROW($H$632))), $H$631, IF(G634&gt;0, G634-1, $H$631-1)))</f>
        <v>0</v>
      </c>
      <c r="I634" s="186">
        <f t="shared" si="82"/>
        <v>0</v>
      </c>
      <c r="J634" s="186">
        <f t="shared" si="82"/>
        <v>2</v>
      </c>
      <c r="K634" s="1"/>
      <c r="L634" s="1"/>
      <c r="M634" s="1"/>
      <c r="N634" s="1"/>
      <c r="O634" s="1"/>
      <c r="P634" s="1"/>
      <c r="Q634" s="1"/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J635" si="83">IF(COLUMN() &lt; (COLUMN($H$632) + (ROW()-ROW($H$632))), 0, IF(COLUMN() = (COLUMN($H$632) + (ROW()-ROW($H$632))), $H$631, IF(G635&gt;0, G635-1, $H$631-1)))</f>
        <v>0</v>
      </c>
      <c r="I635" s="186">
        <f t="shared" si="83"/>
        <v>0</v>
      </c>
      <c r="J635" s="186">
        <f t="shared" si="83"/>
        <v>0</v>
      </c>
      <c r="K635" s="1"/>
      <c r="L635" s="1"/>
      <c r="M635" s="1"/>
      <c r="N635" s="1"/>
      <c r="O635" s="1"/>
      <c r="P635" s="1"/>
      <c r="Q635" s="1"/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J636" si="84">IF(COLUMN() &lt; (COLUMN($H$632) + (ROW()-ROW($H$632))), 0, IF(COLUMN() = (COLUMN($H$632) + (ROW()-ROW($H$632))), $H$631, IF(G636&gt;0, G636-1, $H$631-1)))</f>
        <v>0</v>
      </c>
      <c r="I636" s="186">
        <f t="shared" si="84"/>
        <v>0</v>
      </c>
      <c r="J636" s="186">
        <f t="shared" si="84"/>
        <v>0</v>
      </c>
      <c r="K636" s="1"/>
      <c r="L636" s="1"/>
      <c r="M636" s="1"/>
      <c r="N636" s="1"/>
      <c r="O636" s="1"/>
      <c r="P636" s="1"/>
      <c r="Q636" s="1"/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J637" si="85">IF(COLUMN() &lt; (COLUMN($H$632) + (ROW()-ROW($H$632))), 0, IF(COLUMN() = (COLUMN($H$632) + (ROW()-ROW($H$632))), $H$631, IF(G637&gt;0, G637-1, $H$631-1)))</f>
        <v>0</v>
      </c>
      <c r="I637" s="186">
        <f t="shared" si="85"/>
        <v>0</v>
      </c>
      <c r="J637" s="186">
        <f t="shared" si="85"/>
        <v>0</v>
      </c>
      <c r="K637" s="1"/>
      <c r="L637" s="1"/>
      <c r="M637" s="1"/>
      <c r="N637" s="1"/>
      <c r="O637" s="1"/>
      <c r="P637" s="1"/>
      <c r="Q637" s="1"/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J638" si="86">IF(COLUMN() &lt; (COLUMN($H$632) + (ROW()-ROW($H$632))), 0, IF(COLUMN() = (COLUMN($H$632) + (ROW()-ROW($H$632))), $H$631, IF(G638&gt;0, G638-1, $H$631-1)))</f>
        <v>0</v>
      </c>
      <c r="I638" s="186">
        <f t="shared" si="86"/>
        <v>0</v>
      </c>
      <c r="J638" s="186">
        <f t="shared" si="86"/>
        <v>0</v>
      </c>
      <c r="K638" s="1"/>
      <c r="L638" s="1"/>
      <c r="M638" s="1"/>
      <c r="N638" s="1"/>
      <c r="O638" s="1"/>
      <c r="P638" s="1"/>
      <c r="Q638" s="1"/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J639" si="87">IF(COLUMN() &lt; (COLUMN($H$632) + (ROW()-ROW($H$632))), 0, IF(COLUMN() = (COLUMN($H$632) + (ROW()-ROW($H$632))), $H$631, IF(G639&gt;0, G639-1, $H$631-1)))</f>
        <v>0</v>
      </c>
      <c r="I639" s="186">
        <f t="shared" si="87"/>
        <v>0</v>
      </c>
      <c r="J639" s="186">
        <f t="shared" si="87"/>
        <v>0</v>
      </c>
      <c r="K639" s="1"/>
      <c r="L639" s="1"/>
      <c r="M639" s="1"/>
      <c r="N639" s="1"/>
      <c r="O639" s="1"/>
      <c r="P639" s="1"/>
      <c r="Q639" s="1"/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J640" si="88">IF(COLUMN() &lt; (COLUMN($H$632) + (ROW()-ROW($H$632))), 0, IF(COLUMN() = (COLUMN($H$632) + (ROW()-ROW($H$632))), $H$631, IF(G640&gt;0, G640-1, $H$631-1)))</f>
        <v>0</v>
      </c>
      <c r="I640" s="186">
        <f t="shared" si="88"/>
        <v>0</v>
      </c>
      <c r="J640" s="186">
        <f t="shared" si="88"/>
        <v>0</v>
      </c>
      <c r="K640" s="1"/>
      <c r="L640" s="1"/>
      <c r="M640" s="1"/>
      <c r="N640" s="1"/>
      <c r="O640" s="1"/>
      <c r="P640" s="1"/>
      <c r="Q640" s="1"/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J641" si="89">IF(COLUMN() &lt; (COLUMN($H$632) + (ROW()-ROW($H$632))), 0, IF(COLUMN() = (COLUMN($H$632) + (ROW()-ROW($H$632))), $H$631, IF(G641&gt;0, G641-1, $H$631-1)))</f>
        <v>0</v>
      </c>
      <c r="I641" s="186">
        <f t="shared" si="89"/>
        <v>0</v>
      </c>
      <c r="J641" s="186">
        <f t="shared" si="89"/>
        <v>0</v>
      </c>
      <c r="K641" s="1"/>
      <c r="L641" s="1"/>
      <c r="M641" s="1"/>
      <c r="N641" s="1"/>
      <c r="O641" s="1"/>
      <c r="P641" s="1"/>
      <c r="Q641" s="1"/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J642" si="90">IF(COLUMN() &lt; (COLUMN($H$632) + (ROW()-ROW($H$632))), 0, IF(COLUMN() = (COLUMN($H$632) + (ROW()-ROW($H$632))), $H$631, IF(G642&gt;0, G642-1, $H$631-1)))</f>
        <v>0</v>
      </c>
      <c r="I642" s="186">
        <f t="shared" si="90"/>
        <v>0</v>
      </c>
      <c r="J642" s="186">
        <f t="shared" si="90"/>
        <v>0</v>
      </c>
      <c r="K642" s="1"/>
      <c r="L642" s="1"/>
      <c r="M642" s="1"/>
      <c r="N642" s="1"/>
      <c r="O642" s="1"/>
      <c r="P642" s="1"/>
      <c r="Q642" s="1"/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J643" si="91">IF(COLUMN() &lt; (COLUMN($H$632) + (ROW()-ROW($H$632))), 0, IF(COLUMN() = (COLUMN($H$632) + (ROW()-ROW($H$632))), $H$631, IF(G643&gt;0, G643-1, $H$631-1)))</f>
        <v>0</v>
      </c>
      <c r="I643" s="186">
        <f t="shared" si="91"/>
        <v>0</v>
      </c>
      <c r="J643" s="186">
        <f t="shared" si="91"/>
        <v>0</v>
      </c>
      <c r="K643" s="1"/>
      <c r="L643" s="1"/>
      <c r="M643" s="1"/>
      <c r="N643" s="1"/>
      <c r="O643" s="1"/>
      <c r="P643" s="1"/>
      <c r="Q643" s="1"/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86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55">
        <v>0.8</v>
      </c>
      <c r="K645" s="1"/>
      <c r="L645" s="1"/>
      <c r="M645" s="1"/>
      <c r="N645" s="1"/>
      <c r="O645" s="1"/>
      <c r="P645" s="1"/>
      <c r="Q645" s="1"/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J646" si="92">H647-H630</f>
        <v>0</v>
      </c>
      <c r="I646" s="184">
        <f t="shared" si="92"/>
        <v>0</v>
      </c>
      <c r="J646" s="184">
        <f t="shared" si="92"/>
        <v>0</v>
      </c>
      <c r="K646" s="1"/>
      <c r="L646" s="1"/>
      <c r="M646" s="1"/>
      <c r="N646" s="1"/>
      <c r="O646" s="1"/>
      <c r="P646" s="1"/>
      <c r="Q646" s="1"/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J647" si="93">SUM(H648:H659)</f>
        <v>0</v>
      </c>
      <c r="I647" s="184">
        <f t="shared" si="93"/>
        <v>0</v>
      </c>
      <c r="J647" s="184">
        <f t="shared" si="93"/>
        <v>40000</v>
      </c>
      <c r="K647" s="1"/>
      <c r="L647" s="1"/>
      <c r="M647" s="1"/>
      <c r="N647" s="1"/>
      <c r="O647" s="1"/>
      <c r="P647" s="1"/>
      <c r="Q647" s="1"/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J648" si="94">IF(COLUMN() &lt; (COLUMN($H$648) + (ROW()-ROW($H$648))), 0, IF(COLUMN() = (COLUMN($H$648) + (ROW()-ROW($H$648))), INDEX($H$630:$J$630, 1, COLUMN()-COLUMN($H$630)+1), IF(H632=0, OFFSET(H648, 0, -$H$631) * $H$645, 0)))</f>
        <v>0</v>
      </c>
      <c r="I648" s="186">
        <f t="shared" si="94"/>
        <v>0</v>
      </c>
      <c r="J648" s="186">
        <f t="shared" si="94"/>
        <v>0</v>
      </c>
      <c r="K648" s="1"/>
      <c r="L648" s="1"/>
      <c r="M648" s="1"/>
      <c r="N648" s="1"/>
      <c r="O648" s="1"/>
      <c r="P648" s="1"/>
      <c r="Q648" s="1"/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J649" si="95">IF(COLUMN() &lt; (COLUMN($H$648) + (ROW()-ROW($H$648))), 0, IF(COLUMN() = (COLUMN($H$648) + (ROW()-ROW($H$648))), INDEX($H$630:$J$630, 1, COLUMN()-COLUMN($H$630)+1), IF(H633=0, OFFSET(H649, 0, -$H$631) * $H$645, 0)))</f>
        <v>0</v>
      </c>
      <c r="I649" s="186">
        <f t="shared" si="95"/>
        <v>0</v>
      </c>
      <c r="J649" s="186">
        <f t="shared" si="95"/>
        <v>0</v>
      </c>
      <c r="K649" s="1"/>
      <c r="L649" s="1"/>
      <c r="M649" s="1"/>
      <c r="N649" s="1"/>
      <c r="O649" s="1"/>
      <c r="P649" s="1"/>
      <c r="Q649" s="1"/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J650" si="96">IF(COLUMN() &lt; (COLUMN($H$648) + (ROW()-ROW($H$648))), 0, IF(COLUMN() = (COLUMN($H$648) + (ROW()-ROW($H$648))), INDEX($H$630:$J$630, 1, COLUMN()-COLUMN($H$630)+1), IF(H634=0, OFFSET(H650, 0, -$H$631) * $H$645, 0)))</f>
        <v>0</v>
      </c>
      <c r="I650" s="186">
        <f t="shared" si="96"/>
        <v>0</v>
      </c>
      <c r="J650" s="186">
        <f t="shared" si="96"/>
        <v>40000</v>
      </c>
      <c r="K650" s="1"/>
      <c r="L650" s="1"/>
      <c r="M650" s="1"/>
      <c r="N650" s="1"/>
      <c r="O650" s="1"/>
      <c r="P650" s="1"/>
      <c r="Q650" s="1"/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J651" si="97">IF(COLUMN() &lt; (COLUMN($H$648) + (ROW()-ROW($H$648))), 0, IF(COLUMN() = (COLUMN($H$648) + (ROW()-ROW($H$648))), INDEX($H$630:$J$630, 1, COLUMN()-COLUMN($H$630)+1), IF(H635=0, OFFSET(H651, 0, -$H$631) * $H$645, 0)))</f>
        <v>0</v>
      </c>
      <c r="I651" s="186">
        <f t="shared" si="97"/>
        <v>0</v>
      </c>
      <c r="J651" s="186">
        <f t="shared" si="97"/>
        <v>0</v>
      </c>
      <c r="K651" s="1"/>
      <c r="L651" s="1"/>
      <c r="M651" s="1"/>
      <c r="N651" s="1"/>
      <c r="O651" s="1"/>
      <c r="P651" s="1"/>
      <c r="Q651" s="1"/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J652" si="98">IF(COLUMN() &lt; (COLUMN($H$648) + (ROW()-ROW($H$648))), 0, IF(COLUMN() = (COLUMN($H$648) + (ROW()-ROW($H$648))), INDEX($H$630:$J$630, 1, COLUMN()-COLUMN($H$630)+1), IF(H636=0, OFFSET(H652, 0, -$H$631) * $H$645, 0)))</f>
        <v>0</v>
      </c>
      <c r="I652" s="186">
        <f t="shared" si="98"/>
        <v>0</v>
      </c>
      <c r="J652" s="186">
        <f t="shared" si="98"/>
        <v>0</v>
      </c>
      <c r="K652" s="1"/>
      <c r="L652" s="1"/>
      <c r="M652" s="1"/>
      <c r="N652" s="1"/>
      <c r="O652" s="1"/>
      <c r="P652" s="1"/>
      <c r="Q652" s="1"/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J653" si="99">IF(COLUMN() &lt; (COLUMN($H$648) + (ROW()-ROW($H$648))), 0, IF(COLUMN() = (COLUMN($H$648) + (ROW()-ROW($H$648))), INDEX($H$630:$J$630, 1, COLUMN()-COLUMN($H$630)+1), IF(H637=0, OFFSET(H653, 0, -$H$631) * $H$645, 0)))</f>
        <v>0</v>
      </c>
      <c r="I653" s="186">
        <f t="shared" si="99"/>
        <v>0</v>
      </c>
      <c r="J653" s="186">
        <f t="shared" si="99"/>
        <v>0</v>
      </c>
      <c r="K653" s="1"/>
      <c r="L653" s="1"/>
      <c r="M653" s="1"/>
      <c r="N653" s="1"/>
      <c r="O653" s="1"/>
      <c r="P653" s="1"/>
      <c r="Q653" s="1"/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J654" si="100">IF(COLUMN() &lt; (COLUMN($H$648) + (ROW()-ROW($H$648))), 0, IF(COLUMN() = (COLUMN($H$648) + (ROW()-ROW($H$648))), INDEX($H$630:$J$630, 1, COLUMN()-COLUMN($H$630)+1), IF(H638=0, OFFSET(H654, 0, -$H$631) * $H$645, 0)))</f>
        <v>0</v>
      </c>
      <c r="I654" s="186">
        <f t="shared" si="100"/>
        <v>0</v>
      </c>
      <c r="J654" s="186">
        <f t="shared" si="100"/>
        <v>0</v>
      </c>
      <c r="K654" s="1"/>
      <c r="L654" s="1"/>
      <c r="M654" s="1"/>
      <c r="N654" s="1"/>
      <c r="O654" s="1"/>
      <c r="P654" s="1"/>
      <c r="Q654" s="1"/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J655" si="101">IF(COLUMN() &lt; (COLUMN($H$648) + (ROW()-ROW($H$648))), 0, IF(COLUMN() = (COLUMN($H$648) + (ROW()-ROW($H$648))), INDEX($H$630:$J$630, 1, COLUMN()-COLUMN($H$630)+1), IF(H639=0, OFFSET(H655, 0, -$H$631) * $H$645, 0)))</f>
        <v>0</v>
      </c>
      <c r="I655" s="186">
        <f t="shared" si="101"/>
        <v>0</v>
      </c>
      <c r="J655" s="186">
        <f t="shared" si="101"/>
        <v>0</v>
      </c>
      <c r="K655" s="1"/>
      <c r="L655" s="1"/>
      <c r="M655" s="1"/>
      <c r="N655" s="1"/>
      <c r="O655" s="1"/>
      <c r="P655" s="1"/>
      <c r="Q655" s="1"/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J656" si="102">IF(COLUMN() &lt; (COLUMN($H$648) + (ROW()-ROW($H$648))), 0, IF(COLUMN() = (COLUMN($H$648) + (ROW()-ROW($H$648))), INDEX($H$630:$J$630, 1, COLUMN()-COLUMN($H$630)+1), IF(H640=0, OFFSET(H656, 0, -$H$631) * $H$645, 0)))</f>
        <v>0</v>
      </c>
      <c r="I656" s="186">
        <f t="shared" si="102"/>
        <v>0</v>
      </c>
      <c r="J656" s="186">
        <f t="shared" si="102"/>
        <v>0</v>
      </c>
      <c r="K656" s="1"/>
      <c r="L656" s="1"/>
      <c r="M656" s="1"/>
      <c r="N656" s="1"/>
      <c r="O656" s="1"/>
      <c r="P656" s="1"/>
      <c r="Q656" s="1"/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J657" si="103">IF(COLUMN() &lt; (COLUMN($H$648) + (ROW()-ROW($H$648))), 0, IF(COLUMN() = (COLUMN($H$648) + (ROW()-ROW($H$648))), INDEX($H$630:$J$630, 1, COLUMN()-COLUMN($H$630)+1), IF(H641=0, OFFSET(H657, 0, -$H$631) * $H$645, 0)))</f>
        <v>0</v>
      </c>
      <c r="I657" s="186">
        <f t="shared" si="103"/>
        <v>0</v>
      </c>
      <c r="J657" s="186">
        <f t="shared" si="103"/>
        <v>0</v>
      </c>
      <c r="K657" s="1"/>
      <c r="L657" s="1"/>
      <c r="M657" s="1"/>
      <c r="N657" s="1"/>
      <c r="O657" s="1"/>
      <c r="P657" s="1"/>
      <c r="Q657" s="1"/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J658" si="104">IF(COLUMN() &lt; (COLUMN($H$648) + (ROW()-ROW($H$648))), 0, IF(COLUMN() = (COLUMN($H$648) + (ROW()-ROW($H$648))), INDEX($H$630:$J$630, 1, COLUMN()-COLUMN($H$630)+1), IF(H642=0, OFFSET(H658, 0, -$H$631) * $H$645, 0)))</f>
        <v>0</v>
      </c>
      <c r="I658" s="186">
        <f t="shared" si="104"/>
        <v>0</v>
      </c>
      <c r="J658" s="186">
        <f t="shared" si="104"/>
        <v>0</v>
      </c>
      <c r="K658" s="1"/>
      <c r="L658" s="1"/>
      <c r="M658" s="1"/>
      <c r="N658" s="1"/>
      <c r="O658" s="1"/>
      <c r="P658" s="1"/>
      <c r="Q658" s="1"/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J659" si="105">IF(COLUMN() &lt; (COLUMN($H$648) + (ROW()-ROW($H$648))), 0, IF(COLUMN() = (COLUMN($H$648) + (ROW()-ROW($H$648))), INDEX($H$630:$J$630, 1, COLUMN()-COLUMN($H$630)+1), IF(H643=0, OFFSET(H659, 0, -$H$631) * $H$645, 0)))</f>
        <v>0</v>
      </c>
      <c r="I659" s="186">
        <f t="shared" si="105"/>
        <v>0</v>
      </c>
      <c r="J659" s="186">
        <f t="shared" si="105"/>
        <v>0</v>
      </c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55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84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J662" si="106">F881</f>
        <v>$ [Executar-loyalty] Revenue Expansion</v>
      </c>
      <c r="G662" s="163" t="str">
        <f t="shared" si="106"/>
        <v/>
      </c>
      <c r="H662" s="178">
        <f t="shared" si="106"/>
        <v>0</v>
      </c>
      <c r="I662" s="178">
        <f t="shared" si="106"/>
        <v>0</v>
      </c>
      <c r="J662" s="178">
        <f t="shared" si="106"/>
        <v>216000</v>
      </c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J663" si="107">H460</f>
        <v>828630</v>
      </c>
      <c r="I663" s="184" t="str">
        <f t="shared" si="107"/>
        <v/>
      </c>
      <c r="J663" s="184" t="str">
        <f t="shared" si="107"/>
        <v/>
      </c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J664" si="108">SUM(H662:H663)</f>
        <v>828630</v>
      </c>
      <c r="I664" s="184">
        <f t="shared" si="108"/>
        <v>0</v>
      </c>
      <c r="J664" s="184">
        <f t="shared" si="108"/>
        <v>216000</v>
      </c>
      <c r="K664" s="1"/>
      <c r="L664" s="1"/>
      <c r="M664" s="1"/>
      <c r="N664" s="1"/>
      <c r="O664" s="1"/>
      <c r="P664" s="1"/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86"/>
      <c r="K665" s="1"/>
      <c r="L665" s="1"/>
      <c r="M665" s="1"/>
      <c r="N665" s="1"/>
      <c r="O665" s="1"/>
      <c r="P665" s="1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J666" si="109">IF(COLUMN() &lt; (COLUMN($H$666) + (ROW()-ROW($H$666))), 0, IF(COLUMN() = (COLUMN($H$666) + (ROW()-ROW($H$666))), $H$665, IF(G666&gt;0, G666-1, $H$665-1)))</f>
        <v>9</v>
      </c>
      <c r="I666" s="186">
        <f t="shared" si="109"/>
        <v>8</v>
      </c>
      <c r="J666" s="186">
        <f t="shared" si="109"/>
        <v>7</v>
      </c>
      <c r="K666" s="1"/>
      <c r="L666" s="1"/>
      <c r="M666" s="1"/>
      <c r="N666" s="1"/>
      <c r="O666" s="1"/>
      <c r="P666" s="1"/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J667" si="110">IF(COLUMN() &lt; (COLUMN($H$666) + (ROW()-ROW($H$666))), 0, IF(COLUMN() = (COLUMN($H$666) + (ROW()-ROW($H$666))), $H$665, IF(G667&gt;0, G667-1, $H$665-1)))</f>
        <v>0</v>
      </c>
      <c r="I667" s="186">
        <f t="shared" si="110"/>
        <v>9</v>
      </c>
      <c r="J667" s="186">
        <f t="shared" si="110"/>
        <v>8</v>
      </c>
      <c r="K667" s="1"/>
      <c r="L667" s="1"/>
      <c r="M667" s="1"/>
      <c r="N667" s="1"/>
      <c r="O667" s="1"/>
      <c r="P667" s="1"/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J668" si="111">IF(COLUMN() &lt; (COLUMN($H$666) + (ROW()-ROW($H$666))), 0, IF(COLUMN() = (COLUMN($H$666) + (ROW()-ROW($H$666))), $H$665, IF(G668&gt;0, G668-1, $H$665-1)))</f>
        <v>0</v>
      </c>
      <c r="I668" s="186">
        <f t="shared" si="111"/>
        <v>0</v>
      </c>
      <c r="J668" s="186">
        <f t="shared" si="111"/>
        <v>9</v>
      </c>
      <c r="K668" s="1"/>
      <c r="L668" s="1"/>
      <c r="M668" s="1"/>
      <c r="N668" s="1"/>
      <c r="O668" s="1"/>
      <c r="P668" s="1"/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J669" si="112">IF(COLUMN() &lt; (COLUMN($H$666) + (ROW()-ROW($H$666))), 0, IF(COLUMN() = (COLUMN($H$666) + (ROW()-ROW($H$666))), $H$665, IF(G669&gt;0, G669-1, $H$665-1)))</f>
        <v>0</v>
      </c>
      <c r="I669" s="186">
        <f t="shared" si="112"/>
        <v>0</v>
      </c>
      <c r="J669" s="186">
        <f t="shared" si="112"/>
        <v>0</v>
      </c>
      <c r="K669" s="1"/>
      <c r="L669" s="1"/>
      <c r="M669" s="1"/>
      <c r="N669" s="1"/>
      <c r="O669" s="1"/>
      <c r="P669" s="1"/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J670" si="113">IF(COLUMN() &lt; (COLUMN($H$666) + (ROW()-ROW($H$666))), 0, IF(COLUMN() = (COLUMN($H$666) + (ROW()-ROW($H$666))), $H$665, IF(G670&gt;0, G670-1, $H$665-1)))</f>
        <v>0</v>
      </c>
      <c r="I670" s="186">
        <f t="shared" si="113"/>
        <v>0</v>
      </c>
      <c r="J670" s="186">
        <f t="shared" si="113"/>
        <v>0</v>
      </c>
      <c r="K670" s="1"/>
      <c r="L670" s="1"/>
      <c r="M670" s="1"/>
      <c r="N670" s="1"/>
      <c r="O670" s="1"/>
      <c r="P670" s="1"/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J671" si="114">IF(COLUMN() &lt; (COLUMN($H$666) + (ROW()-ROW($H$666))), 0, IF(COLUMN() = (COLUMN($H$666) + (ROW()-ROW($H$666))), $H$665, IF(G671&gt;0, G671-1, $H$665-1)))</f>
        <v>0</v>
      </c>
      <c r="I671" s="186">
        <f t="shared" si="114"/>
        <v>0</v>
      </c>
      <c r="J671" s="186">
        <f t="shared" si="114"/>
        <v>0</v>
      </c>
      <c r="K671" s="1"/>
      <c r="L671" s="1"/>
      <c r="M671" s="1"/>
      <c r="N671" s="1"/>
      <c r="O671" s="1"/>
      <c r="P671" s="1"/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J672" si="115">IF(COLUMN() &lt; (COLUMN($H$666) + (ROW()-ROW($H$666))), 0, IF(COLUMN() = (COLUMN($H$666) + (ROW()-ROW($H$666))), $H$665, IF(G672&gt;0, G672-1, $H$665-1)))</f>
        <v>0</v>
      </c>
      <c r="I672" s="186">
        <f t="shared" si="115"/>
        <v>0</v>
      </c>
      <c r="J672" s="186">
        <f t="shared" si="115"/>
        <v>0</v>
      </c>
      <c r="K672" s="1"/>
      <c r="L672" s="1"/>
      <c r="M672" s="1"/>
      <c r="N672" s="1"/>
      <c r="O672" s="1"/>
      <c r="P672" s="1"/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J673" si="116">IF(COLUMN() &lt; (COLUMN($H$666) + (ROW()-ROW($H$666))), 0, IF(COLUMN() = (COLUMN($H$666) + (ROW()-ROW($H$666))), $H$665, IF(G673&gt;0, G673-1, $H$665-1)))</f>
        <v>0</v>
      </c>
      <c r="I673" s="186">
        <f t="shared" si="116"/>
        <v>0</v>
      </c>
      <c r="J673" s="186">
        <f t="shared" si="116"/>
        <v>0</v>
      </c>
      <c r="K673" s="1"/>
      <c r="L673" s="1"/>
      <c r="M673" s="1"/>
      <c r="N673" s="1"/>
      <c r="O673" s="1"/>
      <c r="P673" s="1"/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J674" si="117">IF(COLUMN() &lt; (COLUMN($H$666) + (ROW()-ROW($H$666))), 0, IF(COLUMN() = (COLUMN($H$666) + (ROW()-ROW($H$666))), $H$665, IF(G674&gt;0, G674-1, $H$665-1)))</f>
        <v>0</v>
      </c>
      <c r="I674" s="186">
        <f t="shared" si="117"/>
        <v>0</v>
      </c>
      <c r="J674" s="186">
        <f t="shared" si="117"/>
        <v>0</v>
      </c>
      <c r="K674" s="1"/>
      <c r="L674" s="1"/>
      <c r="M674" s="1"/>
      <c r="N674" s="1"/>
      <c r="O674" s="1"/>
      <c r="P674" s="1"/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J675" si="118">IF(COLUMN() &lt; (COLUMN($H$666) + (ROW()-ROW($H$666))), 0, IF(COLUMN() = (COLUMN($H$666) + (ROW()-ROW($H$666))), $H$665, IF(G675&gt;0, G675-1, $H$665-1)))</f>
        <v>0</v>
      </c>
      <c r="I675" s="186">
        <f t="shared" si="118"/>
        <v>0</v>
      </c>
      <c r="J675" s="186">
        <f t="shared" si="118"/>
        <v>0</v>
      </c>
      <c r="K675" s="1"/>
      <c r="L675" s="1"/>
      <c r="M675" s="1"/>
      <c r="N675" s="1"/>
      <c r="O675" s="1"/>
      <c r="P675" s="1"/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J676" si="119">IF(COLUMN() &lt; (COLUMN($H$666) + (ROW()-ROW($H$666))), 0, IF(COLUMN() = (COLUMN($H$666) + (ROW()-ROW($H$666))), $H$665, IF(G676&gt;0, G676-1, $H$665-1)))</f>
        <v>0</v>
      </c>
      <c r="I676" s="186">
        <f t="shared" si="119"/>
        <v>0</v>
      </c>
      <c r="J676" s="186">
        <f t="shared" si="119"/>
        <v>0</v>
      </c>
      <c r="K676" s="1"/>
      <c r="L676" s="1"/>
      <c r="M676" s="1"/>
      <c r="N676" s="1"/>
      <c r="O676" s="1"/>
      <c r="P676" s="1"/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J677" si="120">IF(COLUMN() &lt; (COLUMN($H$666) + (ROW()-ROW($H$666))), 0, IF(COLUMN() = (COLUMN($H$666) + (ROW()-ROW($H$666))), $H$665, IF(G677&gt;0, G677-1, $H$665-1)))</f>
        <v>0</v>
      </c>
      <c r="I677" s="186">
        <f t="shared" si="120"/>
        <v>0</v>
      </c>
      <c r="J677" s="186">
        <f t="shared" si="120"/>
        <v>0</v>
      </c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55"/>
      <c r="K678" s="1"/>
      <c r="L678" s="1"/>
      <c r="M678" s="1"/>
      <c r="N678" s="1"/>
      <c r="O678" s="1"/>
      <c r="P678" s="1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J679" si="121">H680-H664</f>
        <v>0</v>
      </c>
      <c r="I679" s="184">
        <f t="shared" si="121"/>
        <v>0</v>
      </c>
      <c r="J679" s="184">
        <f t="shared" si="121"/>
        <v>0</v>
      </c>
      <c r="K679" s="1"/>
      <c r="L679" s="1"/>
      <c r="M679" s="1"/>
      <c r="N679" s="1"/>
      <c r="O679" s="1"/>
      <c r="P679" s="1"/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J680" si="122">SUM(H681:H692)</f>
        <v>828630</v>
      </c>
      <c r="I680" s="184">
        <f t="shared" si="122"/>
        <v>0</v>
      </c>
      <c r="J680" s="184">
        <f t="shared" si="122"/>
        <v>216000</v>
      </c>
      <c r="K680" s="1"/>
      <c r="L680" s="1"/>
      <c r="M680" s="1"/>
      <c r="N680" s="1"/>
      <c r="O680" s="1"/>
      <c r="P680" s="1"/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J681" si="123">IF(COLUMN() &lt; (COLUMN($H681) + (ROW()-ROW($H$681))), 0, IF(COLUMN() = (COLUMN($H$681) + (ROW()-ROW($H$681))), INDEX($H$664:$J$664, 1, COLUMN()-COLUMN($H$664)+1), IF(H666=0, OFFSET(H681, 0, -$H$665) * $H$678, 0)))</f>
        <v>828630</v>
      </c>
      <c r="I681" s="186">
        <f t="shared" si="123"/>
        <v>0</v>
      </c>
      <c r="J681" s="186">
        <f t="shared" si="123"/>
        <v>0</v>
      </c>
      <c r="K681" s="1"/>
      <c r="L681" s="1"/>
      <c r="M681" s="1"/>
      <c r="N681" s="1"/>
      <c r="O681" s="1"/>
      <c r="P681" s="1"/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J682" si="124">IF(COLUMN() &lt; (COLUMN($H682) + (ROW()-ROW($H$681))), 0, IF(COLUMN() = (COLUMN($H$681) + (ROW()-ROW($H$681))), INDEX($H$664:$J$664, 1, COLUMN()-COLUMN($H$664)+1), IF(H667=0, OFFSET(H682, 0, -$H$665) * $H$678, 0)))</f>
        <v>0</v>
      </c>
      <c r="I682" s="186">
        <f t="shared" si="124"/>
        <v>0</v>
      </c>
      <c r="J682" s="186">
        <f t="shared" si="124"/>
        <v>0</v>
      </c>
      <c r="K682" s="1"/>
      <c r="L682" s="1"/>
      <c r="M682" s="1"/>
      <c r="N682" s="1"/>
      <c r="O682" s="1"/>
      <c r="P682" s="1"/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J683" si="125">IF(COLUMN() &lt; (COLUMN($H683) + (ROW()-ROW($H$681))), 0, IF(COLUMN() = (COLUMN($H$681) + (ROW()-ROW($H$681))), INDEX($H$664:$J$664, 1, COLUMN()-COLUMN($H$664)+1), IF(H668=0, OFFSET(H683, 0, -$H$665) * $H$678, 0)))</f>
        <v>0</v>
      </c>
      <c r="I683" s="186">
        <f t="shared" si="125"/>
        <v>0</v>
      </c>
      <c r="J683" s="186">
        <f t="shared" si="125"/>
        <v>216000</v>
      </c>
      <c r="K683" s="1"/>
      <c r="L683" s="1"/>
      <c r="M683" s="1"/>
      <c r="N683" s="1"/>
      <c r="O683" s="1"/>
      <c r="P683" s="1"/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J684" si="126">IF(COLUMN() &lt; (COLUMN($H684) + (ROW()-ROW($H$681))), 0, IF(COLUMN() = (COLUMN($H$681) + (ROW()-ROW($H$681))), INDEX($H$664:$J$664, 1, COLUMN()-COLUMN($H$664)+1), IF(H669=0, OFFSET(H684, 0, -$H$665) * $H$678, 0)))</f>
        <v>0</v>
      </c>
      <c r="I684" s="186">
        <f t="shared" si="126"/>
        <v>0</v>
      </c>
      <c r="J684" s="186">
        <f t="shared" si="126"/>
        <v>0</v>
      </c>
      <c r="K684" s="1"/>
      <c r="L684" s="1"/>
      <c r="M684" s="1"/>
      <c r="N684" s="1"/>
      <c r="O684" s="1"/>
      <c r="P684" s="1"/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J685" si="127">IF(COLUMN() &lt; (COLUMN($H685) + (ROW()-ROW($H$681))), 0, IF(COLUMN() = (COLUMN($H$681) + (ROW()-ROW($H$681))), INDEX($H$664:$J$664, 1, COLUMN()-COLUMN($H$664)+1), IF(H670=0, OFFSET(H685, 0, -$H$665) * $H$678, 0)))</f>
        <v>0</v>
      </c>
      <c r="I685" s="186">
        <f t="shared" si="127"/>
        <v>0</v>
      </c>
      <c r="J685" s="186">
        <f t="shared" si="127"/>
        <v>0</v>
      </c>
      <c r="K685" s="1"/>
      <c r="L685" s="1"/>
      <c r="M685" s="1"/>
      <c r="N685" s="1"/>
      <c r="O685" s="1"/>
      <c r="P685" s="1"/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J686" si="128">IF(COLUMN() &lt; (COLUMN($H686) + (ROW()-ROW($H$681))), 0, IF(COLUMN() = (COLUMN($H$681) + (ROW()-ROW($H$681))), INDEX($H$664:$J$664, 1, COLUMN()-COLUMN($H$664)+1), IF(H671=0, OFFSET(H686, 0, -$H$665) * $H$678, 0)))</f>
        <v>0</v>
      </c>
      <c r="I686" s="186">
        <f t="shared" si="128"/>
        <v>0</v>
      </c>
      <c r="J686" s="186">
        <f t="shared" si="128"/>
        <v>0</v>
      </c>
      <c r="K686" s="1"/>
      <c r="L686" s="1"/>
      <c r="M686" s="1"/>
      <c r="N686" s="1"/>
      <c r="O686" s="1"/>
      <c r="P686" s="1"/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J687" si="129">IF(COLUMN() &lt; (COLUMN($H687) + (ROW()-ROW($H$681))), 0, IF(COLUMN() = (COLUMN($H$681) + (ROW()-ROW($H$681))), INDEX($H$664:$J$664, 1, COLUMN()-COLUMN($H$664)+1), IF(H672=0, OFFSET(H687, 0, -$H$665) * $H$678, 0)))</f>
        <v>0</v>
      </c>
      <c r="I687" s="186">
        <f t="shared" si="129"/>
        <v>0</v>
      </c>
      <c r="J687" s="186">
        <f t="shared" si="129"/>
        <v>0</v>
      </c>
      <c r="K687" s="1"/>
      <c r="L687" s="1"/>
      <c r="M687" s="1"/>
      <c r="N687" s="1"/>
      <c r="O687" s="1"/>
      <c r="P687" s="1"/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J688" si="130">IF(COLUMN() &lt; (COLUMN($H688) + (ROW()-ROW($H$681))), 0, IF(COLUMN() = (COLUMN($H$681) + (ROW()-ROW($H$681))), INDEX($H$664:$J$664, 1, COLUMN()-COLUMN($H$664)+1), IF(H673=0, OFFSET(H688, 0, -$H$665) * $H$678, 0)))</f>
        <v>0</v>
      </c>
      <c r="I688" s="186">
        <f t="shared" si="130"/>
        <v>0</v>
      </c>
      <c r="J688" s="186">
        <f t="shared" si="130"/>
        <v>0</v>
      </c>
      <c r="K688" s="1"/>
      <c r="L688" s="1"/>
      <c r="M688" s="1"/>
      <c r="N688" s="1"/>
      <c r="O688" s="1"/>
      <c r="P688" s="1"/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J689" si="131">IF(COLUMN() &lt; (COLUMN($H689) + (ROW()-ROW($H$681))), 0, IF(COLUMN() = (COLUMN($H$681) + (ROW()-ROW($H$681))), INDEX($H$664:$J$664, 1, COLUMN()-COLUMN($H$664)+1), IF(H674=0, OFFSET(H689, 0, -$H$665) * $H$678, 0)))</f>
        <v>0</v>
      </c>
      <c r="I689" s="186">
        <f t="shared" si="131"/>
        <v>0</v>
      </c>
      <c r="J689" s="186">
        <f t="shared" si="131"/>
        <v>0</v>
      </c>
      <c r="K689" s="1"/>
      <c r="L689" s="1"/>
      <c r="M689" s="1"/>
      <c r="N689" s="1"/>
      <c r="O689" s="1"/>
      <c r="P689" s="1"/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J690" si="132">IF(COLUMN() &lt; (COLUMN($H690) + (ROW()-ROW($H$681))), 0, IF(COLUMN() = (COLUMN($H$681) + (ROW()-ROW($H$681))), INDEX($H$664:$J$664, 1, COLUMN()-COLUMN($H$664)+1), IF(H675=0, OFFSET(H690, 0, -$H$665) * $H$678, 0)))</f>
        <v>0</v>
      </c>
      <c r="I690" s="186">
        <f t="shared" si="132"/>
        <v>0</v>
      </c>
      <c r="J690" s="186">
        <f t="shared" si="132"/>
        <v>0</v>
      </c>
      <c r="K690" s="1"/>
      <c r="L690" s="1"/>
      <c r="M690" s="1"/>
      <c r="N690" s="1"/>
      <c r="O690" s="1"/>
      <c r="P690" s="1"/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J691" si="133">IF(COLUMN() &lt; (COLUMN($H691) + (ROW()-ROW($H$681))), 0, IF(COLUMN() = (COLUMN($H$681) + (ROW()-ROW($H$681))), INDEX($H$664:$J$664, 1, COLUMN()-COLUMN($H$664)+1), IF(H676=0, OFFSET(H691, 0, -$H$665) * $H$678, 0)))</f>
        <v>0</v>
      </c>
      <c r="I691" s="186">
        <f t="shared" si="133"/>
        <v>0</v>
      </c>
      <c r="J691" s="186">
        <f t="shared" si="133"/>
        <v>0</v>
      </c>
      <c r="K691" s="1"/>
      <c r="L691" s="1"/>
      <c r="M691" s="1"/>
      <c r="N691" s="1"/>
      <c r="O691" s="1"/>
      <c r="P691" s="1"/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J692" si="134">IF(COLUMN() &lt; (COLUMN($H692) + (ROW()-ROW($H$681))), 0, IF(COLUMN() = (COLUMN($H$681) + (ROW()-ROW($H$681))), INDEX($H$664:$J$664, 1, COLUMN()-COLUMN($H$664)+1), IF(H677=0, OFFSET(H692, 0, -$H$665) * $H$678, 0)))</f>
        <v>0</v>
      </c>
      <c r="I692" s="186">
        <f t="shared" si="134"/>
        <v>0</v>
      </c>
      <c r="J692" s="186">
        <f t="shared" si="134"/>
        <v>0</v>
      </c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84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J694" si="135">H698</f>
        <v>18000</v>
      </c>
      <c r="I694" s="188">
        <f t="shared" si="135"/>
        <v>19800</v>
      </c>
      <c r="J694" s="188">
        <f t="shared" si="135"/>
        <v>21780</v>
      </c>
      <c r="K694" s="16"/>
      <c r="L694" s="16"/>
      <c r="M694" s="16"/>
      <c r="N694" s="16"/>
      <c r="O694" s="16"/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4</v>
      </c>
      <c r="I695" s="190">
        <f t="shared" ref="I695:J695" si="136">H695</f>
        <v>4</v>
      </c>
      <c r="J695" s="190">
        <f t="shared" si="136"/>
        <v>4</v>
      </c>
      <c r="K695" s="16"/>
      <c r="L695" s="16"/>
      <c r="M695" s="16"/>
      <c r="N695" s="16"/>
      <c r="O695" s="16"/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 t="shared" ref="I696:J696" si="137">H696*H697</f>
        <v>4950</v>
      </c>
      <c r="J696" s="188">
        <f t="shared" si="137"/>
        <v>5445</v>
      </c>
      <c r="K696" s="16"/>
      <c r="L696" s="16"/>
      <c r="M696" s="16"/>
      <c r="N696" s="16"/>
      <c r="O696" s="16"/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54">
        <v>1.1</v>
      </c>
      <c r="K697" s="16"/>
      <c r="L697" s="16"/>
      <c r="M697" s="16"/>
      <c r="N697" s="16"/>
      <c r="O697" s="16"/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J698" si="138">H695*H696</f>
        <v>18000</v>
      </c>
      <c r="I698" s="188">
        <f t="shared" si="138"/>
        <v>19800</v>
      </c>
      <c r="J698" s="188">
        <f t="shared" si="138"/>
        <v>21780</v>
      </c>
      <c r="K698" s="16"/>
      <c r="L698" s="16"/>
      <c r="M698" s="16"/>
      <c r="N698" s="16"/>
      <c r="O698" s="16"/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88"/>
      <c r="K699" s="16"/>
      <c r="L699" s="16"/>
      <c r="M699" s="16"/>
      <c r="N699" s="16"/>
      <c r="O699" s="16"/>
      <c r="P699" s="16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83"/>
      <c r="K700" s="136"/>
      <c r="L700" s="136"/>
      <c r="M700" s="136"/>
      <c r="N700" s="136"/>
      <c r="O700" s="136"/>
      <c r="P700" s="136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84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J702" si="139">F923</f>
        <v>$ [Executar-no loyalty] Revenue Expansion</v>
      </c>
      <c r="G702" s="171" t="str">
        <f t="shared" si="139"/>
        <v/>
      </c>
      <c r="H702" s="180">
        <f t="shared" si="139"/>
        <v>0</v>
      </c>
      <c r="I702" s="180">
        <f t="shared" si="139"/>
        <v>354000</v>
      </c>
      <c r="J702" s="180">
        <f t="shared" si="139"/>
        <v>198000</v>
      </c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J703" si="140">H484</f>
        <v>0</v>
      </c>
      <c r="I703" s="184" t="str">
        <f t="shared" si="140"/>
        <v/>
      </c>
      <c r="J703" s="184" t="str">
        <f t="shared" si="140"/>
        <v/>
      </c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J704" si="141">SUM(H702:H703)</f>
        <v>0</v>
      </c>
      <c r="I704" s="184">
        <f t="shared" si="141"/>
        <v>354000</v>
      </c>
      <c r="J704" s="184">
        <f t="shared" si="141"/>
        <v>198000</v>
      </c>
      <c r="K704" s="1"/>
      <c r="L704" s="1"/>
      <c r="M704" s="1"/>
      <c r="N704" s="1"/>
      <c r="O704" s="1"/>
      <c r="P704" s="1"/>
      <c r="Q704" s="1"/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86"/>
      <c r="K705" s="1"/>
      <c r="L705" s="1"/>
      <c r="M705" s="1"/>
      <c r="N705" s="1"/>
      <c r="O705" s="1"/>
      <c r="P705" s="1"/>
      <c r="Q705" s="1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J706" si="142">IF(COLUMN() &lt; (COLUMN($H$706) + (ROW()-ROW($H$706))), 0, IF(COLUMN() = (COLUMN($H$706) + (ROW()-ROW($H$706))), $H$705, IF(G706&gt;0, G706-1, $H$705-1)))</f>
        <v>2</v>
      </c>
      <c r="I706" s="186">
        <f t="shared" si="142"/>
        <v>1</v>
      </c>
      <c r="J706" s="186">
        <f t="shared" si="142"/>
        <v>0</v>
      </c>
      <c r="K706" s="1"/>
      <c r="L706" s="1"/>
      <c r="M706" s="1"/>
      <c r="N706" s="1"/>
      <c r="O706" s="1"/>
      <c r="P706" s="1"/>
      <c r="Q706" s="1"/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J707" si="143">IF(COLUMN() &lt; (COLUMN($H$706) + (ROW()-ROW($H$706))), 0, IF(COLUMN() = (COLUMN($H$706) + (ROW()-ROW($H$706))), $H$705, IF(G707&gt;0, G707-1, $H$705-1)))</f>
        <v>0</v>
      </c>
      <c r="I707" s="186">
        <f t="shared" si="143"/>
        <v>2</v>
      </c>
      <c r="J707" s="186">
        <f t="shared" si="143"/>
        <v>1</v>
      </c>
      <c r="K707" s="1"/>
      <c r="L707" s="1"/>
      <c r="M707" s="1"/>
      <c r="N707" s="1"/>
      <c r="O707" s="1"/>
      <c r="P707" s="1"/>
      <c r="Q707" s="1"/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J708" si="144">IF(COLUMN() &lt; (COLUMN($H$706) + (ROW()-ROW($H$706))), 0, IF(COLUMN() = (COLUMN($H$706) + (ROW()-ROW($H$706))), $H$705, IF(G708&gt;0, G708-1, $H$705-1)))</f>
        <v>0</v>
      </c>
      <c r="I708" s="186">
        <f t="shared" si="144"/>
        <v>0</v>
      </c>
      <c r="J708" s="186">
        <f t="shared" si="144"/>
        <v>2</v>
      </c>
      <c r="K708" s="1"/>
      <c r="L708" s="1"/>
      <c r="M708" s="1"/>
      <c r="N708" s="1"/>
      <c r="O708" s="1"/>
      <c r="P708" s="1"/>
      <c r="Q708" s="1"/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J709" si="145">IF(COLUMN() &lt; (COLUMN($H$706) + (ROW()-ROW($H$706))), 0, IF(COLUMN() = (COLUMN($H$706) + (ROW()-ROW($H$706))), $H$705, IF(G709&gt;0, G709-1, $H$705-1)))</f>
        <v>0</v>
      </c>
      <c r="I709" s="186">
        <f t="shared" si="145"/>
        <v>0</v>
      </c>
      <c r="J709" s="186">
        <f t="shared" si="145"/>
        <v>0</v>
      </c>
      <c r="K709" s="1"/>
      <c r="L709" s="1"/>
      <c r="M709" s="1"/>
      <c r="N709" s="1"/>
      <c r="O709" s="1"/>
      <c r="P709" s="1"/>
      <c r="Q709" s="1"/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J710" si="146">IF(COLUMN() &lt; (COLUMN($H$706) + (ROW()-ROW($H$706))), 0, IF(COLUMN() = (COLUMN($H$706) + (ROW()-ROW($H$706))), $H$705, IF(G710&gt;0, G710-1, $H$705-1)))</f>
        <v>0</v>
      </c>
      <c r="I710" s="186">
        <f t="shared" si="146"/>
        <v>0</v>
      </c>
      <c r="J710" s="186">
        <f t="shared" si="146"/>
        <v>0</v>
      </c>
      <c r="K710" s="1"/>
      <c r="L710" s="1"/>
      <c r="M710" s="1"/>
      <c r="N710" s="1"/>
      <c r="O710" s="1"/>
      <c r="P710" s="1"/>
      <c r="Q710" s="1"/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J711" si="147">IF(COLUMN() &lt; (COLUMN($H$706) + (ROW()-ROW($H$706))), 0, IF(COLUMN() = (COLUMN($H$706) + (ROW()-ROW($H$706))), $H$705, IF(G711&gt;0, G711-1, $H$705-1)))</f>
        <v>0</v>
      </c>
      <c r="I711" s="186">
        <f t="shared" si="147"/>
        <v>0</v>
      </c>
      <c r="J711" s="186">
        <f t="shared" si="147"/>
        <v>0</v>
      </c>
      <c r="K711" s="1"/>
      <c r="L711" s="1"/>
      <c r="M711" s="1"/>
      <c r="N711" s="1"/>
      <c r="O711" s="1"/>
      <c r="P711" s="1"/>
      <c r="Q711" s="1"/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J712" si="148">IF(COLUMN() &lt; (COLUMN($H$706) + (ROW()-ROW($H$706))), 0, IF(COLUMN() = (COLUMN($H$706) + (ROW()-ROW($H$706))), $H$705, IF(G712&gt;0, G712-1, $H$705-1)))</f>
        <v>0</v>
      </c>
      <c r="I712" s="186">
        <f t="shared" si="148"/>
        <v>0</v>
      </c>
      <c r="J712" s="186">
        <f t="shared" si="148"/>
        <v>0</v>
      </c>
      <c r="K712" s="1"/>
      <c r="L712" s="1"/>
      <c r="M712" s="1"/>
      <c r="N712" s="1"/>
      <c r="O712" s="1"/>
      <c r="P712" s="1"/>
      <c r="Q712" s="1"/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J713" si="149">IF(COLUMN() &lt; (COLUMN($H$706) + (ROW()-ROW($H$706))), 0, IF(COLUMN() = (COLUMN($H$706) + (ROW()-ROW($H$706))), $H$705, IF(G713&gt;0, G713-1, $H$705-1)))</f>
        <v>0</v>
      </c>
      <c r="I713" s="186">
        <f t="shared" si="149"/>
        <v>0</v>
      </c>
      <c r="J713" s="186">
        <f t="shared" si="149"/>
        <v>0</v>
      </c>
      <c r="K713" s="1"/>
      <c r="L713" s="1"/>
      <c r="M713" s="1"/>
      <c r="N713" s="1"/>
      <c r="O713" s="1"/>
      <c r="P713" s="1"/>
      <c r="Q713" s="1"/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J714" si="150">IF(COLUMN() &lt; (COLUMN($H$706) + (ROW()-ROW($H$706))), 0, IF(COLUMN() = (COLUMN($H$706) + (ROW()-ROW($H$706))), $H$705, IF(G714&gt;0, G714-1, $H$705-1)))</f>
        <v>0</v>
      </c>
      <c r="I714" s="186">
        <f t="shared" si="150"/>
        <v>0</v>
      </c>
      <c r="J714" s="186">
        <f t="shared" si="150"/>
        <v>0</v>
      </c>
      <c r="K714" s="1"/>
      <c r="L714" s="1"/>
      <c r="M714" s="1"/>
      <c r="N714" s="1"/>
      <c r="O714" s="1"/>
      <c r="P714" s="1"/>
      <c r="Q714" s="1"/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J715" si="151">IF(COLUMN() &lt; (COLUMN($H$706) + (ROW()-ROW($H$706))), 0, IF(COLUMN() = (COLUMN($H$706) + (ROW()-ROW($H$706))), $H$705, IF(G715&gt;0, G715-1, $H$705-1)))</f>
        <v>0</v>
      </c>
      <c r="I715" s="186">
        <f t="shared" si="151"/>
        <v>0</v>
      </c>
      <c r="J715" s="186">
        <f t="shared" si="151"/>
        <v>0</v>
      </c>
      <c r="K715" s="1"/>
      <c r="L715" s="1"/>
      <c r="M715" s="1"/>
      <c r="N715" s="1"/>
      <c r="O715" s="1"/>
      <c r="P715" s="1"/>
      <c r="Q715" s="1"/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J716" si="152">IF(COLUMN() &lt; (COLUMN($H$706) + (ROW()-ROW($H$706))), 0, IF(COLUMN() = (COLUMN($H$706) + (ROW()-ROW($H$706))), $H$705, IF(G716&gt;0, G716-1, $H$705-1)))</f>
        <v>0</v>
      </c>
      <c r="I716" s="186">
        <f t="shared" si="152"/>
        <v>0</v>
      </c>
      <c r="J716" s="186">
        <f t="shared" si="152"/>
        <v>0</v>
      </c>
      <c r="K716" s="1"/>
      <c r="L716" s="1"/>
      <c r="M716" s="1"/>
      <c r="N716" s="1"/>
      <c r="O716" s="1"/>
      <c r="P716" s="1"/>
      <c r="Q716" s="1"/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J717" si="153">IF(COLUMN() &lt; (COLUMN($H$706) + (ROW()-ROW($H$706))), 0, IF(COLUMN() = (COLUMN($H$706) + (ROW()-ROW($H$706))), $H$705, IF(G717&gt;0, G717-1, $H$705-1)))</f>
        <v>0</v>
      </c>
      <c r="I717" s="186">
        <f t="shared" si="153"/>
        <v>0</v>
      </c>
      <c r="J717" s="186">
        <f t="shared" si="153"/>
        <v>0</v>
      </c>
      <c r="K717" s="1"/>
      <c r="L717" s="1"/>
      <c r="M717" s="1"/>
      <c r="N717" s="1"/>
      <c r="O717" s="1"/>
      <c r="P717" s="1"/>
      <c r="Q717" s="1"/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86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55"/>
      <c r="K719" s="1"/>
      <c r="L719" s="1"/>
      <c r="M719" s="1"/>
      <c r="N719" s="1"/>
      <c r="O719" s="1"/>
      <c r="P719" s="1"/>
      <c r="Q719" s="1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J720" si="154">H721-H704</f>
        <v>0</v>
      </c>
      <c r="I720" s="184">
        <f t="shared" si="154"/>
        <v>0</v>
      </c>
      <c r="J720" s="184">
        <f t="shared" si="154"/>
        <v>0</v>
      </c>
      <c r="K720" s="1"/>
      <c r="L720" s="1"/>
      <c r="M720" s="1"/>
      <c r="N720" s="1"/>
      <c r="O720" s="1"/>
      <c r="P720" s="1"/>
      <c r="Q720" s="1"/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J721" si="155">SUM(H722:H733)</f>
        <v>0</v>
      </c>
      <c r="I721" s="184">
        <f t="shared" si="155"/>
        <v>354000</v>
      </c>
      <c r="J721" s="184">
        <f t="shared" si="155"/>
        <v>198000</v>
      </c>
      <c r="K721" s="1"/>
      <c r="L721" s="1"/>
      <c r="M721" s="1"/>
      <c r="N721" s="1"/>
      <c r="O721" s="1"/>
      <c r="P721" s="1"/>
      <c r="Q721" s="1"/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J722" si="156">IF(COLUMN() &lt; (COLUMN($H$722) + (ROW()-ROW($H$722))), 0, IF(COLUMN() = (COLUMN($H$722) + (ROW()-ROW($H$722))), INDEX($H$704:$J$704, 1, COLUMN()-COLUMN($H$704)+1), IF(H706=0, OFFSET(H722, 0, -$H$705) * $H$719, 0)))</f>
        <v>0</v>
      </c>
      <c r="I722" s="186">
        <f t="shared" si="156"/>
        <v>0</v>
      </c>
      <c r="J722" s="186">
        <f t="shared" si="156"/>
        <v>0</v>
      </c>
      <c r="K722" s="1"/>
      <c r="L722" s="1"/>
      <c r="M722" s="1"/>
      <c r="N722" s="1"/>
      <c r="O722" s="1"/>
      <c r="P722" s="1"/>
      <c r="Q722" s="1"/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J723" si="157">IF(COLUMN() &lt; (COLUMN($H$722) + (ROW()-ROW($H$722))), 0, IF(COLUMN() = (COLUMN($H$722) + (ROW()-ROW($H$722))), INDEX($H$704:$J$704, 1, COLUMN()-COLUMN($H$704)+1), IF(H707=0, OFFSET(H723, 0, -$H$705) * $H$719, 0)))</f>
        <v>0</v>
      </c>
      <c r="I723" s="186">
        <f t="shared" si="157"/>
        <v>354000</v>
      </c>
      <c r="J723" s="186">
        <f t="shared" si="157"/>
        <v>0</v>
      </c>
      <c r="K723" s="1"/>
      <c r="L723" s="1"/>
      <c r="M723" s="1"/>
      <c r="N723" s="1"/>
      <c r="O723" s="1"/>
      <c r="P723" s="1"/>
      <c r="Q723" s="1"/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J724" si="158">IF(COLUMN() &lt; (COLUMN($H$722) + (ROW()-ROW($H$722))), 0, IF(COLUMN() = (COLUMN($H$722) + (ROW()-ROW($H$722))), INDEX($H$704:$J$704, 1, COLUMN()-COLUMN($H$704)+1), IF(H708=0, OFFSET(H724, 0, -$H$705) * $H$719, 0)))</f>
        <v>0</v>
      </c>
      <c r="I724" s="186">
        <f t="shared" si="158"/>
        <v>0</v>
      </c>
      <c r="J724" s="186">
        <f t="shared" si="158"/>
        <v>198000</v>
      </c>
      <c r="K724" s="1"/>
      <c r="L724" s="1"/>
      <c r="M724" s="1"/>
      <c r="N724" s="1"/>
      <c r="O724" s="1"/>
      <c r="P724" s="1"/>
      <c r="Q724" s="1"/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J725" si="159">IF(COLUMN() &lt; (COLUMN($H$722) + (ROW()-ROW($H$722))), 0, IF(COLUMN() = (COLUMN($H$722) + (ROW()-ROW($H$722))), INDEX($H$704:$J$704, 1, COLUMN()-COLUMN($H$704)+1), IF(H709=0, OFFSET(H725, 0, -$H$705) * $H$719, 0)))</f>
        <v>0</v>
      </c>
      <c r="I725" s="186">
        <f t="shared" si="159"/>
        <v>0</v>
      </c>
      <c r="J725" s="186">
        <f t="shared" si="159"/>
        <v>0</v>
      </c>
      <c r="K725" s="1"/>
      <c r="L725" s="1"/>
      <c r="M725" s="1"/>
      <c r="N725" s="1"/>
      <c r="O725" s="1"/>
      <c r="P725" s="1"/>
      <c r="Q725" s="1"/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J726" si="160">IF(COLUMN() &lt; (COLUMN($H$722) + (ROW()-ROW($H$722))), 0, IF(COLUMN() = (COLUMN($H$722) + (ROW()-ROW($H$722))), INDEX($H$704:$J$704, 1, COLUMN()-COLUMN($H$704)+1), IF(H710=0, OFFSET(H726, 0, -$H$705) * $H$719, 0)))</f>
        <v>0</v>
      </c>
      <c r="I726" s="186">
        <f t="shared" si="160"/>
        <v>0</v>
      </c>
      <c r="J726" s="186">
        <f t="shared" si="160"/>
        <v>0</v>
      </c>
      <c r="K726" s="1"/>
      <c r="L726" s="1"/>
      <c r="M726" s="1"/>
      <c r="N726" s="1"/>
      <c r="O726" s="1"/>
      <c r="P726" s="1"/>
      <c r="Q726" s="1"/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J727" si="161">IF(COLUMN() &lt; (COLUMN($H$722) + (ROW()-ROW($H$722))), 0, IF(COLUMN() = (COLUMN($H$722) + (ROW()-ROW($H$722))), INDEX($H$704:$J$704, 1, COLUMN()-COLUMN($H$704)+1), IF(H711=0, OFFSET(H727, 0, -$H$705) * $H$719, 0)))</f>
        <v>0</v>
      </c>
      <c r="I727" s="186">
        <f t="shared" si="161"/>
        <v>0</v>
      </c>
      <c r="J727" s="186">
        <f t="shared" si="161"/>
        <v>0</v>
      </c>
      <c r="K727" s="1"/>
      <c r="L727" s="1"/>
      <c r="M727" s="1"/>
      <c r="N727" s="1"/>
      <c r="O727" s="1"/>
      <c r="P727" s="1"/>
      <c r="Q727" s="1"/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J728" si="162">IF(COLUMN() &lt; (COLUMN($H$722) + (ROW()-ROW($H$722))), 0, IF(COLUMN() = (COLUMN($H$722) + (ROW()-ROW($H$722))), INDEX($H$704:$J$704, 1, COLUMN()-COLUMN($H$704)+1), IF(H712=0, OFFSET(H728, 0, -$H$705) * $H$719, 0)))</f>
        <v>0</v>
      </c>
      <c r="I728" s="186">
        <f t="shared" si="162"/>
        <v>0</v>
      </c>
      <c r="J728" s="186">
        <f t="shared" si="162"/>
        <v>0</v>
      </c>
      <c r="K728" s="1"/>
      <c r="L728" s="1"/>
      <c r="M728" s="1"/>
      <c r="N728" s="1"/>
      <c r="O728" s="1"/>
      <c r="P728" s="1"/>
      <c r="Q728" s="1"/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J729" si="163">IF(COLUMN() &lt; (COLUMN($H$722) + (ROW()-ROW($H$722))), 0, IF(COLUMN() = (COLUMN($H$722) + (ROW()-ROW($H$722))), INDEX($H$704:$J$704, 1, COLUMN()-COLUMN($H$704)+1), IF(H713=0, OFFSET(H729, 0, -$H$705) * $H$719, 0)))</f>
        <v>0</v>
      </c>
      <c r="I729" s="186">
        <f t="shared" si="163"/>
        <v>0</v>
      </c>
      <c r="J729" s="186">
        <f t="shared" si="163"/>
        <v>0</v>
      </c>
      <c r="K729" s="1"/>
      <c r="L729" s="1"/>
      <c r="M729" s="1"/>
      <c r="N729" s="1"/>
      <c r="O729" s="1"/>
      <c r="P729" s="1"/>
      <c r="Q729" s="1"/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J730" si="164">IF(COLUMN() &lt; (COLUMN($H$722) + (ROW()-ROW($H$722))), 0, IF(COLUMN() = (COLUMN($H$722) + (ROW()-ROW($H$722))), INDEX($H$704:$J$704, 1, COLUMN()-COLUMN($H$704)+1), IF(H714=0, OFFSET(H730, 0, -$H$705) * $H$719, 0)))</f>
        <v>0</v>
      </c>
      <c r="I730" s="186">
        <f t="shared" si="164"/>
        <v>0</v>
      </c>
      <c r="J730" s="186">
        <f t="shared" si="164"/>
        <v>0</v>
      </c>
      <c r="K730" s="1"/>
      <c r="L730" s="1"/>
      <c r="M730" s="1"/>
      <c r="N730" s="1"/>
      <c r="O730" s="1"/>
      <c r="P730" s="1"/>
      <c r="Q730" s="1"/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J731" si="165">IF(COLUMN() &lt; (COLUMN($H$722) + (ROW()-ROW($H$722))), 0, IF(COLUMN() = (COLUMN($H$722) + (ROW()-ROW($H$722))), INDEX($H$704:$J$704, 1, COLUMN()-COLUMN($H$704)+1), IF(H715=0, OFFSET(H731, 0, -$H$705) * $H$719, 0)))</f>
        <v>0</v>
      </c>
      <c r="I731" s="186">
        <f t="shared" si="165"/>
        <v>0</v>
      </c>
      <c r="J731" s="186">
        <f t="shared" si="165"/>
        <v>0</v>
      </c>
      <c r="K731" s="1"/>
      <c r="L731" s="1"/>
      <c r="M731" s="1"/>
      <c r="N731" s="1"/>
      <c r="O731" s="1"/>
      <c r="P731" s="1"/>
      <c r="Q731" s="1"/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J732" si="166">IF(COLUMN() &lt; (COLUMN($H$722) + (ROW()-ROW($H$722))), 0, IF(COLUMN() = (COLUMN($H$722) + (ROW()-ROW($H$722))), INDEX($H$704:$J$704, 1, COLUMN()-COLUMN($H$704)+1), IF(H716=0, OFFSET(H732, 0, -$H$705) * $H$719, 0)))</f>
        <v>0</v>
      </c>
      <c r="I732" s="186">
        <f t="shared" si="166"/>
        <v>0</v>
      </c>
      <c r="J732" s="186">
        <f t="shared" si="166"/>
        <v>0</v>
      </c>
      <c r="K732" s="1"/>
      <c r="L732" s="1"/>
      <c r="M732" s="1"/>
      <c r="N732" s="1"/>
      <c r="O732" s="1"/>
      <c r="P732" s="1"/>
      <c r="Q732" s="1"/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J733" si="167">IF(COLUMN() &lt; (COLUMN($H$722) + (ROW()-ROW($H$722))), 0, IF(COLUMN() = (COLUMN($H$722) + (ROW()-ROW($H$722))), INDEX($H$704:$J$704, 1, COLUMN()-COLUMN($H$704)+1), IF(H717=0, OFFSET(H733, 0, -$H$705) * $H$719, 0)))</f>
        <v>0</v>
      </c>
      <c r="I733" s="186">
        <f t="shared" si="167"/>
        <v>0</v>
      </c>
      <c r="J733" s="186">
        <f t="shared" si="167"/>
        <v>0</v>
      </c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86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J735" si="168">H754</f>
        <v>0</v>
      </c>
      <c r="I735" s="184">
        <f t="shared" si="168"/>
        <v>0</v>
      </c>
      <c r="J735" s="184">
        <f t="shared" si="168"/>
        <v>0</v>
      </c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J736" si="169">F926</f>
        <v>$ [Executar-loyalty] Revenue Expansion</v>
      </c>
      <c r="G736" s="171" t="str">
        <f t="shared" si="169"/>
        <v/>
      </c>
      <c r="H736" s="180">
        <f t="shared" si="169"/>
        <v>0</v>
      </c>
      <c r="I736" s="180">
        <f t="shared" si="169"/>
        <v>2394000</v>
      </c>
      <c r="J736" s="180">
        <f t="shared" si="169"/>
        <v>1260000</v>
      </c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J737" si="170">H486</f>
        <v>3144330</v>
      </c>
      <c r="I737" s="184" t="str">
        <f t="shared" si="170"/>
        <v/>
      </c>
      <c r="J737" s="184" t="str">
        <f t="shared" si="170"/>
        <v/>
      </c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J738" si="171">SUM(H736:H737)</f>
        <v>3144330</v>
      </c>
      <c r="I738" s="184">
        <f t="shared" si="171"/>
        <v>2394000</v>
      </c>
      <c r="J738" s="184">
        <f t="shared" si="171"/>
        <v>1260000</v>
      </c>
      <c r="K738" s="1"/>
      <c r="L738" s="1"/>
      <c r="M738" s="1"/>
      <c r="N738" s="1"/>
      <c r="O738" s="1"/>
      <c r="P738" s="1"/>
      <c r="Q738" s="1"/>
      <c r="R738" s="1"/>
      <c r="S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86"/>
      <c r="K739" s="1"/>
      <c r="L739" s="1"/>
      <c r="M739" s="1"/>
      <c r="N739" s="1"/>
      <c r="O739" s="1"/>
      <c r="P739" s="1"/>
      <c r="Q739" s="1"/>
      <c r="R739" s="1"/>
      <c r="S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J740" si="172">IF(COLUMN() &lt; (COLUMN($H$740) + (ROW()-ROW($H$740))), 0, IF(COLUMN() = (COLUMN($H$740) + (ROW()-ROW($H$740))), $H$739, IF(G740&gt;0, G740-1, $H$739-1)))</f>
        <v>7</v>
      </c>
      <c r="I740" s="186">
        <f t="shared" si="172"/>
        <v>6</v>
      </c>
      <c r="J740" s="186">
        <f t="shared" si="172"/>
        <v>5</v>
      </c>
      <c r="K740" s="1"/>
      <c r="L740" s="1"/>
      <c r="M740" s="1"/>
      <c r="N740" s="1"/>
      <c r="O740" s="1"/>
      <c r="P740" s="1"/>
      <c r="Q740" s="1"/>
      <c r="R740" s="1"/>
      <c r="S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J741" si="173">IF(COLUMN() &lt; (COLUMN($H$740) + (ROW()-ROW($H$740))), 0, IF(COLUMN() = (COLUMN($H$740) + (ROW()-ROW($H$740))), $H$739, IF(G741&gt;0, G741-1, $H$739-1)))</f>
        <v>0</v>
      </c>
      <c r="I741" s="186">
        <f t="shared" si="173"/>
        <v>7</v>
      </c>
      <c r="J741" s="186">
        <f t="shared" si="173"/>
        <v>6</v>
      </c>
      <c r="K741" s="1"/>
      <c r="L741" s="1"/>
      <c r="M741" s="1"/>
      <c r="N741" s="1"/>
      <c r="O741" s="1"/>
      <c r="P741" s="1"/>
      <c r="Q741" s="1"/>
      <c r="R741" s="1"/>
      <c r="S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J742" si="174">IF(COLUMN() &lt; (COLUMN($H$740) + (ROW()-ROW($H$740))), 0, IF(COLUMN() = (COLUMN($H$740) + (ROW()-ROW($H$740))), $H$739, IF(G742&gt;0, G742-1, $H$739-1)))</f>
        <v>0</v>
      </c>
      <c r="I742" s="186">
        <f t="shared" si="174"/>
        <v>0</v>
      </c>
      <c r="J742" s="186">
        <f t="shared" si="174"/>
        <v>7</v>
      </c>
      <c r="K742" s="1"/>
      <c r="L742" s="1"/>
      <c r="M742" s="1"/>
      <c r="N742" s="1"/>
      <c r="O742" s="1"/>
      <c r="P742" s="1"/>
      <c r="Q742" s="1"/>
      <c r="R742" s="1"/>
      <c r="S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J743" si="175">IF(COLUMN() &lt; (COLUMN($H$740) + (ROW()-ROW($H$740))), 0, IF(COLUMN() = (COLUMN($H$740) + (ROW()-ROW($H$740))), $H$739, IF(G743&gt;0, G743-1, $H$739-1)))</f>
        <v>0</v>
      </c>
      <c r="I743" s="186">
        <f t="shared" si="175"/>
        <v>0</v>
      </c>
      <c r="J743" s="186">
        <f t="shared" si="175"/>
        <v>0</v>
      </c>
      <c r="K743" s="1"/>
      <c r="L743" s="1"/>
      <c r="M743" s="1"/>
      <c r="N743" s="1"/>
      <c r="O743" s="1"/>
      <c r="P743" s="1"/>
      <c r="Q743" s="1"/>
      <c r="R743" s="1"/>
      <c r="S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J744" si="176">IF(COLUMN() &lt; (COLUMN($H$740) + (ROW()-ROW($H$740))), 0, IF(COLUMN() = (COLUMN($H$740) + (ROW()-ROW($H$740))), $H$739, IF(G744&gt;0, G744-1, $H$739-1)))</f>
        <v>0</v>
      </c>
      <c r="I744" s="186">
        <f t="shared" si="176"/>
        <v>0</v>
      </c>
      <c r="J744" s="186">
        <f t="shared" si="176"/>
        <v>0</v>
      </c>
      <c r="K744" s="1"/>
      <c r="L744" s="1"/>
      <c r="M744" s="1"/>
      <c r="N744" s="1"/>
      <c r="O744" s="1"/>
      <c r="P744" s="1"/>
      <c r="Q744" s="1"/>
      <c r="R744" s="1"/>
      <c r="S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J745" si="177">IF(COLUMN() &lt; (COLUMN($H$740) + (ROW()-ROW($H$740))), 0, IF(COLUMN() = (COLUMN($H$740) + (ROW()-ROW($H$740))), $H$739, IF(G745&gt;0, G745-1, $H$739-1)))</f>
        <v>0</v>
      </c>
      <c r="I745" s="186">
        <f t="shared" si="177"/>
        <v>0</v>
      </c>
      <c r="J745" s="186">
        <f t="shared" si="177"/>
        <v>0</v>
      </c>
      <c r="K745" s="1"/>
      <c r="L745" s="1"/>
      <c r="M745" s="1"/>
      <c r="N745" s="1"/>
      <c r="O745" s="1"/>
      <c r="P745" s="1"/>
      <c r="Q745" s="1"/>
      <c r="R745" s="1"/>
      <c r="S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J746" si="178">IF(COLUMN() &lt; (COLUMN($H$740) + (ROW()-ROW($H$740))), 0, IF(COLUMN() = (COLUMN($H$740) + (ROW()-ROW($H$740))), $H$739, IF(G746&gt;0, G746-1, $H$739-1)))</f>
        <v>0</v>
      </c>
      <c r="I746" s="186">
        <f t="shared" si="178"/>
        <v>0</v>
      </c>
      <c r="J746" s="186">
        <f t="shared" si="178"/>
        <v>0</v>
      </c>
      <c r="K746" s="1"/>
      <c r="L746" s="1"/>
      <c r="M746" s="1"/>
      <c r="N746" s="1"/>
      <c r="O746" s="1"/>
      <c r="P746" s="1"/>
      <c r="Q746" s="1"/>
      <c r="R746" s="1"/>
      <c r="S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J747" si="179">IF(COLUMN() &lt; (COLUMN($H$740) + (ROW()-ROW($H$740))), 0, IF(COLUMN() = (COLUMN($H$740) + (ROW()-ROW($H$740))), $H$739, IF(G747&gt;0, G747-1, $H$739-1)))</f>
        <v>0</v>
      </c>
      <c r="I747" s="186">
        <f t="shared" si="179"/>
        <v>0</v>
      </c>
      <c r="J747" s="186">
        <f t="shared" si="179"/>
        <v>0</v>
      </c>
      <c r="K747" s="1"/>
      <c r="L747" s="1"/>
      <c r="M747" s="1"/>
      <c r="N747" s="1"/>
      <c r="O747" s="1"/>
      <c r="P747" s="1"/>
      <c r="Q747" s="1"/>
      <c r="R747" s="1"/>
      <c r="S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J748" si="180">IF(COLUMN() &lt; (COLUMN($H$740) + (ROW()-ROW($H$740))), 0, IF(COLUMN() = (COLUMN($H$740) + (ROW()-ROW($H$740))), $H$739, IF(G748&gt;0, G748-1, $H$739-1)))</f>
        <v>0</v>
      </c>
      <c r="I748" s="186">
        <f t="shared" si="180"/>
        <v>0</v>
      </c>
      <c r="J748" s="186">
        <f t="shared" si="180"/>
        <v>0</v>
      </c>
      <c r="K748" s="1"/>
      <c r="L748" s="1"/>
      <c r="M748" s="1"/>
      <c r="N748" s="1"/>
      <c r="O748" s="1"/>
      <c r="P748" s="1"/>
      <c r="Q748" s="1"/>
      <c r="R748" s="1"/>
      <c r="S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J749" si="181">IF(COLUMN() &lt; (COLUMN($H$740) + (ROW()-ROW($H$740))), 0, IF(COLUMN() = (COLUMN($H$740) + (ROW()-ROW($H$740))), $H$739, IF(G749&gt;0, G749-1, $H$739-1)))</f>
        <v>0</v>
      </c>
      <c r="I749" s="186">
        <f t="shared" si="181"/>
        <v>0</v>
      </c>
      <c r="J749" s="186">
        <f t="shared" si="181"/>
        <v>0</v>
      </c>
      <c r="K749" s="1"/>
      <c r="L749" s="1"/>
      <c r="M749" s="1"/>
      <c r="N749" s="1"/>
      <c r="O749" s="1"/>
      <c r="P749" s="1"/>
      <c r="Q749" s="1"/>
      <c r="R749" s="1"/>
      <c r="S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J750" si="182">IF(COLUMN() &lt; (COLUMN($H$740) + (ROW()-ROW($H$740))), 0, IF(COLUMN() = (COLUMN($H$740) + (ROW()-ROW($H$740))), $H$739, IF(G750&gt;0, G750-1, $H$739-1)))</f>
        <v>0</v>
      </c>
      <c r="I750" s="186">
        <f t="shared" si="182"/>
        <v>0</v>
      </c>
      <c r="J750" s="186">
        <f t="shared" si="182"/>
        <v>0</v>
      </c>
      <c r="K750" s="1"/>
      <c r="L750" s="1"/>
      <c r="M750" s="1"/>
      <c r="N750" s="1"/>
      <c r="O750" s="1"/>
      <c r="P750" s="1"/>
      <c r="Q750" s="1"/>
      <c r="R750" s="1"/>
      <c r="S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J751" si="183">IF(COLUMN() &lt; (COLUMN($H$740) + (ROW()-ROW($H$740))), 0, IF(COLUMN() = (COLUMN($H$740) + (ROW()-ROW($H$740))), $H$739, IF(G751&gt;0, G751-1, $H$739-1)))</f>
        <v>0</v>
      </c>
      <c r="I751" s="186">
        <f t="shared" si="183"/>
        <v>0</v>
      </c>
      <c r="J751" s="186">
        <f t="shared" si="183"/>
        <v>0</v>
      </c>
      <c r="K751" s="1"/>
      <c r="L751" s="1"/>
      <c r="M751" s="1"/>
      <c r="N751" s="1"/>
      <c r="O751" s="1"/>
      <c r="P751" s="1"/>
      <c r="Q751" s="1"/>
      <c r="R751" s="1"/>
      <c r="S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86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55"/>
      <c r="K753" s="1"/>
      <c r="L753" s="1"/>
      <c r="M753" s="1"/>
      <c r="N753" s="1"/>
      <c r="O753" s="1"/>
      <c r="P753" s="1"/>
      <c r="Q753" s="1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J754" si="184">H755-H738</f>
        <v>0</v>
      </c>
      <c r="I754" s="184">
        <f t="shared" si="184"/>
        <v>0</v>
      </c>
      <c r="J754" s="184">
        <f t="shared" si="184"/>
        <v>0</v>
      </c>
      <c r="K754" s="1"/>
      <c r="L754" s="1"/>
      <c r="M754" s="1"/>
      <c r="N754" s="1"/>
      <c r="O754" s="1"/>
      <c r="P754" s="1"/>
      <c r="Q754" s="1"/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J755" si="185">SUM(H756:H767)</f>
        <v>3144330</v>
      </c>
      <c r="I755" s="184">
        <f t="shared" si="185"/>
        <v>2394000</v>
      </c>
      <c r="J755" s="184">
        <f t="shared" si="185"/>
        <v>1260000</v>
      </c>
      <c r="K755" s="1"/>
      <c r="L755" s="1"/>
      <c r="M755" s="1"/>
      <c r="N755" s="1"/>
      <c r="O755" s="1"/>
      <c r="P755" s="1"/>
      <c r="Q755" s="1"/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J756" si="186">IF(COLUMN() &lt; (COLUMN($H$756) + (ROW()-ROW($H$756))), 0, IF(COLUMN() = (COLUMN($H$756) + (ROW()-ROW($H$756))), INDEX($H$738:$J$738, 1, COLUMN()-COLUMN($H$738)+1), IF(H740=0, OFFSET(H756, 0, -$H$739) * $H$753, 0)))</f>
        <v>3144330</v>
      </c>
      <c r="I756" s="186">
        <f t="shared" si="186"/>
        <v>0</v>
      </c>
      <c r="J756" s="186">
        <f t="shared" si="186"/>
        <v>0</v>
      </c>
      <c r="K756" s="1"/>
      <c r="L756" s="1"/>
      <c r="M756" s="1"/>
      <c r="N756" s="1"/>
      <c r="O756" s="1"/>
      <c r="P756" s="1"/>
      <c r="Q756" s="1"/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J757" si="187">IF(COLUMN() &lt; (COLUMN($H$756) + (ROW()-ROW($H$756))), 0, IF(COLUMN() = (COLUMN($H$756) + (ROW()-ROW($H$756))), INDEX($H$738:$J$738, 1, COLUMN()-COLUMN($H$738)+1), IF(H741=0, OFFSET(H757, 0, -$H$739) * $H$753, 0)))</f>
        <v>0</v>
      </c>
      <c r="I757" s="186">
        <f t="shared" si="187"/>
        <v>2394000</v>
      </c>
      <c r="J757" s="186">
        <f t="shared" si="187"/>
        <v>0</v>
      </c>
      <c r="K757" s="1"/>
      <c r="L757" s="1"/>
      <c r="M757" s="1"/>
      <c r="N757" s="1"/>
      <c r="O757" s="1"/>
      <c r="P757" s="1"/>
      <c r="Q757" s="1"/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J758" si="188">IF(COLUMN() &lt; (COLUMN($H$756) + (ROW()-ROW($H$756))), 0, IF(COLUMN() = (COLUMN($H$756) + (ROW()-ROW($H$756))), INDEX($H$738:$J$738, 1, COLUMN()-COLUMN($H$738)+1), IF(H742=0, OFFSET(H758, 0, -$H$739) * $H$753, 0)))</f>
        <v>0</v>
      </c>
      <c r="I758" s="186">
        <f t="shared" si="188"/>
        <v>0</v>
      </c>
      <c r="J758" s="186">
        <f t="shared" si="188"/>
        <v>1260000</v>
      </c>
      <c r="K758" s="1"/>
      <c r="L758" s="1"/>
      <c r="M758" s="1"/>
      <c r="N758" s="1"/>
      <c r="O758" s="1"/>
      <c r="P758" s="1"/>
      <c r="Q758" s="1"/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J759" si="189">IF(COLUMN() &lt; (COLUMN($H$756) + (ROW()-ROW($H$756))), 0, IF(COLUMN() = (COLUMN($H$756) + (ROW()-ROW($H$756))), INDEX($H$738:$J$738, 1, COLUMN()-COLUMN($H$738)+1), IF(H743=0, OFFSET(H759, 0, -$H$739) * $H$753, 0)))</f>
        <v>0</v>
      </c>
      <c r="I759" s="186">
        <f t="shared" si="189"/>
        <v>0</v>
      </c>
      <c r="J759" s="186">
        <f t="shared" si="189"/>
        <v>0</v>
      </c>
      <c r="K759" s="1"/>
      <c r="L759" s="1"/>
      <c r="M759" s="1"/>
      <c r="N759" s="1"/>
      <c r="O759" s="1"/>
      <c r="P759" s="1"/>
      <c r="Q759" s="1"/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J760" si="190">IF(COLUMN() &lt; (COLUMN($H$756) + (ROW()-ROW($H$756))), 0, IF(COLUMN() = (COLUMN($H$756) + (ROW()-ROW($H$756))), INDEX($H$738:$J$738, 1, COLUMN()-COLUMN($H$738)+1), IF(H744=0, OFFSET(H760, 0, -$H$739) * $H$753, 0)))</f>
        <v>0</v>
      </c>
      <c r="I760" s="186">
        <f t="shared" si="190"/>
        <v>0</v>
      </c>
      <c r="J760" s="186">
        <f t="shared" si="190"/>
        <v>0</v>
      </c>
      <c r="K760" s="1"/>
      <c r="L760" s="1"/>
      <c r="M760" s="1"/>
      <c r="N760" s="1"/>
      <c r="O760" s="1"/>
      <c r="P760" s="1"/>
      <c r="Q760" s="1"/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J761" si="191">IF(COLUMN() &lt; (COLUMN($H$756) + (ROW()-ROW($H$756))), 0, IF(COLUMN() = (COLUMN($H$756) + (ROW()-ROW($H$756))), INDEX($H$738:$J$738, 1, COLUMN()-COLUMN($H$738)+1), IF(H745=0, OFFSET(H761, 0, -$H$739) * $H$753, 0)))</f>
        <v>0</v>
      </c>
      <c r="I761" s="186">
        <f t="shared" si="191"/>
        <v>0</v>
      </c>
      <c r="J761" s="186">
        <f t="shared" si="191"/>
        <v>0</v>
      </c>
      <c r="K761" s="1"/>
      <c r="L761" s="1"/>
      <c r="M761" s="1"/>
      <c r="N761" s="1"/>
      <c r="O761" s="1"/>
      <c r="P761" s="1"/>
      <c r="Q761" s="1"/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J762" si="192">IF(COLUMN() &lt; (COLUMN($H$756) + (ROW()-ROW($H$756))), 0, IF(COLUMN() = (COLUMN($H$756) + (ROW()-ROW($H$756))), INDEX($H$738:$J$738, 1, COLUMN()-COLUMN($H$738)+1), IF(H746=0, OFFSET(H762, 0, -$H$739) * $H$753, 0)))</f>
        <v>0</v>
      </c>
      <c r="I762" s="186">
        <f t="shared" si="192"/>
        <v>0</v>
      </c>
      <c r="J762" s="186">
        <f t="shared" si="192"/>
        <v>0</v>
      </c>
      <c r="K762" s="1"/>
      <c r="L762" s="1"/>
      <c r="M762" s="1"/>
      <c r="N762" s="1"/>
      <c r="O762" s="1"/>
      <c r="P762" s="1"/>
      <c r="Q762" s="1"/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J763" si="193">IF(COLUMN() &lt; (COLUMN($H$756) + (ROW()-ROW($H$756))), 0, IF(COLUMN() = (COLUMN($H$756) + (ROW()-ROW($H$756))), INDEX($H$738:$J$738, 1, COLUMN()-COLUMN($H$738)+1), IF(H747=0, OFFSET(H763, 0, -$H$739) * $H$753, 0)))</f>
        <v>0</v>
      </c>
      <c r="I763" s="186">
        <f t="shared" si="193"/>
        <v>0</v>
      </c>
      <c r="J763" s="186">
        <f t="shared" si="193"/>
        <v>0</v>
      </c>
      <c r="K763" s="1"/>
      <c r="L763" s="1"/>
      <c r="M763" s="1"/>
      <c r="N763" s="1"/>
      <c r="O763" s="1"/>
      <c r="P763" s="1"/>
      <c r="Q763" s="1"/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J764" si="194">IF(COLUMN() &lt; (COLUMN($H$756) + (ROW()-ROW($H$756))), 0, IF(COLUMN() = (COLUMN($H$756) + (ROW()-ROW($H$756))), INDEX($H$738:$J$738, 1, COLUMN()-COLUMN($H$738)+1), IF(H748=0, OFFSET(H764, 0, -$H$739) * $H$753, 0)))</f>
        <v>0</v>
      </c>
      <c r="I764" s="186">
        <f t="shared" si="194"/>
        <v>0</v>
      </c>
      <c r="J764" s="186">
        <f t="shared" si="194"/>
        <v>0</v>
      </c>
      <c r="K764" s="1"/>
      <c r="L764" s="1"/>
      <c r="M764" s="1"/>
      <c r="N764" s="1"/>
      <c r="O764" s="1"/>
      <c r="P764" s="1"/>
      <c r="Q764" s="1"/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J765" si="195">IF(COLUMN() &lt; (COLUMN($H$756) + (ROW()-ROW($H$756))), 0, IF(COLUMN() = (COLUMN($H$756) + (ROW()-ROW($H$756))), INDEX($H$738:$J$738, 1, COLUMN()-COLUMN($H$738)+1), IF(H749=0, OFFSET(H765, 0, -$H$739) * $H$753, 0)))</f>
        <v>0</v>
      </c>
      <c r="I765" s="186">
        <f t="shared" si="195"/>
        <v>0</v>
      </c>
      <c r="J765" s="186">
        <f t="shared" si="195"/>
        <v>0</v>
      </c>
      <c r="K765" s="1"/>
      <c r="L765" s="1"/>
      <c r="M765" s="1"/>
      <c r="N765" s="1"/>
      <c r="O765" s="1"/>
      <c r="P765" s="1"/>
      <c r="Q765" s="1"/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J766" si="196">IF(COLUMN() &lt; (COLUMN($H$756) + (ROW()-ROW($H$756))), 0, IF(COLUMN() = (COLUMN($H$756) + (ROW()-ROW($H$756))), INDEX($H$738:$J$738, 1, COLUMN()-COLUMN($H$738)+1), IF(H750=0, OFFSET(H766, 0, -$H$739) * $H$753, 0)))</f>
        <v>0</v>
      </c>
      <c r="I766" s="186">
        <f t="shared" si="196"/>
        <v>0</v>
      </c>
      <c r="J766" s="186">
        <f t="shared" si="196"/>
        <v>0</v>
      </c>
      <c r="K766" s="1"/>
      <c r="L766" s="1"/>
      <c r="M766" s="1"/>
      <c r="N766" s="1"/>
      <c r="O766" s="1"/>
      <c r="P766" s="1"/>
      <c r="Q766" s="1"/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J767" si="197">IF(COLUMN() &lt; (COLUMN($H$756) + (ROW()-ROW($H$756))), 0, IF(COLUMN() = (COLUMN($H$756) + (ROW()-ROW($H$756))), INDEX($H$738:$J$738, 1, COLUMN()-COLUMN($H$738)+1), IF(H751=0, OFFSET(H767, 0, -$H$739) * $H$753, 0)))</f>
        <v>0</v>
      </c>
      <c r="I767" s="186">
        <f t="shared" si="197"/>
        <v>0</v>
      </c>
      <c r="J767" s="186">
        <f t="shared" si="197"/>
        <v>0</v>
      </c>
      <c r="K767" s="1"/>
      <c r="L767" s="1"/>
      <c r="M767" s="1"/>
      <c r="N767" s="1"/>
      <c r="O767" s="1"/>
      <c r="P767" s="1"/>
      <c r="Q767" s="1"/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J768" si="198">IF(COLUMN() &lt; (COLUMN($H$756) + (ROW()-ROW($H$756))), 0, IF(COLUMN() = (COLUMN($H$756) + (ROW()-ROW($H$756))), INDEX($H$738:$J$738, 1, COLUMN()-COLUMN($H$738)+1), IF(H753=0, OFFSET(H768, 0, -$H$739) * $H$753, 0)))</f>
        <v>0</v>
      </c>
      <c r="I768" s="186">
        <f t="shared" si="198"/>
        <v>0</v>
      </c>
      <c r="J768" s="186">
        <f t="shared" si="198"/>
        <v>0</v>
      </c>
      <c r="K768" s="192"/>
      <c r="L768" s="192"/>
      <c r="M768" s="192"/>
      <c r="N768" s="192"/>
      <c r="O768" s="192"/>
      <c r="P768" s="192"/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86"/>
      <c r="K769" s="192"/>
      <c r="L769" s="192"/>
      <c r="M769" s="192"/>
      <c r="N769" s="192"/>
      <c r="O769" s="192"/>
      <c r="P769" s="192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J770" si="199">H774</f>
        <v>0</v>
      </c>
      <c r="I770" s="188">
        <f t="shared" si="199"/>
        <v>0</v>
      </c>
      <c r="J770" s="188">
        <f t="shared" si="199"/>
        <v>0</v>
      </c>
      <c r="K770" s="192"/>
      <c r="L770" s="192"/>
      <c r="M770" s="192"/>
      <c r="N770" s="192"/>
      <c r="O770" s="192"/>
      <c r="P770" s="192"/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 t="shared" ref="I771:J771" si="200">H771</f>
        <v>0</v>
      </c>
      <c r="J771" s="190">
        <f t="shared" si="200"/>
        <v>0</v>
      </c>
      <c r="K771" s="192"/>
      <c r="L771" s="192"/>
      <c r="M771" s="192"/>
      <c r="N771" s="192"/>
      <c r="O771" s="192"/>
      <c r="P771" s="192"/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 t="shared" ref="I772:J772" si="201">H772*H773</f>
        <v>0</v>
      </c>
      <c r="J772" s="188">
        <f t="shared" si="201"/>
        <v>0</v>
      </c>
      <c r="K772" s="192"/>
      <c r="L772" s="192"/>
      <c r="M772" s="192"/>
      <c r="N772" s="192"/>
      <c r="O772" s="192"/>
      <c r="P772" s="192"/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54">
        <v>0.0</v>
      </c>
      <c r="K773" s="192"/>
      <c r="L773" s="192"/>
      <c r="M773" s="192"/>
      <c r="N773" s="192"/>
      <c r="O773" s="192"/>
      <c r="P773" s="192"/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J774" si="202">H771*H772</f>
        <v>0</v>
      </c>
      <c r="I774" s="188">
        <f t="shared" si="202"/>
        <v>0</v>
      </c>
      <c r="J774" s="188">
        <f t="shared" si="202"/>
        <v>0</v>
      </c>
      <c r="K774" s="192"/>
      <c r="L774" s="192"/>
      <c r="M774" s="192"/>
      <c r="N774" s="192"/>
      <c r="O774" s="192"/>
      <c r="P774" s="192"/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5"/>
      <c r="K775" s="192"/>
      <c r="L775" s="192"/>
      <c r="M775" s="192"/>
      <c r="N775" s="192"/>
      <c r="O775" s="192"/>
      <c r="P775" s="192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5"/>
      <c r="K776" s="192"/>
      <c r="L776" s="192"/>
      <c r="M776" s="192"/>
      <c r="N776" s="192"/>
      <c r="O776" s="192"/>
      <c r="P776" s="192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18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63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J779" si="203">SUM(H782,H785,H788,H791,H794)</f>
        <v>0</v>
      </c>
      <c r="I779" s="173">
        <f t="shared" si="203"/>
        <v>8964000</v>
      </c>
      <c r="J779" s="173">
        <f t="shared" si="203"/>
        <v>5855000</v>
      </c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413</v>
      </c>
      <c r="E781" s="1"/>
      <c r="F781" s="1"/>
      <c r="G781" s="128"/>
      <c r="H781" s="128">
        <f t="shared" ref="H781:J781" si="204">IFERROR(H782/H$779,0)</f>
        <v>0</v>
      </c>
      <c r="I781" s="128">
        <f t="shared" si="204"/>
        <v>0.4033913432</v>
      </c>
      <c r="J781" s="128">
        <f t="shared" si="204"/>
        <v>0.4384286934</v>
      </c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76" t="s">
        <v>285</v>
      </c>
      <c r="D782" s="176" t="s">
        <v>414</v>
      </c>
      <c r="E782" s="1"/>
      <c r="F782" s="1"/>
      <c r="G782" s="173"/>
      <c r="H782" s="173">
        <f t="shared" ref="H782:J782" si="205">SUM(H827,H872,H917,H963,H1008)</f>
        <v>0</v>
      </c>
      <c r="I782" s="173">
        <f t="shared" si="205"/>
        <v>3616000</v>
      </c>
      <c r="J782" s="173">
        <f t="shared" si="205"/>
        <v>2567000</v>
      </c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78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76" t="s">
        <v>287</v>
      </c>
      <c r="D784" s="176" t="s">
        <v>415</v>
      </c>
      <c r="E784" s="1"/>
      <c r="F784" s="1"/>
      <c r="G784" s="128"/>
      <c r="H784" s="128">
        <f t="shared" ref="H784:J784" si="206">IFERROR(H785/H$779,0)</f>
        <v>0</v>
      </c>
      <c r="I784" s="128">
        <f t="shared" si="206"/>
        <v>0.2900490852</v>
      </c>
      <c r="J784" s="128">
        <f t="shared" si="206"/>
        <v>0.2688300598</v>
      </c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76" t="s">
        <v>285</v>
      </c>
      <c r="D785" s="176" t="s">
        <v>416</v>
      </c>
      <c r="E785" s="1"/>
      <c r="F785" s="1"/>
      <c r="G785" s="173"/>
      <c r="H785" s="173">
        <f t="shared" ref="H785:J785" si="207">SUM(H830,H875,H920,H966,H1011)</f>
        <v>0</v>
      </c>
      <c r="I785" s="173">
        <f t="shared" si="207"/>
        <v>2600000</v>
      </c>
      <c r="J785" s="173">
        <f t="shared" si="207"/>
        <v>1574000</v>
      </c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78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76" t="s">
        <v>287</v>
      </c>
      <c r="D787" s="13" t="s">
        <v>417</v>
      </c>
      <c r="E787" s="1"/>
      <c r="F787" s="1"/>
      <c r="G787" s="128"/>
      <c r="H787" s="128">
        <f t="shared" ref="H787:J787" si="208">IFERROR(H788/H$779,0)</f>
        <v>0</v>
      </c>
      <c r="I787" s="128">
        <f t="shared" si="208"/>
        <v>0.03949129853</v>
      </c>
      <c r="J787" s="128">
        <f t="shared" si="208"/>
        <v>0.04064901793</v>
      </c>
      <c r="K787" s="1"/>
      <c r="L787" s="1"/>
      <c r="M787" s="1"/>
      <c r="N787" s="1"/>
      <c r="O787" s="1"/>
      <c r="P787" s="1"/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418</v>
      </c>
      <c r="E788" s="1"/>
      <c r="F788" s="1"/>
      <c r="G788" s="173"/>
      <c r="H788" s="173">
        <f t="shared" ref="H788:J788" si="209">SUM(H833,H878,H923)</f>
        <v>0</v>
      </c>
      <c r="I788" s="173">
        <f t="shared" si="209"/>
        <v>354000</v>
      </c>
      <c r="J788" s="173">
        <f t="shared" si="209"/>
        <v>238000</v>
      </c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78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76" t="s">
        <v>287</v>
      </c>
      <c r="D790" s="13" t="s">
        <v>419</v>
      </c>
      <c r="E790" s="1"/>
      <c r="F790" s="1"/>
      <c r="G790" s="128"/>
      <c r="H790" s="128">
        <f t="shared" ref="H790:J790" si="210">IFERROR(H791/H$779,0)</f>
        <v>0</v>
      </c>
      <c r="I790" s="128">
        <f t="shared" si="210"/>
        <v>0.2670682731</v>
      </c>
      <c r="J790" s="128">
        <f t="shared" si="210"/>
        <v>0.2520922289</v>
      </c>
      <c r="K790" s="1"/>
      <c r="L790" s="1"/>
      <c r="M790" s="1"/>
      <c r="N790" s="1"/>
      <c r="O790" s="1"/>
      <c r="P790" s="1"/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420</v>
      </c>
      <c r="E791" s="1"/>
      <c r="F791" s="1"/>
      <c r="G791" s="173"/>
      <c r="H791" s="173">
        <f t="shared" ref="H791:J791" si="211">SUM(H836,H881,H926)</f>
        <v>0</v>
      </c>
      <c r="I791" s="173">
        <f t="shared" si="211"/>
        <v>2394000</v>
      </c>
      <c r="J791" s="173">
        <f t="shared" si="211"/>
        <v>1476000</v>
      </c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43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76" t="s">
        <v>287</v>
      </c>
      <c r="D793" s="176" t="s">
        <v>421</v>
      </c>
      <c r="E793" s="1"/>
      <c r="F793" s="1"/>
      <c r="G793" s="128"/>
      <c r="H793" s="128">
        <f t="shared" ref="H793:J793" si="212">IFERROR(H794/H$779,0)</f>
        <v>0</v>
      </c>
      <c r="I793" s="128">
        <f t="shared" si="212"/>
        <v>0</v>
      </c>
      <c r="J793" s="128">
        <f t="shared" si="212"/>
        <v>0</v>
      </c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76" t="s">
        <v>285</v>
      </c>
      <c r="D794" s="176" t="s">
        <v>422</v>
      </c>
      <c r="E794" s="1"/>
      <c r="F794" s="1"/>
      <c r="G794" s="173"/>
      <c r="H794" s="173">
        <f t="shared" ref="H794:J794" si="213">SUM(H839,H884,H929)</f>
        <v>0</v>
      </c>
      <c r="I794" s="173">
        <f t="shared" si="213"/>
        <v>0</v>
      </c>
      <c r="J794" s="173">
        <f t="shared" si="213"/>
        <v>0</v>
      </c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43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31</v>
      </c>
      <c r="I797" s="197"/>
      <c r="J797" s="197"/>
      <c r="K797" s="198"/>
      <c r="L797" s="198"/>
      <c r="M797" s="198"/>
      <c r="N797" s="198"/>
      <c r="O797" s="198"/>
      <c r="P797" s="198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0.0257484</v>
      </c>
      <c r="H798" s="149">
        <f>SUM($H$416)</f>
        <v>3991002</v>
      </c>
      <c r="I798" s="197"/>
      <c r="J798" s="197"/>
      <c r="K798" s="172"/>
      <c r="L798" s="172"/>
      <c r="M798" s="172"/>
      <c r="N798" s="172"/>
      <c r="O798" s="172"/>
      <c r="P798" s="172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56"/>
      <c r="K799" s="160"/>
      <c r="L799" s="160"/>
      <c r="M799" s="160"/>
      <c r="N799" s="160"/>
      <c r="O799" s="160"/>
      <c r="P799" s="160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155000000</v>
      </c>
      <c r="I800" s="149"/>
      <c r="J800" s="149"/>
      <c r="K800" s="160"/>
      <c r="L800" s="160"/>
      <c r="M800" s="160"/>
      <c r="N800" s="160"/>
      <c r="O800" s="160"/>
      <c r="P800" s="160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49"/>
      <c r="K801" s="160"/>
      <c r="L801" s="160"/>
      <c r="M801" s="160"/>
      <c r="N801" s="160"/>
      <c r="O801" s="160"/>
      <c r="P801" s="160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0.0514968</v>
      </c>
      <c r="H802" s="145">
        <v>0.0</v>
      </c>
      <c r="I802" s="145">
        <v>0.0</v>
      </c>
      <c r="J802" s="145">
        <v>0.1</v>
      </c>
      <c r="K802" s="145"/>
      <c r="L802" s="145"/>
      <c r="M802" s="145"/>
      <c r="N802" s="145"/>
      <c r="O802" s="145"/>
      <c r="P802" s="145"/>
      <c r="Q802" s="145"/>
      <c r="R802" s="145"/>
      <c r="S802" s="145"/>
    </row>
    <row r="803">
      <c r="A803" s="160"/>
      <c r="B803" s="160"/>
      <c r="C803" s="160"/>
      <c r="D803" s="160"/>
      <c r="E803" s="172" t="s">
        <v>301</v>
      </c>
      <c r="G803" s="149">
        <f>H800*G802</f>
        <v>7982004</v>
      </c>
      <c r="H803" s="149"/>
      <c r="I803" s="149"/>
      <c r="J803" s="149"/>
      <c r="K803" s="160"/>
      <c r="L803" s="160"/>
      <c r="M803" s="160"/>
      <c r="N803" s="160"/>
      <c r="O803" s="160"/>
      <c r="P803" s="160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3991002</v>
      </c>
      <c r="I804" s="149">
        <f t="shared" ref="I804:J804" si="214">H804+I813</f>
        <v>3991002</v>
      </c>
      <c r="J804" s="149">
        <f t="shared" si="214"/>
        <v>4321002</v>
      </c>
      <c r="K804" s="199" t="str">
        <f>#REF!</f>
        <v>#REF!</v>
      </c>
      <c r="L804" s="199"/>
      <c r="M804" s="199"/>
      <c r="N804" s="199"/>
      <c r="O804" s="199"/>
      <c r="P804" s="199"/>
      <c r="Q804" s="199"/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3991002</v>
      </c>
      <c r="H805" s="149">
        <f>$G$895*H802</f>
        <v>0</v>
      </c>
      <c r="I805" s="149">
        <f t="shared" ref="I805:J805" si="215">$G$805*I802</f>
        <v>0</v>
      </c>
      <c r="J805" s="149">
        <f t="shared" si="215"/>
        <v>399100.2</v>
      </c>
      <c r="K805" s="199">
        <f>SUM(H805:J805)</f>
        <v>399100.2</v>
      </c>
      <c r="L805" s="199"/>
      <c r="M805" s="199"/>
      <c r="N805" s="199"/>
      <c r="O805" s="199"/>
      <c r="P805" s="199"/>
      <c r="Q805" s="199"/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42"/>
      <c r="K806" s="160"/>
      <c r="L806" s="160"/>
      <c r="M806" s="160"/>
      <c r="N806" s="160"/>
      <c r="O806" s="160"/>
      <c r="P806" s="160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J807" si="216">$H$800-H804</f>
        <v>151008998</v>
      </c>
      <c r="I807" s="149">
        <f t="shared" si="216"/>
        <v>151008998</v>
      </c>
      <c r="J807" s="149">
        <f t="shared" si="216"/>
        <v>150678998</v>
      </c>
      <c r="K807" s="160"/>
      <c r="L807" s="160"/>
      <c r="M807" s="160"/>
      <c r="N807" s="160"/>
      <c r="O807" s="160"/>
      <c r="P807" s="160"/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K808" si="217">IFERROR(H804/$H$890,0)</f>
        <v>0.01864954206</v>
      </c>
      <c r="I808" s="142">
        <f t="shared" si="217"/>
        <v>0.01864954206</v>
      </c>
      <c r="J808" s="142">
        <f t="shared" si="217"/>
        <v>0.02019159813</v>
      </c>
      <c r="K808" s="200">
        <f t="shared" si="217"/>
        <v>0</v>
      </c>
      <c r="L808" s="200"/>
      <c r="M808" s="200"/>
      <c r="N808" s="200"/>
      <c r="O808" s="200"/>
      <c r="P808" s="200"/>
      <c r="Q808" s="200"/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K809" si="218">IFERROR(1-(H804/$H$800),0)</f>
        <v>0.9742516</v>
      </c>
      <c r="I809" s="142">
        <f t="shared" si="218"/>
        <v>0.9742516</v>
      </c>
      <c r="J809" s="142">
        <f t="shared" si="218"/>
        <v>0.9721225677</v>
      </c>
      <c r="K809" s="200">
        <f t="shared" si="218"/>
        <v>0</v>
      </c>
      <c r="L809" s="200"/>
      <c r="M809" s="200"/>
      <c r="N809" s="200"/>
      <c r="O809" s="200"/>
      <c r="P809" s="200"/>
      <c r="Q809" s="200"/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58"/>
      <c r="K810" s="198"/>
      <c r="L810" s="198"/>
      <c r="M810" s="198"/>
      <c r="N810" s="198"/>
      <c r="O810" s="198"/>
      <c r="P810" s="19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J811" si="219">ROUNDUP(H805/H812,0)</f>
        <v>0</v>
      </c>
      <c r="I811" s="190">
        <f t="shared" si="219"/>
        <v>0</v>
      </c>
      <c r="J811" s="190">
        <f t="shared" si="219"/>
        <v>9</v>
      </c>
      <c r="K811" s="201">
        <f>SUM(H811:J811)</f>
        <v>9</v>
      </c>
      <c r="L811" s="201"/>
      <c r="M811" s="201"/>
      <c r="N811" s="201"/>
      <c r="O811" s="201"/>
      <c r="P811" s="201"/>
      <c r="Q811" s="201"/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56">
        <v>44500.0</v>
      </c>
      <c r="K812" s="198"/>
      <c r="L812" s="198"/>
      <c r="M812" s="198"/>
      <c r="N812" s="198"/>
      <c r="O812" s="198"/>
      <c r="P812" s="198"/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J813" si="220">SUM(H827,H830,H833,H836,H839)</f>
        <v>0</v>
      </c>
      <c r="I813" s="188">
        <f t="shared" si="220"/>
        <v>0</v>
      </c>
      <c r="J813" s="188">
        <f t="shared" si="220"/>
        <v>330000</v>
      </c>
      <c r="K813" s="196">
        <f>SUM(H813:J813)</f>
        <v>330000</v>
      </c>
      <c r="L813" s="160"/>
      <c r="M813" s="160"/>
      <c r="N813" s="160"/>
      <c r="O813" s="160"/>
      <c r="P813" s="160"/>
      <c r="Q813" s="160"/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203">
        <v>0.5</v>
      </c>
      <c r="K814" s="198"/>
      <c r="L814" s="198"/>
      <c r="M814" s="198"/>
      <c r="N814" s="198"/>
      <c r="O814" s="198"/>
      <c r="P814" s="198"/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203">
        <v>0.4</v>
      </c>
      <c r="K815" s="198"/>
      <c r="L815" s="198"/>
      <c r="M815" s="198"/>
      <c r="N815" s="198"/>
      <c r="O815" s="198"/>
      <c r="P815" s="198"/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203">
        <v>0.05</v>
      </c>
      <c r="K816" s="198"/>
      <c r="L816" s="198"/>
      <c r="M816" s="198"/>
      <c r="N816" s="198"/>
      <c r="O816" s="198"/>
      <c r="P816" s="198"/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203">
        <v>0.05</v>
      </c>
      <c r="K817" s="198"/>
      <c r="L817" s="198"/>
      <c r="M817" s="198"/>
      <c r="N817" s="198"/>
      <c r="O817" s="198"/>
      <c r="P817" s="198"/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203">
        <v>0.0</v>
      </c>
      <c r="K818" s="198"/>
      <c r="L818" s="198"/>
      <c r="M818" s="198"/>
      <c r="N818" s="198"/>
      <c r="O818" s="198"/>
      <c r="P818" s="198"/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204">
        <v>70000.0</v>
      </c>
      <c r="K819" s="198"/>
      <c r="L819" s="198"/>
      <c r="M819" s="198"/>
      <c r="N819" s="198"/>
      <c r="O819" s="198"/>
      <c r="P819" s="198"/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204">
        <v>10000.0</v>
      </c>
      <c r="K820" s="198"/>
      <c r="L820" s="198"/>
      <c r="M820" s="198"/>
      <c r="N820" s="198"/>
      <c r="O820" s="198"/>
      <c r="P820" s="198"/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204">
        <v>10000.0</v>
      </c>
      <c r="K821" s="198"/>
      <c r="L821" s="198"/>
      <c r="M821" s="198"/>
      <c r="N821" s="198"/>
      <c r="O821" s="198"/>
      <c r="P821" s="198"/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204">
        <v>100000.0</v>
      </c>
      <c r="K822" s="198"/>
      <c r="L822" s="198"/>
      <c r="M822" s="198"/>
      <c r="N822" s="198"/>
      <c r="O822" s="198"/>
      <c r="P822" s="198"/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204">
        <v>0.0</v>
      </c>
      <c r="K823" s="198"/>
      <c r="L823" s="198"/>
      <c r="M823" s="198"/>
      <c r="N823" s="198"/>
      <c r="O823" s="198"/>
      <c r="P823" s="198"/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62">
        <f>IFERROR(__xludf.DUMMYFUNCTION("MATCH(
  MIN(FILTER(J819:J823,J819:J823&gt;0)),
  J819:J823,
  0
)
"),2.0)</f>
        <v>2</v>
      </c>
      <c r="K824" s="198"/>
      <c r="L824" s="198"/>
      <c r="M824" s="198"/>
      <c r="N824" s="198"/>
      <c r="O824" s="198"/>
      <c r="P824" s="198"/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48"/>
      <c r="K825" s="198"/>
      <c r="L825" s="198"/>
      <c r="M825" s="198"/>
      <c r="N825" s="198"/>
      <c r="O825" s="198"/>
      <c r="P825" s="19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J826" si="221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21"/>
        <v>0</v>
      </c>
      <c r="J826" s="148">
        <f t="shared" si="221"/>
        <v>4</v>
      </c>
      <c r="K826" s="198"/>
      <c r="L826" s="198"/>
      <c r="M826" s="198"/>
      <c r="N826" s="198"/>
      <c r="O826" s="198"/>
      <c r="P826" s="198"/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J827" si="222">(H826*H819)</f>
        <v>0</v>
      </c>
      <c r="I827" s="150">
        <f t="shared" si="222"/>
        <v>0</v>
      </c>
      <c r="J827" s="150">
        <f t="shared" si="222"/>
        <v>280000</v>
      </c>
      <c r="K827" s="198"/>
      <c r="L827" s="198"/>
      <c r="M827" s="198"/>
      <c r="N827" s="198"/>
      <c r="O827" s="198"/>
      <c r="P827" s="198"/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48"/>
      <c r="K828" s="198"/>
      <c r="L828" s="198"/>
      <c r="M828" s="198"/>
      <c r="N828" s="198"/>
      <c r="O828" s="198"/>
      <c r="P828" s="19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J829" si="223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23"/>
        <v>0</v>
      </c>
      <c r="J829" s="148">
        <f t="shared" si="223"/>
        <v>5</v>
      </c>
      <c r="K829" s="198"/>
      <c r="L829" s="198"/>
      <c r="M829" s="198"/>
      <c r="N829" s="198"/>
      <c r="O829" s="198"/>
      <c r="P829" s="198"/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J830" si="224">(H820*H829)</f>
        <v>0</v>
      </c>
      <c r="I830" s="150">
        <f t="shared" si="224"/>
        <v>0</v>
      </c>
      <c r="J830" s="150">
        <f t="shared" si="224"/>
        <v>50000</v>
      </c>
      <c r="K830" s="198"/>
      <c r="L830" s="198"/>
      <c r="M830" s="198"/>
      <c r="N830" s="198"/>
      <c r="O830" s="198"/>
      <c r="P830" s="198"/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48"/>
      <c r="K831" s="198"/>
      <c r="L831" s="198"/>
      <c r="M831" s="198"/>
      <c r="N831" s="198"/>
      <c r="O831" s="198"/>
      <c r="P831" s="19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J832" si="225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25"/>
        <v>0</v>
      </c>
      <c r="J832" s="148">
        <f t="shared" si="225"/>
        <v>0</v>
      </c>
      <c r="K832" s="198"/>
      <c r="L832" s="198"/>
      <c r="M832" s="198"/>
      <c r="N832" s="198"/>
      <c r="O832" s="198"/>
      <c r="P832" s="198"/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J833" si="226">(H821*H832)</f>
        <v>0</v>
      </c>
      <c r="I833" s="150">
        <f t="shared" si="226"/>
        <v>0</v>
      </c>
      <c r="J833" s="150">
        <f t="shared" si="226"/>
        <v>0</v>
      </c>
      <c r="K833" s="198"/>
      <c r="L833" s="198"/>
      <c r="M833" s="198"/>
      <c r="N833" s="198"/>
      <c r="O833" s="198"/>
      <c r="P833" s="198"/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48"/>
      <c r="K834" s="198"/>
      <c r="L834" s="198"/>
      <c r="M834" s="198"/>
      <c r="N834" s="198"/>
      <c r="O834" s="198"/>
      <c r="P834" s="19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J835" si="227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27"/>
        <v>0</v>
      </c>
      <c r="J835" s="148">
        <f t="shared" si="227"/>
        <v>0</v>
      </c>
      <c r="K835" s="198"/>
      <c r="L835" s="198"/>
      <c r="M835" s="198"/>
      <c r="N835" s="198"/>
      <c r="O835" s="198"/>
      <c r="P835" s="198"/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J836" si="228">(H822*H835)</f>
        <v>0</v>
      </c>
      <c r="I836" s="150">
        <f t="shared" si="228"/>
        <v>0</v>
      </c>
      <c r="J836" s="150">
        <f t="shared" si="228"/>
        <v>0</v>
      </c>
      <c r="K836" s="198"/>
      <c r="L836" s="198"/>
      <c r="M836" s="198"/>
      <c r="N836" s="198"/>
      <c r="O836" s="198"/>
      <c r="P836" s="198"/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48"/>
      <c r="K837" s="198"/>
      <c r="L837" s="198"/>
      <c r="M837" s="198"/>
      <c r="N837" s="198"/>
      <c r="O837" s="198"/>
      <c r="P837" s="19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J838" si="229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29"/>
        <v>0</v>
      </c>
      <c r="J838" s="148">
        <f t="shared" si="229"/>
        <v>0</v>
      </c>
      <c r="K838" s="198"/>
      <c r="L838" s="198"/>
      <c r="M838" s="198"/>
      <c r="N838" s="198"/>
      <c r="O838" s="198"/>
      <c r="P838" s="198"/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J839" si="230">(H823*H838)</f>
        <v>0</v>
      </c>
      <c r="I839" s="150">
        <f t="shared" si="230"/>
        <v>0</v>
      </c>
      <c r="J839" s="150">
        <f t="shared" si="230"/>
        <v>0</v>
      </c>
      <c r="K839" s="198"/>
      <c r="L839" s="198"/>
      <c r="M839" s="198"/>
      <c r="N839" s="198"/>
      <c r="O839" s="198"/>
      <c r="P839" s="198"/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60"/>
      <c r="K840" s="198"/>
      <c r="L840" s="198"/>
      <c r="M840" s="198"/>
      <c r="N840" s="198"/>
      <c r="O840" s="198"/>
      <c r="P840" s="198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41</v>
      </c>
      <c r="I842" s="206"/>
      <c r="J842" s="206"/>
      <c r="K842" s="198"/>
      <c r="L842" s="198"/>
      <c r="M842" s="198"/>
      <c r="N842" s="198"/>
      <c r="O842" s="198"/>
      <c r="P842" s="198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0.03309439024</v>
      </c>
      <c r="H843" s="149">
        <f>H442</f>
        <v>4070610</v>
      </c>
      <c r="I843" s="149"/>
      <c r="J843" s="149"/>
      <c r="K843" s="160"/>
      <c r="L843" s="160"/>
      <c r="M843" s="160"/>
      <c r="N843" s="160"/>
      <c r="O843" s="160"/>
      <c r="P843" s="160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56"/>
      <c r="K844" s="160"/>
      <c r="L844" s="160"/>
      <c r="M844" s="160"/>
      <c r="N844" s="160"/>
      <c r="O844" s="160"/>
      <c r="P844" s="160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123000000</v>
      </c>
      <c r="I845" s="149"/>
      <c r="J845" s="149"/>
      <c r="K845" s="160"/>
      <c r="L845" s="160"/>
      <c r="M845" s="160"/>
      <c r="N845" s="160"/>
      <c r="O845" s="160"/>
      <c r="P845" s="160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49"/>
      <c r="K846" s="160"/>
      <c r="L846" s="160"/>
      <c r="M846" s="160"/>
      <c r="N846" s="160"/>
      <c r="O846" s="160"/>
      <c r="P846" s="160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0.09928317073</v>
      </c>
      <c r="H847" s="167">
        <v>0.0</v>
      </c>
      <c r="I847" s="145">
        <v>0.0</v>
      </c>
      <c r="J847" s="145">
        <v>0.1</v>
      </c>
      <c r="K847" s="145"/>
      <c r="L847" s="145"/>
      <c r="M847" s="145"/>
      <c r="N847" s="145"/>
      <c r="O847" s="145"/>
      <c r="P847" s="145"/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12211830</v>
      </c>
      <c r="H848" s="19"/>
      <c r="I848" s="19"/>
      <c r="J848" s="19"/>
      <c r="K848" s="16"/>
      <c r="L848" s="16"/>
      <c r="M848" s="16"/>
      <c r="N848" s="16"/>
      <c r="O848" s="16"/>
      <c r="P848" s="16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4070610</v>
      </c>
      <c r="I849" s="149">
        <f t="shared" ref="I849:J849" si="231">H849+I858</f>
        <v>4070610</v>
      </c>
      <c r="J849" s="149">
        <f t="shared" si="231"/>
        <v>4851610</v>
      </c>
      <c r="K849" s="199" t="str">
        <f>#REF!</f>
        <v>#REF!</v>
      </c>
      <c r="L849" s="199"/>
      <c r="M849" s="199"/>
      <c r="N849" s="199"/>
      <c r="O849" s="199"/>
      <c r="P849" s="199"/>
      <c r="Q849" s="199"/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8141220</v>
      </c>
      <c r="H850" s="149">
        <f t="shared" ref="H850:J850" si="232">$G$850*H847</f>
        <v>0</v>
      </c>
      <c r="I850" s="149">
        <f t="shared" si="232"/>
        <v>0</v>
      </c>
      <c r="J850" s="149">
        <f t="shared" si="232"/>
        <v>814122</v>
      </c>
      <c r="K850" s="199">
        <f>SUM(H850:J850)</f>
        <v>814122</v>
      </c>
      <c r="L850" s="199"/>
      <c r="M850" s="199"/>
      <c r="N850" s="199"/>
      <c r="O850" s="199"/>
      <c r="P850" s="199"/>
      <c r="Q850" s="199"/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42"/>
      <c r="K851" s="160"/>
      <c r="L851" s="160"/>
      <c r="M851" s="160"/>
      <c r="N851" s="160"/>
      <c r="O851" s="160"/>
      <c r="P851" s="160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J852" si="233">$H$845-H849</f>
        <v>118929390</v>
      </c>
      <c r="I852" s="149">
        <f t="shared" si="233"/>
        <v>118929390</v>
      </c>
      <c r="J852" s="149">
        <f t="shared" si="233"/>
        <v>118148390</v>
      </c>
      <c r="K852" s="160"/>
      <c r="L852" s="160"/>
      <c r="M852" s="160"/>
      <c r="N852" s="160"/>
      <c r="O852" s="160"/>
      <c r="P852" s="160"/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K853" si="234">IFERROR(H849/$H$845,0)</f>
        <v>0.03309439024</v>
      </c>
      <c r="I853" s="142">
        <f t="shared" si="234"/>
        <v>0.03309439024</v>
      </c>
      <c r="J853" s="142">
        <f t="shared" si="234"/>
        <v>0.03944398374</v>
      </c>
      <c r="K853" s="200">
        <f t="shared" si="234"/>
        <v>0</v>
      </c>
      <c r="L853" s="200"/>
      <c r="M853" s="200"/>
      <c r="N853" s="200"/>
      <c r="O853" s="200"/>
      <c r="P853" s="200"/>
      <c r="Q853" s="200"/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K854" si="235">IFERROR(1-(H849/$H$845),0)</f>
        <v>0.9669056098</v>
      </c>
      <c r="I854" s="142">
        <f t="shared" si="235"/>
        <v>0.9669056098</v>
      </c>
      <c r="J854" s="142">
        <f t="shared" si="235"/>
        <v>0.9605560163</v>
      </c>
      <c r="K854" s="200">
        <f t="shared" si="235"/>
        <v>0</v>
      </c>
      <c r="L854" s="200"/>
      <c r="M854" s="200"/>
      <c r="N854" s="200"/>
      <c r="O854" s="200"/>
      <c r="P854" s="200"/>
      <c r="Q854" s="200"/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7"/>
      <c r="K855" s="208"/>
      <c r="L855" s="208"/>
      <c r="M855" s="208"/>
      <c r="N855" s="208"/>
      <c r="O855" s="208"/>
      <c r="P855" s="208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J856" si="236">ROUNDUP(H850/H857,0)</f>
        <v>0</v>
      </c>
      <c r="I856" s="190">
        <f t="shared" si="236"/>
        <v>0</v>
      </c>
      <c r="J856" s="190">
        <f t="shared" si="236"/>
        <v>38</v>
      </c>
      <c r="K856" s="201">
        <f>SUM(H856:J856)</f>
        <v>38</v>
      </c>
      <c r="L856" s="201"/>
      <c r="M856" s="201"/>
      <c r="N856" s="201"/>
      <c r="O856" s="201"/>
      <c r="P856" s="201"/>
      <c r="Q856" s="201"/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56">
        <v>22000.0</v>
      </c>
      <c r="K857" s="198"/>
      <c r="L857" s="198"/>
      <c r="M857" s="198"/>
      <c r="N857" s="198"/>
      <c r="O857" s="198"/>
      <c r="P857" s="198"/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J858" si="237">SUM(H872,H875,H878,H881,H884)</f>
        <v>0</v>
      </c>
      <c r="I858" s="188">
        <f t="shared" si="237"/>
        <v>0</v>
      </c>
      <c r="J858" s="188">
        <f t="shared" si="237"/>
        <v>781000</v>
      </c>
      <c r="K858" s="196">
        <f>SUM(H858:J858)</f>
        <v>781000</v>
      </c>
      <c r="L858" s="160"/>
      <c r="M858" s="160"/>
      <c r="N858" s="160"/>
      <c r="O858" s="160"/>
      <c r="P858" s="160"/>
      <c r="Q858" s="160"/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203">
        <v>0.4</v>
      </c>
      <c r="K859" s="198"/>
      <c r="L859" s="198"/>
      <c r="M859" s="198"/>
      <c r="N859" s="198"/>
      <c r="O859" s="198"/>
      <c r="P859" s="198"/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203">
        <v>0.4</v>
      </c>
      <c r="K860" s="198"/>
      <c r="L860" s="198"/>
      <c r="M860" s="198"/>
      <c r="N860" s="198"/>
      <c r="O860" s="198"/>
      <c r="P860" s="198"/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203">
        <v>0.1</v>
      </c>
      <c r="K861" s="198"/>
      <c r="L861" s="198"/>
      <c r="M861" s="198"/>
      <c r="N861" s="198"/>
      <c r="O861" s="198"/>
      <c r="P861" s="198"/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203">
        <v>0.1</v>
      </c>
      <c r="K862" s="198"/>
      <c r="L862" s="198"/>
      <c r="M862" s="198"/>
      <c r="N862" s="198"/>
      <c r="O862" s="198"/>
      <c r="P862" s="198"/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203">
        <v>0.0</v>
      </c>
      <c r="K863" s="198"/>
      <c r="L863" s="198"/>
      <c r="M863" s="198"/>
      <c r="N863" s="198"/>
      <c r="O863" s="198"/>
      <c r="P863" s="198"/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204">
        <v>25000.0</v>
      </c>
      <c r="K864" s="198"/>
      <c r="L864" s="198"/>
      <c r="M864" s="198"/>
      <c r="N864" s="198"/>
      <c r="O864" s="198"/>
      <c r="P864" s="198"/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204">
        <v>10000.0</v>
      </c>
      <c r="K865" s="198"/>
      <c r="L865" s="198"/>
      <c r="M865" s="198"/>
      <c r="N865" s="198"/>
      <c r="O865" s="198"/>
      <c r="P865" s="198"/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204">
        <v>8000.0</v>
      </c>
      <c r="K866" s="198"/>
      <c r="L866" s="198"/>
      <c r="M866" s="198"/>
      <c r="N866" s="198"/>
      <c r="O866" s="198"/>
      <c r="P866" s="198"/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204">
        <v>72000.0</v>
      </c>
      <c r="K867" s="198"/>
      <c r="L867" s="198"/>
      <c r="M867" s="198"/>
      <c r="N867" s="198"/>
      <c r="O867" s="198"/>
      <c r="P867" s="198"/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204">
        <v>0.0</v>
      </c>
      <c r="K868" s="198"/>
      <c r="L868" s="198"/>
      <c r="M868" s="198"/>
      <c r="N868" s="198"/>
      <c r="O868" s="198"/>
      <c r="P868" s="198"/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62">
        <f>IFERROR(__xludf.DUMMYFUNCTION("MATCH(
  MIN(FILTER(J864:J868,J864:J868&gt;0)),
  J864:J868,
  0
)
"),3.0)</f>
        <v>3</v>
      </c>
      <c r="K869" s="198"/>
      <c r="L869" s="198"/>
      <c r="M869" s="198"/>
      <c r="N869" s="198"/>
      <c r="O869" s="198"/>
      <c r="P869" s="198"/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48"/>
      <c r="K870" s="198"/>
      <c r="L870" s="198"/>
      <c r="M870" s="198"/>
      <c r="N870" s="198"/>
      <c r="O870" s="198"/>
      <c r="P870" s="19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J871" si="238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38"/>
        <v>0</v>
      </c>
      <c r="J871" s="148">
        <f t="shared" si="238"/>
        <v>15</v>
      </c>
      <c r="K871" s="198"/>
      <c r="L871" s="198"/>
      <c r="M871" s="198"/>
      <c r="N871" s="198"/>
      <c r="O871" s="198"/>
      <c r="P871" s="198"/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J872" si="239">(H871*H864)</f>
        <v>0</v>
      </c>
      <c r="I872" s="150">
        <f t="shared" si="239"/>
        <v>0</v>
      </c>
      <c r="J872" s="150">
        <f t="shared" si="239"/>
        <v>375000</v>
      </c>
      <c r="K872" s="198"/>
      <c r="L872" s="198"/>
      <c r="M872" s="198"/>
      <c r="N872" s="198"/>
      <c r="O872" s="198"/>
      <c r="P872" s="198"/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48"/>
      <c r="K873" s="198"/>
      <c r="L873" s="198"/>
      <c r="M873" s="198"/>
      <c r="N873" s="198"/>
      <c r="O873" s="198"/>
      <c r="P873" s="19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J874" si="240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40"/>
        <v>0</v>
      </c>
      <c r="J874" s="148">
        <f t="shared" si="240"/>
        <v>15</v>
      </c>
      <c r="K874" s="198"/>
      <c r="L874" s="198"/>
      <c r="M874" s="198"/>
      <c r="N874" s="198"/>
      <c r="O874" s="198"/>
      <c r="P874" s="198"/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J875" si="241">(H865*H874)</f>
        <v>0</v>
      </c>
      <c r="I875" s="150">
        <f t="shared" si="241"/>
        <v>0</v>
      </c>
      <c r="J875" s="150">
        <f t="shared" si="241"/>
        <v>150000</v>
      </c>
      <c r="K875" s="198"/>
      <c r="L875" s="198"/>
      <c r="M875" s="198"/>
      <c r="N875" s="198"/>
      <c r="O875" s="198"/>
      <c r="P875" s="198"/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48"/>
      <c r="K876" s="198"/>
      <c r="L876" s="198"/>
      <c r="M876" s="198"/>
      <c r="N876" s="198"/>
      <c r="O876" s="198"/>
      <c r="P876" s="19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J877" si="242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42"/>
        <v>0</v>
      </c>
      <c r="J877" s="148">
        <f t="shared" si="242"/>
        <v>5</v>
      </c>
      <c r="K877" s="198"/>
      <c r="L877" s="198"/>
      <c r="M877" s="198"/>
      <c r="N877" s="198"/>
      <c r="O877" s="198"/>
      <c r="P877" s="198"/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J878" si="243">(H866*H877)</f>
        <v>0</v>
      </c>
      <c r="I878" s="150">
        <f t="shared" si="243"/>
        <v>0</v>
      </c>
      <c r="J878" s="150">
        <f t="shared" si="243"/>
        <v>40000</v>
      </c>
      <c r="K878" s="198"/>
      <c r="L878" s="198"/>
      <c r="M878" s="198"/>
      <c r="N878" s="198"/>
      <c r="O878" s="198"/>
      <c r="P878" s="198"/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48"/>
      <c r="K879" s="198"/>
      <c r="L879" s="198"/>
      <c r="M879" s="198"/>
      <c r="N879" s="198"/>
      <c r="O879" s="198"/>
      <c r="P879" s="19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J880" si="244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44"/>
        <v>0</v>
      </c>
      <c r="J880" s="148">
        <f t="shared" si="244"/>
        <v>3</v>
      </c>
      <c r="K880" s="198"/>
      <c r="L880" s="198"/>
      <c r="M880" s="198"/>
      <c r="N880" s="198"/>
      <c r="O880" s="198"/>
      <c r="P880" s="198"/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J881" si="245">(H867*H880)</f>
        <v>0</v>
      </c>
      <c r="I881" s="150">
        <f t="shared" si="245"/>
        <v>0</v>
      </c>
      <c r="J881" s="150">
        <f t="shared" si="245"/>
        <v>216000</v>
      </c>
      <c r="K881" s="198"/>
      <c r="L881" s="198"/>
      <c r="M881" s="198"/>
      <c r="N881" s="198"/>
      <c r="O881" s="198"/>
      <c r="P881" s="198"/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48"/>
      <c r="K882" s="198"/>
      <c r="L882" s="198"/>
      <c r="M882" s="198"/>
      <c r="N882" s="198"/>
      <c r="O882" s="198"/>
      <c r="P882" s="19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J883" si="246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46"/>
        <v>0</v>
      </c>
      <c r="J883" s="148">
        <f t="shared" si="246"/>
        <v>0</v>
      </c>
      <c r="K883" s="198"/>
      <c r="L883" s="198"/>
      <c r="M883" s="198"/>
      <c r="N883" s="198"/>
      <c r="O883" s="198"/>
      <c r="P883" s="198"/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J884" si="247">(H868*H883)</f>
        <v>0</v>
      </c>
      <c r="I884" s="150">
        <f t="shared" si="247"/>
        <v>0</v>
      </c>
      <c r="J884" s="150">
        <f t="shared" si="247"/>
        <v>0</v>
      </c>
      <c r="K884" s="198"/>
      <c r="L884" s="198"/>
      <c r="M884" s="198"/>
      <c r="N884" s="198"/>
      <c r="O884" s="198"/>
      <c r="P884" s="198"/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7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214</v>
      </c>
      <c r="I887" s="209"/>
      <c r="J887" s="209"/>
      <c r="K887" s="198"/>
      <c r="L887" s="198"/>
      <c r="M887" s="198"/>
      <c r="N887" s="198"/>
      <c r="O887" s="198"/>
      <c r="P887" s="198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0.07622957944</v>
      </c>
      <c r="H888" s="210">
        <f>H$468</f>
        <v>16313130</v>
      </c>
      <c r="I888" s="209"/>
      <c r="J888" s="209"/>
      <c r="K888" s="198"/>
      <c r="L888" s="198"/>
      <c r="M888" s="198"/>
      <c r="N888" s="198"/>
      <c r="O888" s="198"/>
      <c r="P888" s="198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158"/>
      <c r="K889" s="211"/>
      <c r="L889" s="211"/>
      <c r="M889" s="211"/>
      <c r="N889" s="211"/>
      <c r="O889" s="211"/>
      <c r="P889" s="211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214000000</v>
      </c>
      <c r="I890" s="212"/>
      <c r="J890" s="212"/>
      <c r="K890" s="211"/>
      <c r="L890" s="211"/>
      <c r="M890" s="211"/>
      <c r="N890" s="211"/>
      <c r="O890" s="211"/>
      <c r="P890" s="211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2"/>
      <c r="K891" s="211"/>
      <c r="L891" s="211"/>
      <c r="M891" s="211"/>
      <c r="N891" s="211"/>
      <c r="O891" s="211"/>
      <c r="P891" s="211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0.1524591589</v>
      </c>
      <c r="H892" s="213">
        <v>0.0</v>
      </c>
      <c r="I892" s="213">
        <v>0.32</v>
      </c>
      <c r="J892" s="213">
        <v>0.17</v>
      </c>
      <c r="K892" s="211"/>
      <c r="L892" s="211"/>
      <c r="M892" s="211"/>
      <c r="N892" s="211"/>
      <c r="O892" s="211"/>
      <c r="P892" s="211"/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32626260</v>
      </c>
      <c r="H893" s="149"/>
      <c r="I893" s="149"/>
      <c r="J893" s="149"/>
      <c r="K893" s="211"/>
      <c r="L893" s="211"/>
      <c r="M893" s="211"/>
      <c r="N893" s="211"/>
      <c r="O893" s="211"/>
      <c r="P893" s="211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16313130</v>
      </c>
      <c r="I894" s="149">
        <f t="shared" ref="I894:J894" si="248">H894+I903</f>
        <v>21511130</v>
      </c>
      <c r="J894" s="149">
        <f t="shared" si="248"/>
        <v>24259130</v>
      </c>
      <c r="K894" s="211" t="str">
        <f>#REF!</f>
        <v>#REF!</v>
      </c>
      <c r="L894" s="211"/>
      <c r="M894" s="211"/>
      <c r="N894" s="211"/>
      <c r="O894" s="211"/>
      <c r="P894" s="211"/>
      <c r="Q894" s="211"/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16313130</v>
      </c>
      <c r="H895" s="149">
        <f t="shared" ref="H895:J895" si="249">$G$895*H892</f>
        <v>0</v>
      </c>
      <c r="I895" s="149">
        <f t="shared" si="249"/>
        <v>5220201.6</v>
      </c>
      <c r="J895" s="149">
        <f t="shared" si="249"/>
        <v>2773232.1</v>
      </c>
      <c r="K895" s="214">
        <f>SUM(H895:J895)</f>
        <v>7993433.7</v>
      </c>
      <c r="L895" s="211"/>
      <c r="M895" s="211"/>
      <c r="N895" s="211"/>
      <c r="O895" s="211"/>
      <c r="P895" s="211"/>
      <c r="Q895" s="211"/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3"/>
      <c r="K896" s="211"/>
      <c r="L896" s="211"/>
      <c r="M896" s="211"/>
      <c r="N896" s="211"/>
      <c r="O896" s="211"/>
      <c r="P896" s="211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J897" si="250">$H$890-H894</f>
        <v>197686870</v>
      </c>
      <c r="I897" s="149">
        <f t="shared" si="250"/>
        <v>192488870</v>
      </c>
      <c r="J897" s="149">
        <f t="shared" si="250"/>
        <v>189740870</v>
      </c>
      <c r="K897" s="149"/>
      <c r="L897" s="149"/>
      <c r="M897" s="149"/>
      <c r="N897" s="149"/>
      <c r="O897" s="149"/>
      <c r="P897" s="149"/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K898" si="251">IFERROR(H894/$H$890,0)</f>
        <v>0.07622957944</v>
      </c>
      <c r="I898" s="142">
        <f t="shared" si="251"/>
        <v>0.1005192991</v>
      </c>
      <c r="J898" s="142">
        <f t="shared" si="251"/>
        <v>0.1133604206</v>
      </c>
      <c r="K898" s="215">
        <f t="shared" si="251"/>
        <v>0</v>
      </c>
      <c r="L898" s="215"/>
      <c r="M898" s="215"/>
      <c r="N898" s="215"/>
      <c r="O898" s="215"/>
      <c r="P898" s="215"/>
      <c r="Q898" s="215"/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K899" si="252">IFERROR(1-(H894/$H$890),0)</f>
        <v>0.9237704206</v>
      </c>
      <c r="I899" s="216">
        <f t="shared" si="252"/>
        <v>0.8994807009</v>
      </c>
      <c r="J899" s="216">
        <f t="shared" si="252"/>
        <v>0.8866395794</v>
      </c>
      <c r="K899" s="215">
        <f t="shared" si="252"/>
        <v>0</v>
      </c>
      <c r="L899" s="215"/>
      <c r="M899" s="215"/>
      <c r="N899" s="215"/>
      <c r="O899" s="215"/>
      <c r="P899" s="215"/>
      <c r="Q899" s="215"/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158"/>
      <c r="K900" s="211"/>
      <c r="L900" s="211"/>
      <c r="M900" s="211"/>
      <c r="N900" s="211"/>
      <c r="O900" s="211"/>
      <c r="P900" s="211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J901" si="253">ROUNDUP(H895/H902,0)</f>
        <v>0</v>
      </c>
      <c r="I901" s="217">
        <f t="shared" si="253"/>
        <v>289</v>
      </c>
      <c r="J901" s="217">
        <f t="shared" si="253"/>
        <v>154</v>
      </c>
      <c r="K901" s="218">
        <f>SUM(H901:J901)</f>
        <v>443</v>
      </c>
      <c r="L901" s="211"/>
      <c r="M901" s="211"/>
      <c r="N901" s="211"/>
      <c r="O901" s="211"/>
      <c r="P901" s="211"/>
      <c r="Q901" s="211"/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56">
        <v>18100.0</v>
      </c>
      <c r="K902" s="198"/>
      <c r="L902" s="198"/>
      <c r="M902" s="198"/>
      <c r="N902" s="198"/>
      <c r="O902" s="198"/>
      <c r="P902" s="198"/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J903" si="254">SUM(H917,H920,H923,H926,H929)</f>
        <v>0</v>
      </c>
      <c r="I903" s="188">
        <f t="shared" si="254"/>
        <v>5198000</v>
      </c>
      <c r="J903" s="188">
        <f t="shared" si="254"/>
        <v>2748000</v>
      </c>
      <c r="K903" s="214">
        <f>SUM(H903:J903)</f>
        <v>7946000</v>
      </c>
      <c r="L903" s="214"/>
      <c r="M903" s="214"/>
      <c r="N903" s="214"/>
      <c r="O903" s="214"/>
      <c r="P903" s="214"/>
      <c r="Q903" s="214"/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203">
        <v>0.25</v>
      </c>
      <c r="K904" s="198"/>
      <c r="L904" s="198"/>
      <c r="M904" s="198"/>
      <c r="N904" s="198"/>
      <c r="O904" s="198"/>
      <c r="P904" s="198"/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203">
        <v>0.35</v>
      </c>
      <c r="K905" s="198"/>
      <c r="L905" s="198"/>
      <c r="M905" s="198"/>
      <c r="N905" s="198"/>
      <c r="O905" s="198"/>
      <c r="P905" s="198"/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203">
        <v>0.2</v>
      </c>
      <c r="K906" s="198"/>
      <c r="L906" s="198"/>
      <c r="M906" s="198"/>
      <c r="N906" s="198"/>
      <c r="O906" s="198"/>
      <c r="P906" s="198"/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203">
        <v>0.2</v>
      </c>
      <c r="K907" s="198"/>
      <c r="L907" s="198"/>
      <c r="M907" s="198"/>
      <c r="N907" s="198"/>
      <c r="O907" s="198"/>
      <c r="P907" s="198"/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203">
        <v>0.0</v>
      </c>
      <c r="K908" s="198"/>
      <c r="L908" s="198"/>
      <c r="M908" s="198"/>
      <c r="N908" s="198"/>
      <c r="O908" s="198"/>
      <c r="P908" s="198"/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204">
        <v>20000.0</v>
      </c>
      <c r="K909" s="198"/>
      <c r="L909" s="198"/>
      <c r="M909" s="198"/>
      <c r="N909" s="198"/>
      <c r="O909" s="198"/>
      <c r="P909" s="198"/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204">
        <v>10000.0</v>
      </c>
      <c r="K910" s="198"/>
      <c r="L910" s="198"/>
      <c r="M910" s="198"/>
      <c r="N910" s="198"/>
      <c r="O910" s="198"/>
      <c r="P910" s="198"/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204">
        <v>6000.0</v>
      </c>
      <c r="K911" s="198"/>
      <c r="L911" s="198"/>
      <c r="M911" s="198"/>
      <c r="N911" s="198"/>
      <c r="O911" s="198"/>
      <c r="P911" s="198"/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204">
        <v>42000.0</v>
      </c>
      <c r="K912" s="198"/>
      <c r="L912" s="198"/>
      <c r="M912" s="198"/>
      <c r="N912" s="198"/>
      <c r="O912" s="198"/>
      <c r="P912" s="198"/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204">
        <v>0.0</v>
      </c>
      <c r="K913" s="198"/>
      <c r="L913" s="198"/>
      <c r="M913" s="198"/>
      <c r="N913" s="198"/>
      <c r="O913" s="198"/>
      <c r="P913" s="198"/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62">
        <f>IFERROR(__xludf.DUMMYFUNCTION("MATCH(
  MIN(FILTER(J909:J913,J909:J913&gt;0)),
  J909:J913,
  0
)
"),3.0)</f>
        <v>3</v>
      </c>
      <c r="K914" s="198"/>
      <c r="L914" s="198"/>
      <c r="M914" s="198"/>
      <c r="N914" s="198"/>
      <c r="O914" s="198"/>
      <c r="P914" s="198"/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48"/>
      <c r="K915" s="198"/>
      <c r="L915" s="198"/>
      <c r="M915" s="198"/>
      <c r="N915" s="198"/>
      <c r="O915" s="198"/>
      <c r="P915" s="19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J916" si="255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55"/>
        <v>72</v>
      </c>
      <c r="J916" s="148">
        <f t="shared" si="255"/>
        <v>38</v>
      </c>
      <c r="K916" s="198"/>
      <c r="L916" s="198"/>
      <c r="M916" s="198"/>
      <c r="N916" s="198"/>
      <c r="O916" s="198"/>
      <c r="P916" s="198"/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J917" si="256">(H916*H909)</f>
        <v>0</v>
      </c>
      <c r="I917" s="150">
        <f t="shared" si="256"/>
        <v>1440000</v>
      </c>
      <c r="J917" s="150">
        <f t="shared" si="256"/>
        <v>760000</v>
      </c>
      <c r="K917" s="198"/>
      <c r="L917" s="198"/>
      <c r="M917" s="198"/>
      <c r="N917" s="198"/>
      <c r="O917" s="198"/>
      <c r="P917" s="198"/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48"/>
      <c r="K918" s="198"/>
      <c r="L918" s="198"/>
      <c r="M918" s="198"/>
      <c r="N918" s="198"/>
      <c r="O918" s="198"/>
      <c r="P918" s="19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J919" si="257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57"/>
        <v>101</v>
      </c>
      <c r="J919" s="148">
        <f t="shared" si="257"/>
        <v>53</v>
      </c>
      <c r="K919" s="198"/>
      <c r="L919" s="198"/>
      <c r="M919" s="198"/>
      <c r="N919" s="198"/>
      <c r="O919" s="198"/>
      <c r="P919" s="198"/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J920" si="258">(H910*H919)</f>
        <v>0</v>
      </c>
      <c r="I920" s="150">
        <f t="shared" si="258"/>
        <v>1010000</v>
      </c>
      <c r="J920" s="150">
        <f t="shared" si="258"/>
        <v>530000</v>
      </c>
      <c r="K920" s="198"/>
      <c r="L920" s="198"/>
      <c r="M920" s="198"/>
      <c r="N920" s="198"/>
      <c r="O920" s="198"/>
      <c r="P920" s="198"/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48"/>
      <c r="K921" s="198"/>
      <c r="L921" s="198"/>
      <c r="M921" s="198"/>
      <c r="N921" s="198"/>
      <c r="O921" s="198"/>
      <c r="P921" s="19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J922" si="259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59"/>
        <v>59</v>
      </c>
      <c r="J922" s="148">
        <f t="shared" si="259"/>
        <v>33</v>
      </c>
      <c r="K922" s="198"/>
      <c r="L922" s="198"/>
      <c r="M922" s="198"/>
      <c r="N922" s="198"/>
      <c r="O922" s="198"/>
      <c r="P922" s="198"/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J923" si="260">(H911*H922)</f>
        <v>0</v>
      </c>
      <c r="I923" s="150">
        <f t="shared" si="260"/>
        <v>354000</v>
      </c>
      <c r="J923" s="150">
        <f t="shared" si="260"/>
        <v>198000</v>
      </c>
      <c r="K923" s="198"/>
      <c r="L923" s="198"/>
      <c r="M923" s="198"/>
      <c r="N923" s="198"/>
      <c r="O923" s="198"/>
      <c r="P923" s="198"/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48"/>
      <c r="K924" s="198"/>
      <c r="L924" s="198"/>
      <c r="M924" s="198"/>
      <c r="N924" s="198"/>
      <c r="O924" s="198"/>
      <c r="P924" s="19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J925" si="261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61"/>
        <v>57</v>
      </c>
      <c r="J925" s="148">
        <f t="shared" si="261"/>
        <v>30</v>
      </c>
      <c r="K925" s="198"/>
      <c r="L925" s="198"/>
      <c r="M925" s="198"/>
      <c r="N925" s="198"/>
      <c r="O925" s="198"/>
      <c r="P925" s="198"/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J926" si="262">(H912*H925)</f>
        <v>0</v>
      </c>
      <c r="I926" s="150">
        <f t="shared" si="262"/>
        <v>2394000</v>
      </c>
      <c r="J926" s="150">
        <f t="shared" si="262"/>
        <v>1260000</v>
      </c>
      <c r="K926" s="198"/>
      <c r="L926" s="198"/>
      <c r="M926" s="198"/>
      <c r="N926" s="198"/>
      <c r="O926" s="198"/>
      <c r="P926" s="198"/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48"/>
      <c r="K927" s="198"/>
      <c r="L927" s="198"/>
      <c r="M927" s="198"/>
      <c r="N927" s="198"/>
      <c r="O927" s="198"/>
      <c r="P927" s="19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J928" si="263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63"/>
        <v>0</v>
      </c>
      <c r="J928" s="148">
        <f t="shared" si="263"/>
        <v>0</v>
      </c>
      <c r="K928" s="198"/>
      <c r="L928" s="198"/>
      <c r="M928" s="198"/>
      <c r="N928" s="198"/>
      <c r="O928" s="198"/>
      <c r="P928" s="198"/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J929" si="264">(H913*H928)</f>
        <v>0</v>
      </c>
      <c r="I929" s="150">
        <f t="shared" si="264"/>
        <v>0</v>
      </c>
      <c r="J929" s="150">
        <f t="shared" si="264"/>
        <v>0</v>
      </c>
      <c r="K929" s="198"/>
      <c r="L929" s="198"/>
      <c r="M929" s="198"/>
      <c r="N929" s="198"/>
      <c r="O929" s="198"/>
      <c r="P929" s="198"/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60"/>
      <c r="K930" s="198"/>
      <c r="L930" s="198"/>
      <c r="M930" s="198"/>
      <c r="N930" s="198"/>
      <c r="O930" s="198"/>
      <c r="P930" s="198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7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506</v>
      </c>
      <c r="I933" s="206"/>
      <c r="J933" s="206"/>
      <c r="K933" s="198"/>
      <c r="L933" s="198"/>
      <c r="M933" s="198"/>
      <c r="N933" s="198"/>
      <c r="O933" s="198"/>
      <c r="P933" s="198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0.3817513175</v>
      </c>
      <c r="H934" s="149">
        <f>SUM($H$494)</f>
        <v>17384955</v>
      </c>
      <c r="I934" s="149"/>
      <c r="J934" s="149"/>
      <c r="K934" s="160"/>
      <c r="L934" s="160"/>
      <c r="M934" s="160"/>
      <c r="N934" s="160"/>
      <c r="O934" s="160"/>
      <c r="P934" s="160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56"/>
      <c r="K935" s="160"/>
      <c r="L935" s="160"/>
      <c r="M935" s="160"/>
      <c r="N935" s="160"/>
      <c r="O935" s="160"/>
      <c r="P935" s="160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45540000</v>
      </c>
      <c r="I936" s="149"/>
      <c r="J936" s="149"/>
      <c r="K936" s="160"/>
      <c r="L936" s="160"/>
      <c r="M936" s="160"/>
      <c r="N936" s="160"/>
      <c r="O936" s="160"/>
      <c r="P936" s="160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49"/>
      <c r="K937" s="160"/>
      <c r="L937" s="160"/>
      <c r="M937" s="160"/>
      <c r="N937" s="160"/>
      <c r="O937" s="160"/>
      <c r="P937" s="160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0.5726269763</v>
      </c>
      <c r="H938" s="213">
        <v>0.0</v>
      </c>
      <c r="I938" s="213">
        <v>0.32</v>
      </c>
      <c r="J938" s="213">
        <v>0.17</v>
      </c>
      <c r="K938" s="200">
        <f>SUM(H938:J938)</f>
        <v>0.49</v>
      </c>
      <c r="L938" s="200"/>
      <c r="M938" s="200"/>
      <c r="N938" s="200"/>
      <c r="O938" s="200"/>
      <c r="P938" s="200"/>
      <c r="Q938" s="200"/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26077432.5</v>
      </c>
      <c r="H939" s="19"/>
      <c r="I939" s="19"/>
      <c r="J939" s="19"/>
      <c r="K939" s="16"/>
      <c r="L939" s="16"/>
      <c r="M939" s="16"/>
      <c r="N939" s="16"/>
      <c r="O939" s="16"/>
      <c r="P939" s="16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17384955</v>
      </c>
      <c r="I940" s="149">
        <f t="shared" ref="I940:J940" si="265">H940+I949</f>
        <v>20172955</v>
      </c>
      <c r="J940" s="149">
        <f t="shared" si="265"/>
        <v>21650955</v>
      </c>
      <c r="K940" s="199" t="str">
        <f>#REF!</f>
        <v>#REF!</v>
      </c>
      <c r="L940" s="199"/>
      <c r="M940" s="199"/>
      <c r="N940" s="199"/>
      <c r="O940" s="199"/>
      <c r="P940" s="199"/>
      <c r="Q940" s="199"/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8692477.5</v>
      </c>
      <c r="H941" s="149">
        <f t="shared" ref="H941:J941" si="266">$G$941*H938</f>
        <v>0</v>
      </c>
      <c r="I941" s="149">
        <f t="shared" si="266"/>
        <v>2781592.8</v>
      </c>
      <c r="J941" s="149">
        <f t="shared" si="266"/>
        <v>1477721.175</v>
      </c>
      <c r="K941" s="199">
        <f>SUM(H941:J941)</f>
        <v>4259313.975</v>
      </c>
      <c r="L941" s="199"/>
      <c r="M941" s="199"/>
      <c r="N941" s="199"/>
      <c r="O941" s="199"/>
      <c r="P941" s="199"/>
      <c r="Q941" s="199"/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49"/>
      <c r="K942" s="160"/>
      <c r="L942" s="160"/>
      <c r="M942" s="160"/>
      <c r="N942" s="160"/>
      <c r="O942" s="160"/>
      <c r="P942" s="160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J943" si="267">$H$936-H940</f>
        <v>28155045</v>
      </c>
      <c r="I943" s="149">
        <f t="shared" si="267"/>
        <v>25367045</v>
      </c>
      <c r="J943" s="149">
        <f t="shared" si="267"/>
        <v>23889045</v>
      </c>
      <c r="K943" s="160"/>
      <c r="L943" s="160"/>
      <c r="M943" s="160"/>
      <c r="N943" s="160"/>
      <c r="O943" s="160"/>
      <c r="P943" s="160"/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K944" si="268">IFERROR(H940/$H$936,0)</f>
        <v>0.3817513175</v>
      </c>
      <c r="I944" s="142">
        <f t="shared" si="268"/>
        <v>0.4429722222</v>
      </c>
      <c r="J944" s="142">
        <f t="shared" si="268"/>
        <v>0.4754272069</v>
      </c>
      <c r="K944" s="200">
        <f t="shared" si="268"/>
        <v>0</v>
      </c>
      <c r="L944" s="200"/>
      <c r="M944" s="200"/>
      <c r="N944" s="200"/>
      <c r="O944" s="200"/>
      <c r="P944" s="200"/>
      <c r="Q944" s="200"/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K945" si="269">IFERROR(1-(H940/$H$936),0)</f>
        <v>0.6182486825</v>
      </c>
      <c r="I945" s="142">
        <f t="shared" si="269"/>
        <v>0.5570277778</v>
      </c>
      <c r="J945" s="142">
        <f t="shared" si="269"/>
        <v>0.5245727931</v>
      </c>
      <c r="K945" s="200">
        <f t="shared" si="269"/>
        <v>0</v>
      </c>
      <c r="L945" s="200"/>
      <c r="M945" s="200"/>
      <c r="N945" s="200"/>
      <c r="O945" s="200"/>
      <c r="P945" s="200"/>
      <c r="Q945" s="200"/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58"/>
      <c r="K946" s="198"/>
      <c r="L946" s="198"/>
      <c r="M946" s="198"/>
      <c r="N946" s="198"/>
      <c r="O946" s="198"/>
      <c r="P946" s="19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J947" si="270">ROUNDUP(H941/H948,0)</f>
        <v>0</v>
      </c>
      <c r="I947" s="190">
        <f t="shared" si="270"/>
        <v>317</v>
      </c>
      <c r="J947" s="190">
        <f t="shared" si="270"/>
        <v>168</v>
      </c>
      <c r="K947" s="201">
        <f>SUM(H947:J947)</f>
        <v>485</v>
      </c>
      <c r="L947" s="201"/>
      <c r="M947" s="201"/>
      <c r="N947" s="201"/>
      <c r="O947" s="201"/>
      <c r="P947" s="201"/>
      <c r="Q947" s="201"/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56">
        <v>8800.0</v>
      </c>
      <c r="K948" s="198"/>
      <c r="L948" s="198"/>
      <c r="M948" s="198"/>
      <c r="N948" s="198"/>
      <c r="O948" s="198"/>
      <c r="P948" s="198"/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J949" si="271">SUM(H963,H966,H969,H972,H975)</f>
        <v>0</v>
      </c>
      <c r="I949" s="188">
        <f t="shared" si="271"/>
        <v>2788000</v>
      </c>
      <c r="J949" s="188">
        <f t="shared" si="271"/>
        <v>1478000</v>
      </c>
      <c r="K949" s="196">
        <f>SUM(H949:J949)</f>
        <v>4266000</v>
      </c>
      <c r="L949" s="160"/>
      <c r="M949" s="160"/>
      <c r="N949" s="160"/>
      <c r="O949" s="160"/>
      <c r="P949" s="160"/>
      <c r="Q949" s="160"/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203">
        <v>0.6</v>
      </c>
      <c r="K950" s="198"/>
      <c r="L950" s="198"/>
      <c r="M950" s="198"/>
      <c r="N950" s="198"/>
      <c r="O950" s="198"/>
      <c r="P950" s="198"/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203">
        <v>0.4</v>
      </c>
      <c r="K951" s="198"/>
      <c r="L951" s="198"/>
      <c r="M951" s="198"/>
      <c r="N951" s="198"/>
      <c r="O951" s="198"/>
      <c r="P951" s="198"/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203">
        <v>0.0</v>
      </c>
      <c r="K952" s="198"/>
      <c r="L952" s="198"/>
      <c r="M952" s="198"/>
      <c r="N952" s="198"/>
      <c r="O952" s="198"/>
      <c r="P952" s="198"/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203">
        <v>0.0</v>
      </c>
      <c r="K953" s="198"/>
      <c r="L953" s="198"/>
      <c r="M953" s="198"/>
      <c r="N953" s="198"/>
      <c r="O953" s="198"/>
      <c r="P953" s="198"/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203">
        <v>0.0</v>
      </c>
      <c r="K954" s="198"/>
      <c r="L954" s="198"/>
      <c r="M954" s="198"/>
      <c r="N954" s="198"/>
      <c r="O954" s="198"/>
      <c r="P954" s="198"/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204">
        <v>8000.0</v>
      </c>
      <c r="K955" s="198"/>
      <c r="L955" s="198"/>
      <c r="M955" s="198"/>
      <c r="N955" s="198"/>
      <c r="O955" s="198"/>
      <c r="P955" s="198"/>
      <c r="Q955" s="198"/>
      <c r="R955" s="198"/>
      <c r="S955" s="198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204">
        <v>10000.0</v>
      </c>
      <c r="K956" s="198"/>
      <c r="L956" s="198"/>
      <c r="M956" s="198"/>
      <c r="N956" s="198"/>
      <c r="O956" s="198"/>
      <c r="P956" s="198"/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204">
        <v>0.0</v>
      </c>
      <c r="K957" s="198"/>
      <c r="L957" s="198"/>
      <c r="M957" s="198"/>
      <c r="N957" s="198"/>
      <c r="O957" s="198"/>
      <c r="P957" s="198"/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204">
        <v>0.0</v>
      </c>
      <c r="K958" s="198"/>
      <c r="L958" s="198"/>
      <c r="M958" s="198"/>
      <c r="N958" s="198"/>
      <c r="O958" s="198"/>
      <c r="P958" s="198"/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204">
        <v>0.0</v>
      </c>
      <c r="K959" s="198"/>
      <c r="L959" s="198"/>
      <c r="M959" s="198"/>
      <c r="N959" s="198"/>
      <c r="O959" s="198"/>
      <c r="P959" s="198"/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62">
        <f>IFERROR(__xludf.DUMMYFUNCTION("MATCH(
  MIN(FILTER(J955:J959,J955:J959&gt;0)),
  J955:J959,
  0
)
"),1.0)</f>
        <v>1</v>
      </c>
      <c r="K960" s="198"/>
      <c r="L960" s="198"/>
      <c r="M960" s="198"/>
      <c r="N960" s="198"/>
      <c r="O960" s="198"/>
      <c r="P960" s="198"/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48"/>
      <c r="K961" s="198"/>
      <c r="L961" s="198"/>
      <c r="M961" s="198"/>
      <c r="N961" s="198"/>
      <c r="O961" s="198"/>
      <c r="P961" s="19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J962" si="272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72"/>
        <v>191</v>
      </c>
      <c r="J962" s="148">
        <f t="shared" si="272"/>
        <v>101</v>
      </c>
      <c r="K962" s="198"/>
      <c r="L962" s="198"/>
      <c r="M962" s="198"/>
      <c r="N962" s="198"/>
      <c r="O962" s="198"/>
      <c r="P962" s="198"/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J963" si="273">(H962*H955)</f>
        <v>0</v>
      </c>
      <c r="I963" s="150">
        <f t="shared" si="273"/>
        <v>1528000</v>
      </c>
      <c r="J963" s="150">
        <f t="shared" si="273"/>
        <v>808000</v>
      </c>
      <c r="K963" s="198"/>
      <c r="L963" s="198"/>
      <c r="M963" s="198"/>
      <c r="N963" s="198"/>
      <c r="O963" s="198"/>
      <c r="P963" s="198"/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48"/>
      <c r="K964" s="198"/>
      <c r="L964" s="198"/>
      <c r="M964" s="198"/>
      <c r="N964" s="198"/>
      <c r="O964" s="198"/>
      <c r="P964" s="19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J965" si="274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74"/>
        <v>126</v>
      </c>
      <c r="J965" s="148">
        <f t="shared" si="274"/>
        <v>67</v>
      </c>
      <c r="K965" s="198"/>
      <c r="L965" s="198"/>
      <c r="M965" s="198"/>
      <c r="N965" s="198"/>
      <c r="O965" s="198"/>
      <c r="P965" s="198"/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J966" si="275">(H956*H965)</f>
        <v>0</v>
      </c>
      <c r="I966" s="150">
        <f t="shared" si="275"/>
        <v>1260000</v>
      </c>
      <c r="J966" s="150">
        <f t="shared" si="275"/>
        <v>670000</v>
      </c>
      <c r="K966" s="198"/>
      <c r="L966" s="198"/>
      <c r="M966" s="198"/>
      <c r="N966" s="198"/>
      <c r="O966" s="198"/>
      <c r="P966" s="198"/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48"/>
      <c r="K967" s="198"/>
      <c r="L967" s="198"/>
      <c r="M967" s="198"/>
      <c r="N967" s="198"/>
      <c r="O967" s="198"/>
      <c r="P967" s="19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J968" si="276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76"/>
        <v>0</v>
      </c>
      <c r="J968" s="148">
        <f t="shared" si="276"/>
        <v>0</v>
      </c>
      <c r="K968" s="198"/>
      <c r="L968" s="198"/>
      <c r="M968" s="198"/>
      <c r="N968" s="198"/>
      <c r="O968" s="198"/>
      <c r="P968" s="198"/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J969" si="277">(H957*H968)</f>
        <v>0</v>
      </c>
      <c r="I969" s="150">
        <f t="shared" si="277"/>
        <v>0</v>
      </c>
      <c r="J969" s="150">
        <f t="shared" si="277"/>
        <v>0</v>
      </c>
      <c r="K969" s="198"/>
      <c r="L969" s="198"/>
      <c r="M969" s="198"/>
      <c r="N969" s="198"/>
      <c r="O969" s="198"/>
      <c r="P969" s="198"/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48"/>
      <c r="K970" s="198"/>
      <c r="L970" s="198"/>
      <c r="M970" s="198"/>
      <c r="N970" s="198"/>
      <c r="O970" s="198"/>
      <c r="P970" s="19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J971" si="278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78"/>
        <v>0</v>
      </c>
      <c r="J971" s="148">
        <f t="shared" si="278"/>
        <v>0</v>
      </c>
      <c r="K971" s="198"/>
      <c r="L971" s="198"/>
      <c r="M971" s="198"/>
      <c r="N971" s="198"/>
      <c r="O971" s="198"/>
      <c r="P971" s="198"/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J972" si="279">(H958*H971)</f>
        <v>0</v>
      </c>
      <c r="I972" s="150">
        <f t="shared" si="279"/>
        <v>0</v>
      </c>
      <c r="J972" s="150">
        <f t="shared" si="279"/>
        <v>0</v>
      </c>
      <c r="K972" s="198"/>
      <c r="L972" s="198"/>
      <c r="M972" s="198"/>
      <c r="N972" s="198"/>
      <c r="O972" s="198"/>
      <c r="P972" s="198"/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48"/>
      <c r="K973" s="198"/>
      <c r="L973" s="198"/>
      <c r="M973" s="198"/>
      <c r="N973" s="198"/>
      <c r="O973" s="198"/>
      <c r="P973" s="19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J974" si="280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80"/>
        <v>0</v>
      </c>
      <c r="J974" s="148">
        <f t="shared" si="280"/>
        <v>0</v>
      </c>
      <c r="K974" s="198"/>
      <c r="L974" s="198"/>
      <c r="M974" s="198"/>
      <c r="N974" s="198"/>
      <c r="O974" s="198"/>
      <c r="P974" s="198"/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J975" si="281">(H959*H974)</f>
        <v>0</v>
      </c>
      <c r="I975" s="150">
        <f t="shared" si="281"/>
        <v>0</v>
      </c>
      <c r="J975" s="150">
        <f t="shared" si="281"/>
        <v>0</v>
      </c>
      <c r="K975" s="198"/>
      <c r="L975" s="198"/>
      <c r="M975" s="198"/>
      <c r="N975" s="198"/>
      <c r="O975" s="198"/>
      <c r="P975" s="198"/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60"/>
      <c r="K976" s="198"/>
      <c r="L976" s="198"/>
      <c r="M976" s="198"/>
      <c r="N976" s="198"/>
      <c r="O976" s="198"/>
      <c r="P976" s="198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239</v>
      </c>
      <c r="I978" s="206"/>
      <c r="J978" s="206"/>
      <c r="K978" s="198"/>
      <c r="L978" s="198"/>
      <c r="M978" s="198"/>
      <c r="N978" s="198"/>
      <c r="O978" s="198"/>
      <c r="P978" s="198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0.5089707113</v>
      </c>
      <c r="H979" s="149">
        <f>SUM($H$520)</f>
        <v>6082200</v>
      </c>
      <c r="I979" s="149"/>
      <c r="J979" s="149"/>
      <c r="K979" s="160"/>
      <c r="L979" s="160"/>
      <c r="M979" s="160"/>
      <c r="N979" s="160"/>
      <c r="O979" s="160"/>
      <c r="P979" s="160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56"/>
      <c r="K980" s="160"/>
      <c r="L980" s="160"/>
      <c r="M980" s="160"/>
      <c r="N980" s="160"/>
      <c r="O980" s="160"/>
      <c r="P980" s="160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11950000</v>
      </c>
      <c r="I981" s="149"/>
      <c r="J981" s="149"/>
      <c r="K981" s="160"/>
      <c r="L981" s="160"/>
      <c r="M981" s="160"/>
      <c r="N981" s="160"/>
      <c r="O981" s="160"/>
      <c r="P981" s="160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49"/>
      <c r="K982" s="160"/>
      <c r="L982" s="160"/>
      <c r="M982" s="160"/>
      <c r="N982" s="160"/>
      <c r="O982" s="160"/>
      <c r="P982" s="160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0.7634560669</v>
      </c>
      <c r="H983" s="219">
        <v>0.0</v>
      </c>
      <c r="I983" s="213">
        <v>0.32</v>
      </c>
      <c r="J983" s="213">
        <v>0.17</v>
      </c>
      <c r="K983" s="160"/>
      <c r="L983" s="160"/>
      <c r="M983" s="160"/>
      <c r="N983" s="160"/>
      <c r="O983" s="160"/>
      <c r="P983" s="160"/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9123300</v>
      </c>
      <c r="H984" s="19"/>
      <c r="I984" s="19"/>
      <c r="J984" s="19"/>
      <c r="K984" s="16"/>
      <c r="L984" s="16"/>
      <c r="M984" s="16"/>
      <c r="N984" s="16"/>
      <c r="O984" s="16"/>
      <c r="P984" s="16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6082200</v>
      </c>
      <c r="I985" s="149">
        <f t="shared" ref="I985:J985" si="282">H985+I994</f>
        <v>7060200</v>
      </c>
      <c r="J985" s="149">
        <f t="shared" si="282"/>
        <v>7578200</v>
      </c>
      <c r="K985" s="199" t="str">
        <f>#REF!</f>
        <v>#REF!</v>
      </c>
      <c r="L985" s="199"/>
      <c r="M985" s="199"/>
      <c r="N985" s="199"/>
      <c r="O985" s="199"/>
      <c r="P985" s="199"/>
      <c r="Q985" s="199"/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3041100</v>
      </c>
      <c r="H986" s="149">
        <f t="shared" ref="H986:J986" si="283">$G$986*H983</f>
        <v>0</v>
      </c>
      <c r="I986" s="149">
        <f t="shared" si="283"/>
        <v>973152</v>
      </c>
      <c r="J986" s="149">
        <f t="shared" si="283"/>
        <v>516987</v>
      </c>
      <c r="K986" s="199">
        <f>SUM(H986:J986)</f>
        <v>1490139</v>
      </c>
      <c r="L986" s="199"/>
      <c r="M986" s="199"/>
      <c r="N986" s="199"/>
      <c r="O986" s="199"/>
      <c r="P986" s="199"/>
      <c r="Q986" s="199"/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49"/>
      <c r="K987" s="160"/>
      <c r="L987" s="160"/>
      <c r="M987" s="160"/>
      <c r="N987" s="160"/>
      <c r="O987" s="160"/>
      <c r="P987" s="160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J988" si="284">$H$981-H985</f>
        <v>5867800</v>
      </c>
      <c r="I988" s="149">
        <f t="shared" si="284"/>
        <v>4889800</v>
      </c>
      <c r="J988" s="149">
        <f t="shared" si="284"/>
        <v>4371800</v>
      </c>
      <c r="K988" s="160"/>
      <c r="L988" s="160"/>
      <c r="M988" s="160"/>
      <c r="N988" s="160"/>
      <c r="O988" s="160"/>
      <c r="P988" s="160"/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J989" si="285">IFERROR(SUM(H994,H979)/$H$981,0)</f>
        <v>0.5089707113</v>
      </c>
      <c r="I989" s="142">
        <f t="shared" si="285"/>
        <v>0.08184100418</v>
      </c>
      <c r="J989" s="142">
        <f t="shared" si="285"/>
        <v>0.04334728033</v>
      </c>
      <c r="K989" s="200">
        <f>IFERROR(K985/$H$981,0)</f>
        <v>0</v>
      </c>
      <c r="L989" s="200"/>
      <c r="M989" s="200"/>
      <c r="N989" s="200"/>
      <c r="O989" s="200"/>
      <c r="P989" s="200"/>
      <c r="Q989" s="200"/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J990" si="286">IFERROR(1-(H979/$H$981),0)</f>
        <v>0.4910292887</v>
      </c>
      <c r="I990" s="216">
        <f t="shared" si="286"/>
        <v>1</v>
      </c>
      <c r="J990" s="216">
        <f t="shared" si="286"/>
        <v>1</v>
      </c>
      <c r="K990" s="200">
        <f>IFERROR(1-(K985/$H$981),0)</f>
        <v>0</v>
      </c>
      <c r="L990" s="200"/>
      <c r="M990" s="200"/>
      <c r="N990" s="200"/>
      <c r="O990" s="200"/>
      <c r="P990" s="200"/>
      <c r="Q990" s="200"/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207"/>
      <c r="K991" s="198"/>
      <c r="L991" s="198"/>
      <c r="M991" s="198"/>
      <c r="N991" s="198"/>
      <c r="O991" s="198"/>
      <c r="P991" s="198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J992" si="287">ROUNDUP(H986/H993,0)</f>
        <v>0</v>
      </c>
      <c r="I992" s="190">
        <f t="shared" si="287"/>
        <v>136</v>
      </c>
      <c r="J992" s="190">
        <f t="shared" si="287"/>
        <v>72</v>
      </c>
      <c r="K992" s="201">
        <f>SUM(H992:J992)</f>
        <v>208</v>
      </c>
      <c r="L992" s="201"/>
      <c r="M992" s="201"/>
      <c r="N992" s="201"/>
      <c r="O992" s="201"/>
      <c r="P992" s="201"/>
      <c r="Q992" s="201"/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56">
        <v>7200.0</v>
      </c>
      <c r="K993" s="198"/>
      <c r="L993" s="198"/>
      <c r="M993" s="198"/>
      <c r="N993" s="198"/>
      <c r="O993" s="198"/>
      <c r="P993" s="198"/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J994" si="288">SUM(H1008,H1011,H1014,H1017,H1020)</f>
        <v>0</v>
      </c>
      <c r="I994" s="188">
        <f t="shared" si="288"/>
        <v>978000</v>
      </c>
      <c r="J994" s="188">
        <f t="shared" si="288"/>
        <v>518000</v>
      </c>
      <c r="K994" s="196">
        <f>SUM(H994:J994)</f>
        <v>1496000</v>
      </c>
      <c r="L994" s="160"/>
      <c r="M994" s="160"/>
      <c r="N994" s="160"/>
      <c r="O994" s="160"/>
      <c r="P994" s="160"/>
      <c r="Q994" s="160"/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203">
        <v>0.6</v>
      </c>
      <c r="K995" s="198"/>
      <c r="L995" s="198"/>
      <c r="M995" s="198"/>
      <c r="N995" s="198"/>
      <c r="O995" s="198"/>
      <c r="P995" s="198"/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203">
        <v>0.4</v>
      </c>
      <c r="K996" s="198"/>
      <c r="L996" s="198"/>
      <c r="M996" s="198"/>
      <c r="N996" s="198"/>
      <c r="O996" s="198"/>
      <c r="P996" s="198"/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203">
        <v>0.0</v>
      </c>
      <c r="K997" s="198"/>
      <c r="L997" s="198"/>
      <c r="M997" s="198"/>
      <c r="N997" s="198"/>
      <c r="O997" s="198"/>
      <c r="P997" s="198"/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203">
        <v>0.0</v>
      </c>
      <c r="K998" s="198"/>
      <c r="L998" s="198"/>
      <c r="M998" s="198"/>
      <c r="N998" s="198"/>
      <c r="O998" s="198"/>
      <c r="P998" s="198"/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203">
        <v>0.0</v>
      </c>
      <c r="K999" s="198"/>
      <c r="L999" s="198"/>
      <c r="M999" s="198"/>
      <c r="N999" s="198"/>
      <c r="O999" s="198"/>
      <c r="P999" s="198"/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204">
        <v>8000.0</v>
      </c>
      <c r="K1000" s="198"/>
      <c r="L1000" s="198"/>
      <c r="M1000" s="198"/>
      <c r="N1000" s="198"/>
      <c r="O1000" s="198"/>
      <c r="P1000" s="198"/>
      <c r="Q1000" s="198"/>
      <c r="R1000" s="198"/>
      <c r="S1000" s="198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204">
        <v>6000.0</v>
      </c>
      <c r="K1001" s="198"/>
      <c r="L1001" s="198"/>
      <c r="M1001" s="198"/>
      <c r="N1001" s="198"/>
      <c r="O1001" s="198"/>
      <c r="P1001" s="198"/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204">
        <v>0.0</v>
      </c>
      <c r="K1002" s="198"/>
      <c r="L1002" s="198"/>
      <c r="M1002" s="198"/>
      <c r="N1002" s="198"/>
      <c r="O1002" s="198"/>
      <c r="P1002" s="198"/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204">
        <v>0.0</v>
      </c>
      <c r="K1003" s="198"/>
      <c r="L1003" s="198"/>
      <c r="M1003" s="198"/>
      <c r="N1003" s="198"/>
      <c r="O1003" s="198"/>
      <c r="P1003" s="198"/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204">
        <v>0.0</v>
      </c>
      <c r="K1004" s="198"/>
      <c r="L1004" s="198"/>
      <c r="M1004" s="198"/>
      <c r="N1004" s="198"/>
      <c r="O1004" s="198"/>
      <c r="P1004" s="198"/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62">
        <f>IFERROR(__xludf.DUMMYFUNCTION("MATCH(
  MIN(FILTER(J1000:J1004,J1000:J1004&gt;0)),
  J1000:J1004,
  0
)
"),2.0)</f>
        <v>2</v>
      </c>
      <c r="K1005" s="198"/>
      <c r="L1005" s="198"/>
      <c r="M1005" s="198"/>
      <c r="N1005" s="198"/>
      <c r="O1005" s="198"/>
      <c r="P1005" s="198"/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48"/>
      <c r="K1006" s="198"/>
      <c r="L1006" s="198"/>
      <c r="M1006" s="198"/>
      <c r="N1006" s="198"/>
      <c r="O1006" s="198"/>
      <c r="P1006" s="19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J1007" si="289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89"/>
        <v>81</v>
      </c>
      <c r="J1007" s="148">
        <f t="shared" si="289"/>
        <v>43</v>
      </c>
      <c r="K1007" s="198"/>
      <c r="L1007" s="198"/>
      <c r="M1007" s="198"/>
      <c r="N1007" s="198"/>
      <c r="O1007" s="198"/>
      <c r="P1007" s="198"/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J1008" si="290">(H1007*H1000)</f>
        <v>0</v>
      </c>
      <c r="I1008" s="150">
        <f t="shared" si="290"/>
        <v>648000</v>
      </c>
      <c r="J1008" s="150">
        <f t="shared" si="290"/>
        <v>344000</v>
      </c>
      <c r="K1008" s="198"/>
      <c r="L1008" s="198"/>
      <c r="M1008" s="198"/>
      <c r="N1008" s="198"/>
      <c r="O1008" s="198"/>
      <c r="P1008" s="198"/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48"/>
      <c r="K1009" s="198"/>
      <c r="L1009" s="198"/>
      <c r="M1009" s="198"/>
      <c r="N1009" s="198"/>
      <c r="O1009" s="198"/>
      <c r="P1009" s="19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J1010" si="291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91"/>
        <v>55</v>
      </c>
      <c r="J1010" s="148">
        <f t="shared" si="291"/>
        <v>29</v>
      </c>
      <c r="K1010" s="198"/>
      <c r="L1010" s="198"/>
      <c r="M1010" s="198"/>
      <c r="N1010" s="198"/>
      <c r="O1010" s="198"/>
      <c r="P1010" s="198"/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J1011" si="292">(H1001*H1010)</f>
        <v>0</v>
      </c>
      <c r="I1011" s="150">
        <f t="shared" si="292"/>
        <v>330000</v>
      </c>
      <c r="J1011" s="150">
        <f t="shared" si="292"/>
        <v>174000</v>
      </c>
      <c r="K1011" s="198"/>
      <c r="L1011" s="198"/>
      <c r="M1011" s="198"/>
      <c r="N1011" s="198"/>
      <c r="O1011" s="198"/>
      <c r="P1011" s="198"/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48"/>
      <c r="K1012" s="198"/>
      <c r="L1012" s="198"/>
      <c r="M1012" s="198"/>
      <c r="N1012" s="198"/>
      <c r="O1012" s="198"/>
      <c r="P1012" s="19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J1013" si="293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93"/>
        <v>0</v>
      </c>
      <c r="J1013" s="148">
        <f t="shared" si="293"/>
        <v>0</v>
      </c>
      <c r="K1013" s="198"/>
      <c r="L1013" s="198"/>
      <c r="M1013" s="198"/>
      <c r="N1013" s="198"/>
      <c r="O1013" s="198"/>
      <c r="P1013" s="198"/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J1014" si="294">(H1002*H1013)</f>
        <v>0</v>
      </c>
      <c r="I1014" s="150">
        <f t="shared" si="294"/>
        <v>0</v>
      </c>
      <c r="J1014" s="150">
        <f t="shared" si="294"/>
        <v>0</v>
      </c>
      <c r="K1014" s="198"/>
      <c r="L1014" s="198"/>
      <c r="M1014" s="198"/>
      <c r="N1014" s="198"/>
      <c r="O1014" s="198"/>
      <c r="P1014" s="198"/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48"/>
      <c r="K1015" s="198"/>
      <c r="L1015" s="198"/>
      <c r="M1015" s="198"/>
      <c r="N1015" s="198"/>
      <c r="O1015" s="198"/>
      <c r="P1015" s="19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J1016" si="295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295"/>
        <v>0</v>
      </c>
      <c r="J1016" s="148">
        <f t="shared" si="295"/>
        <v>0</v>
      </c>
      <c r="K1016" s="198"/>
      <c r="L1016" s="198"/>
      <c r="M1016" s="198"/>
      <c r="N1016" s="198"/>
      <c r="O1016" s="198"/>
      <c r="P1016" s="198"/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J1017" si="296">(H1003*H1016)</f>
        <v>0</v>
      </c>
      <c r="I1017" s="150">
        <f t="shared" si="296"/>
        <v>0</v>
      </c>
      <c r="J1017" s="150">
        <f t="shared" si="296"/>
        <v>0</v>
      </c>
      <c r="K1017" s="198"/>
      <c r="L1017" s="198"/>
      <c r="M1017" s="198"/>
      <c r="N1017" s="198"/>
      <c r="O1017" s="198"/>
      <c r="P1017" s="198"/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48"/>
      <c r="K1018" s="198"/>
      <c r="L1018" s="198"/>
      <c r="M1018" s="198"/>
      <c r="N1018" s="198"/>
      <c r="O1018" s="198"/>
      <c r="P1018" s="19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J1019" si="297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297"/>
        <v>0</v>
      </c>
      <c r="J1019" s="148">
        <f t="shared" si="297"/>
        <v>0</v>
      </c>
      <c r="K1019" s="198"/>
      <c r="L1019" s="198"/>
      <c r="M1019" s="198"/>
      <c r="N1019" s="198"/>
      <c r="O1019" s="198"/>
      <c r="P1019" s="198"/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J1020" si="298">(H1004*H1019)</f>
        <v>0</v>
      </c>
      <c r="I1020" s="150">
        <f t="shared" si="298"/>
        <v>0</v>
      </c>
      <c r="J1020" s="150">
        <f t="shared" si="298"/>
        <v>0</v>
      </c>
      <c r="K1020" s="198"/>
      <c r="L1020" s="198"/>
      <c r="M1020" s="198"/>
      <c r="N1020" s="198"/>
      <c r="O1020" s="198"/>
      <c r="P1020" s="198"/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60"/>
      <c r="K1021" s="198"/>
      <c r="L1021" s="198"/>
      <c r="M1021" s="198"/>
      <c r="N1021" s="198"/>
      <c r="O1021" s="198"/>
      <c r="P1021" s="198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"/>
      <c r="L1022" s="1"/>
      <c r="M1022" s="1"/>
      <c r="N1022" s="1"/>
      <c r="O1022" s="1"/>
      <c r="P1022" s="1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78"/>
      <c r="K1023" s="1"/>
      <c r="L1023" s="1"/>
      <c r="M1023" s="1"/>
      <c r="N1023" s="1"/>
      <c r="O1023" s="1"/>
      <c r="P1023" s="1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J1024" si="299">SUM(H1027,H1064,H1081,)</f>
        <v>51474400</v>
      </c>
      <c r="I1024" s="173">
        <f t="shared" si="299"/>
        <v>8998650</v>
      </c>
      <c r="J1024" s="173">
        <f t="shared" si="299"/>
        <v>5893115</v>
      </c>
      <c r="K1024" s="223">
        <f>SUM(H1024:J1024)</f>
        <v>66366165</v>
      </c>
      <c r="L1024" s="223"/>
      <c r="M1024" s="223"/>
      <c r="N1024" s="223"/>
      <c r="O1024" s="223"/>
      <c r="P1024" s="223"/>
      <c r="Q1024" s="223"/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63"/>
      <c r="K1025" s="1"/>
      <c r="L1025" s="1"/>
      <c r="M1025" s="1"/>
      <c r="N1025" s="1"/>
      <c r="O1025" s="1"/>
      <c r="P1025" s="1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63"/>
      <c r="K1026" s="1"/>
      <c r="L1026" s="1"/>
      <c r="M1026" s="1"/>
      <c r="N1026" s="1"/>
      <c r="O1026" s="1"/>
      <c r="P1026" s="1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J1027" si="300">SUM(H1029,H1036,H1043,H1050,H1057,)</f>
        <v>51442900</v>
      </c>
      <c r="I1027" s="178">
        <f t="shared" si="300"/>
        <v>0</v>
      </c>
      <c r="J1027" s="178">
        <f t="shared" si="300"/>
        <v>0</v>
      </c>
      <c r="K1027" s="223">
        <f>SUM(H1027:J1027)</f>
        <v>51442900</v>
      </c>
      <c r="L1027" s="223"/>
      <c r="M1027" s="223"/>
      <c r="N1027" s="223"/>
      <c r="O1027" s="223"/>
      <c r="P1027" s="223"/>
      <c r="Q1027" s="223"/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178"/>
      <c r="K1028" s="223"/>
      <c r="L1028" s="223"/>
      <c r="M1028" s="223"/>
      <c r="N1028" s="223"/>
      <c r="O1028" s="223"/>
      <c r="P1028" s="223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J1029" si="301">SUM(H1030:H1034)</f>
        <v>4291400</v>
      </c>
      <c r="I1029" s="178">
        <f t="shared" si="301"/>
        <v>0</v>
      </c>
      <c r="J1029" s="178">
        <f t="shared" si="301"/>
        <v>0</v>
      </c>
      <c r="K1029" s="1"/>
      <c r="L1029" s="1"/>
      <c r="M1029" s="1"/>
      <c r="N1029" s="1"/>
      <c r="O1029" s="1"/>
      <c r="P1029" s="1"/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3150000</v>
      </c>
      <c r="I1030" s="178" t="str">
        <f t="shared" ref="I1030:J1030" si="302">I428</f>
        <v/>
      </c>
      <c r="J1030" s="178" t="str">
        <f t="shared" si="302"/>
        <v/>
      </c>
      <c r="K1030" s="1"/>
      <c r="L1030" s="1"/>
      <c r="M1030" s="1"/>
      <c r="N1030" s="1"/>
      <c r="O1030" s="1"/>
      <c r="P1030" s="1"/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126400</v>
      </c>
      <c r="I1031" s="178" t="str">
        <f t="shared" ref="I1031:J1031" si="303">I430</f>
        <v/>
      </c>
      <c r="J1031" s="178" t="str">
        <f t="shared" si="303"/>
        <v/>
      </c>
      <c r="K1031" s="1"/>
      <c r="L1031" s="1"/>
      <c r="M1031" s="1"/>
      <c r="N1031" s="1"/>
      <c r="O1031" s="1"/>
      <c r="P1031" s="1"/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 t="shared" ref="I1032:J1032" si="304">I432</f>
        <v/>
      </c>
      <c r="J1032" s="178" t="str">
        <f t="shared" si="304"/>
        <v/>
      </c>
      <c r="K1032" s="1"/>
      <c r="L1032" s="1"/>
      <c r="M1032" s="1"/>
      <c r="N1032" s="1"/>
      <c r="O1032" s="1"/>
      <c r="P1032" s="1"/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1015000</v>
      </c>
      <c r="I1033" s="178" t="str">
        <f t="shared" ref="I1033:J1033" si="305">I434</f>
        <v/>
      </c>
      <c r="J1033" s="178" t="str">
        <f t="shared" si="305"/>
        <v/>
      </c>
      <c r="K1033" s="1"/>
      <c r="L1033" s="1"/>
      <c r="M1033" s="1"/>
      <c r="N1033" s="1"/>
      <c r="O1033" s="1"/>
      <c r="P1033" s="1"/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 t="shared" ref="I1034:J1034" si="306">I436</f>
        <v/>
      </c>
      <c r="J1034" s="178" t="str">
        <f t="shared" si="306"/>
        <v/>
      </c>
      <c r="K1034" s="1"/>
      <c r="L1034" s="1"/>
      <c r="M1034" s="1"/>
      <c r="N1034" s="1"/>
      <c r="O1034" s="1"/>
      <c r="P1034" s="1"/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78"/>
      <c r="K1035" s="1"/>
      <c r="L1035" s="1"/>
      <c r="M1035" s="1"/>
      <c r="N1035" s="1"/>
      <c r="O1035" s="1"/>
      <c r="P1035" s="1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J1036" si="307">SUM(H1037:H1041)</f>
        <v>4377000</v>
      </c>
      <c r="I1036" s="178">
        <f t="shared" si="307"/>
        <v>0</v>
      </c>
      <c r="J1036" s="178">
        <f t="shared" si="307"/>
        <v>0</v>
      </c>
      <c r="K1036" s="1"/>
      <c r="L1036" s="1"/>
      <c r="M1036" s="1"/>
      <c r="N1036" s="1"/>
      <c r="O1036" s="1"/>
      <c r="P1036" s="1"/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3360000</v>
      </c>
      <c r="I1037" s="178" t="str">
        <f t="shared" ref="I1037:J1037" si="308">I454</f>
        <v/>
      </c>
      <c r="J1037" s="178" t="str">
        <f t="shared" si="308"/>
        <v/>
      </c>
      <c r="K1037" s="1"/>
      <c r="L1037" s="1"/>
      <c r="M1037" s="1"/>
      <c r="N1037" s="1"/>
      <c r="O1037" s="1"/>
      <c r="P1037" s="1"/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126000</v>
      </c>
      <c r="I1038" s="178" t="str">
        <f t="shared" ref="I1038:J1038" si="309">I456</f>
        <v/>
      </c>
      <c r="J1038" s="178" t="str">
        <f t="shared" si="309"/>
        <v/>
      </c>
      <c r="K1038" s="1"/>
      <c r="L1038" s="1"/>
      <c r="M1038" s="1"/>
      <c r="N1038" s="1"/>
      <c r="O1038" s="1"/>
      <c r="P1038" s="1"/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 t="shared" ref="I1039:J1039" si="310">I458</f>
        <v/>
      </c>
      <c r="J1039" s="178" t="str">
        <f t="shared" si="310"/>
        <v/>
      </c>
      <c r="K1039" s="1"/>
      <c r="L1039" s="1"/>
      <c r="M1039" s="1"/>
      <c r="N1039" s="1"/>
      <c r="O1039" s="1"/>
      <c r="P1039" s="1"/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891000</v>
      </c>
      <c r="I1040" s="178" t="str">
        <f t="shared" ref="I1040:J1040" si="311">I460</f>
        <v/>
      </c>
      <c r="J1040" s="178" t="str">
        <f t="shared" si="311"/>
        <v/>
      </c>
      <c r="K1040" s="1"/>
      <c r="L1040" s="1"/>
      <c r="M1040" s="1"/>
      <c r="N1040" s="1"/>
      <c r="O1040" s="1"/>
      <c r="P1040" s="1"/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 t="shared" ref="I1041:J1041" si="312">I462</f>
        <v/>
      </c>
      <c r="J1041" s="178" t="str">
        <f t="shared" si="312"/>
        <v/>
      </c>
      <c r="K1041" s="1"/>
      <c r="L1041" s="1"/>
      <c r="M1041" s="1"/>
      <c r="N1041" s="1"/>
      <c r="O1041" s="1"/>
      <c r="P1041" s="1"/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78"/>
      <c r="K1042" s="1"/>
      <c r="L1042" s="1"/>
      <c r="M1042" s="1"/>
      <c r="N1042" s="1"/>
      <c r="O1042" s="1"/>
      <c r="P1042" s="1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J1043" si="313">SUM(H1044:H1048)</f>
        <v>17541000</v>
      </c>
      <c r="I1043" s="178">
        <f t="shared" si="313"/>
        <v>0</v>
      </c>
      <c r="J1043" s="178">
        <f t="shared" si="313"/>
        <v>0</v>
      </c>
      <c r="K1043" s="1"/>
      <c r="L1043" s="1"/>
      <c r="M1043" s="1"/>
      <c r="N1043" s="1"/>
      <c r="O1043" s="1"/>
      <c r="P1043" s="1"/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13800000</v>
      </c>
      <c r="I1044" s="178"/>
      <c r="J1044" s="178"/>
      <c r="K1044" s="1"/>
      <c r="L1044" s="1"/>
      <c r="M1044" s="1"/>
      <c r="N1044" s="1"/>
      <c r="O1044" s="1"/>
      <c r="P1044" s="1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360000</v>
      </c>
      <c r="I1045" s="178"/>
      <c r="J1045" s="178"/>
      <c r="K1045" s="1"/>
      <c r="L1045" s="1"/>
      <c r="M1045" s="1"/>
      <c r="N1045" s="1"/>
      <c r="O1045" s="1"/>
      <c r="P1045" s="1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78"/>
      <c r="K1046" s="1"/>
      <c r="L1046" s="1"/>
      <c r="M1046" s="1"/>
      <c r="N1046" s="1"/>
      <c r="O1046" s="1"/>
      <c r="P1046" s="1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3381000</v>
      </c>
      <c r="I1047" s="178"/>
      <c r="J1047" s="178"/>
      <c r="K1047" s="1"/>
      <c r="L1047" s="1"/>
      <c r="M1047" s="1"/>
      <c r="N1047" s="1"/>
      <c r="O1047" s="1"/>
      <c r="P1047" s="1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78"/>
      <c r="K1048" s="1"/>
      <c r="L1048" s="1"/>
      <c r="M1048" s="1"/>
      <c r="N1048" s="1"/>
      <c r="O1048" s="1"/>
      <c r="P1048" s="1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78"/>
      <c r="K1049" s="1"/>
      <c r="L1049" s="1"/>
      <c r="M1049" s="1"/>
      <c r="N1049" s="1"/>
      <c r="O1049" s="1"/>
      <c r="P1049" s="1"/>
      <c r="Q1049" s="1"/>
      <c r="R1049" s="1"/>
      <c r="S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J1050" si="314">SUM(H1051:H1055)</f>
        <v>18693500</v>
      </c>
      <c r="I1050" s="178">
        <f t="shared" si="314"/>
        <v>0</v>
      </c>
      <c r="J1050" s="178">
        <f t="shared" si="314"/>
        <v>0</v>
      </c>
      <c r="K1050" s="1"/>
      <c r="L1050" s="1"/>
      <c r="M1050" s="1"/>
      <c r="N1050" s="1"/>
      <c r="O1050" s="1"/>
      <c r="P1050" s="1"/>
      <c r="Q1050" s="1"/>
      <c r="R1050" s="1"/>
      <c r="S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17440000</v>
      </c>
      <c r="I1051" s="178"/>
      <c r="J1051" s="178"/>
      <c r="K1051" s="1"/>
      <c r="L1051" s="1"/>
      <c r="M1051" s="1"/>
      <c r="N1051" s="1"/>
      <c r="O1051" s="1"/>
      <c r="P1051" s="1"/>
      <c r="Q1051" s="1"/>
      <c r="R1051" s="1"/>
      <c r="S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1253500</v>
      </c>
      <c r="I1052" s="178"/>
      <c r="J1052" s="178"/>
      <c r="K1052" s="1"/>
      <c r="L1052" s="1"/>
      <c r="M1052" s="1"/>
      <c r="N1052" s="1"/>
      <c r="O1052" s="1"/>
      <c r="P1052" s="1"/>
      <c r="Q1052" s="1"/>
      <c r="R1052" s="1"/>
      <c r="S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78"/>
      <c r="K1053" s="1"/>
      <c r="L1053" s="1"/>
      <c r="M1053" s="1"/>
      <c r="N1053" s="1"/>
      <c r="O1053" s="1"/>
      <c r="P1053" s="1"/>
      <c r="Q1053" s="1"/>
      <c r="R1053" s="1"/>
      <c r="S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78"/>
      <c r="K1054" s="1"/>
      <c r="L1054" s="1"/>
      <c r="M1054" s="1"/>
      <c r="N1054" s="1"/>
      <c r="O1054" s="1"/>
      <c r="P1054" s="1"/>
      <c r="Q1054" s="1"/>
      <c r="R1054" s="1"/>
      <c r="S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78"/>
      <c r="K1055" s="1"/>
      <c r="L1055" s="1"/>
      <c r="M1055" s="1"/>
      <c r="N1055" s="1"/>
      <c r="O1055" s="1"/>
      <c r="P1055" s="1"/>
      <c r="Q1055" s="1"/>
      <c r="R1055" s="1"/>
      <c r="S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78"/>
      <c r="K1056" s="1"/>
      <c r="L1056" s="1"/>
      <c r="M1056" s="1"/>
      <c r="N1056" s="1"/>
      <c r="O1056" s="1"/>
      <c r="P1056" s="1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J1057" si="315">SUM(H1058:H1062)</f>
        <v>6540000</v>
      </c>
      <c r="I1057" s="178">
        <f t="shared" si="315"/>
        <v>0</v>
      </c>
      <c r="J1057" s="178">
        <f t="shared" si="315"/>
        <v>0</v>
      </c>
      <c r="K1057" s="1"/>
      <c r="L1057" s="1"/>
      <c r="M1057" s="1"/>
      <c r="N1057" s="1"/>
      <c r="O1057" s="1"/>
      <c r="P1057" s="1"/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6150000</v>
      </c>
      <c r="I1058" s="178"/>
      <c r="J1058" s="178"/>
      <c r="K1058" s="1"/>
      <c r="L1058" s="1"/>
      <c r="M1058" s="1"/>
      <c r="N1058" s="1"/>
      <c r="O1058" s="1"/>
      <c r="P1058" s="1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390000</v>
      </c>
      <c r="I1059" s="178"/>
      <c r="J1059" s="178"/>
      <c r="K1059" s="1"/>
      <c r="L1059" s="1"/>
      <c r="M1059" s="1"/>
      <c r="N1059" s="1"/>
      <c r="O1059" s="1"/>
      <c r="P1059" s="1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78"/>
      <c r="K1060" s="1"/>
      <c r="L1060" s="1"/>
      <c r="M1060" s="1"/>
      <c r="N1060" s="1"/>
      <c r="O1060" s="1"/>
      <c r="P1060" s="1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78"/>
      <c r="K1061" s="1"/>
      <c r="L1061" s="1"/>
      <c r="M1061" s="1"/>
      <c r="N1061" s="1"/>
      <c r="O1061" s="1"/>
      <c r="P1061" s="1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78"/>
      <c r="K1062" s="1"/>
      <c r="L1062" s="1"/>
      <c r="M1062" s="1"/>
      <c r="N1062" s="1"/>
      <c r="O1062" s="1"/>
      <c r="P1062" s="1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78"/>
      <c r="K1063" s="1"/>
      <c r="L1063" s="1"/>
      <c r="M1063" s="1"/>
      <c r="N1063" s="1"/>
      <c r="O1063" s="1"/>
      <c r="P1063" s="1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J1064" si="316">SUM(H1066,H1071,H1076,)</f>
        <v>31500</v>
      </c>
      <c r="I1064" s="178">
        <f t="shared" si="316"/>
        <v>34650</v>
      </c>
      <c r="J1064" s="178">
        <f t="shared" si="316"/>
        <v>38115</v>
      </c>
      <c r="K1064" s="223">
        <f>SUM(H1064:J1064)</f>
        <v>104265</v>
      </c>
      <c r="L1064" s="223"/>
      <c r="M1064" s="223"/>
      <c r="N1064" s="223"/>
      <c r="O1064" s="223"/>
      <c r="P1064" s="223"/>
      <c r="Q1064" s="223"/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178"/>
      <c r="K1065" s="223"/>
      <c r="L1065" s="223"/>
      <c r="M1065" s="223"/>
      <c r="N1065" s="223"/>
      <c r="O1065" s="223"/>
      <c r="P1065" s="223"/>
      <c r="Q1065" s="223"/>
      <c r="R1065" s="223"/>
      <c r="S1065" s="223"/>
    </row>
    <row r="1066" collapsed="1">
      <c r="A1066" s="1"/>
      <c r="B1066" s="1"/>
      <c r="C1066" s="1"/>
      <c r="D1066" s="1"/>
      <c r="E1066" s="13" t="s">
        <v>46</v>
      </c>
      <c r="G1066" s="178"/>
      <c r="H1066" s="178">
        <f t="shared" ref="H1066:J1066" si="317">SUM(H1067:H1069)</f>
        <v>13500</v>
      </c>
      <c r="I1066" s="178">
        <f t="shared" si="317"/>
        <v>14850</v>
      </c>
      <c r="J1066" s="178">
        <f t="shared" si="317"/>
        <v>16335</v>
      </c>
      <c r="K1066" s="1"/>
      <c r="L1066" s="1"/>
      <c r="M1066" s="1"/>
      <c r="N1066" s="1"/>
      <c r="O1066" s="1"/>
      <c r="P1066" s="1"/>
      <c r="Q1066" s="1"/>
      <c r="R1066" s="1"/>
      <c r="S1066" s="1"/>
    </row>
    <row r="1067" hidden="1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J1067" si="318">H571</f>
        <v>0</v>
      </c>
      <c r="I1067" s="178">
        <f t="shared" si="318"/>
        <v>0</v>
      </c>
      <c r="J1067" s="178">
        <f t="shared" si="318"/>
        <v>0</v>
      </c>
      <c r="K1067" s="1"/>
      <c r="L1067" s="1"/>
      <c r="M1067" s="1"/>
      <c r="N1067" s="1"/>
      <c r="O1067" s="1"/>
      <c r="P1067" s="1"/>
      <c r="Q1067" s="1"/>
      <c r="R1067" s="1"/>
      <c r="S1067" s="1"/>
    </row>
    <row r="1068" hidden="1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J1068" si="319">H605</f>
        <v>0</v>
      </c>
      <c r="I1068" s="178">
        <f t="shared" si="319"/>
        <v>0</v>
      </c>
      <c r="J1068" s="178">
        <f t="shared" si="319"/>
        <v>0</v>
      </c>
      <c r="K1068" s="1"/>
      <c r="L1068" s="1"/>
      <c r="M1068" s="1"/>
      <c r="N1068" s="1"/>
      <c r="O1068" s="1"/>
      <c r="P1068" s="1"/>
      <c r="Q1068" s="1"/>
      <c r="R1068" s="1"/>
      <c r="S1068" s="1"/>
    </row>
    <row r="1069" hidden="1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J1069" si="320">H624</f>
        <v>13500</v>
      </c>
      <c r="I1069" s="178">
        <f t="shared" si="320"/>
        <v>14850</v>
      </c>
      <c r="J1069" s="178">
        <f t="shared" si="320"/>
        <v>16335</v>
      </c>
      <c r="K1069" s="1"/>
      <c r="L1069" s="1"/>
      <c r="M1069" s="1"/>
      <c r="N1069" s="1"/>
      <c r="O1069" s="1"/>
      <c r="P1069" s="1"/>
      <c r="Q1069" s="1"/>
      <c r="R1069" s="1"/>
      <c r="S1069" s="1"/>
    </row>
    <row r="1070" hidden="1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78"/>
      <c r="K1070" s="1"/>
      <c r="L1070" s="1"/>
      <c r="M1070" s="1"/>
      <c r="N1070" s="1"/>
      <c r="O1070" s="1"/>
      <c r="P1070" s="1"/>
      <c r="Q1070" s="1"/>
      <c r="R1070" s="1"/>
      <c r="S1070" s="1"/>
    </row>
    <row r="1071" collapsed="1">
      <c r="A1071" s="1"/>
      <c r="B1071" s="1"/>
      <c r="C1071" s="1"/>
      <c r="D1071" s="1"/>
      <c r="E1071" s="13" t="s">
        <v>47</v>
      </c>
      <c r="G1071" s="178"/>
      <c r="H1071" s="178">
        <f t="shared" ref="H1071:J1071" si="321">SUM(H1072:H1074)</f>
        <v>18000</v>
      </c>
      <c r="I1071" s="178">
        <f t="shared" si="321"/>
        <v>19800</v>
      </c>
      <c r="J1071" s="178">
        <f t="shared" si="321"/>
        <v>21780</v>
      </c>
      <c r="K1071" s="1"/>
      <c r="L1071" s="1"/>
      <c r="M1071" s="1"/>
      <c r="N1071" s="1"/>
      <c r="O1071" s="1"/>
      <c r="P1071" s="1"/>
      <c r="Q1071" s="1"/>
      <c r="R1071" s="1"/>
      <c r="S1071" s="1"/>
    </row>
    <row r="1072" hidden="1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J1072" si="322">H646</f>
        <v>0</v>
      </c>
      <c r="I1072" s="178">
        <f t="shared" si="322"/>
        <v>0</v>
      </c>
      <c r="J1072" s="178">
        <f t="shared" si="322"/>
        <v>0</v>
      </c>
      <c r="K1072" s="1"/>
      <c r="L1072" s="1"/>
      <c r="M1072" s="1"/>
      <c r="N1072" s="1"/>
      <c r="O1072" s="1"/>
      <c r="P1072" s="1"/>
      <c r="Q1072" s="1"/>
      <c r="R1072" s="1"/>
      <c r="S1072" s="1"/>
    </row>
    <row r="1073" hidden="1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J1073" si="323">H679</f>
        <v>0</v>
      </c>
      <c r="I1073" s="178">
        <f t="shared" si="323"/>
        <v>0</v>
      </c>
      <c r="J1073" s="178">
        <f t="shared" si="323"/>
        <v>0</v>
      </c>
      <c r="K1073" s="1"/>
      <c r="L1073" s="1"/>
      <c r="M1073" s="1"/>
      <c r="N1073" s="1"/>
      <c r="O1073" s="1"/>
      <c r="P1073" s="1"/>
      <c r="Q1073" s="1"/>
      <c r="R1073" s="1"/>
      <c r="S1073" s="1"/>
    </row>
    <row r="1074" hidden="1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J1074" si="324">H698</f>
        <v>18000</v>
      </c>
      <c r="I1074" s="178">
        <f t="shared" si="324"/>
        <v>19800</v>
      </c>
      <c r="J1074" s="178">
        <f t="shared" si="324"/>
        <v>21780</v>
      </c>
      <c r="K1074" s="1"/>
      <c r="L1074" s="1"/>
      <c r="M1074" s="1"/>
      <c r="N1074" s="1"/>
      <c r="O1074" s="1"/>
      <c r="P1074" s="1"/>
      <c r="Q1074" s="1"/>
      <c r="R1074" s="1"/>
      <c r="S1074" s="1"/>
    </row>
    <row r="1075" hidden="1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78"/>
      <c r="K1075" s="1"/>
      <c r="L1075" s="1"/>
      <c r="M1075" s="1"/>
      <c r="N1075" s="1"/>
      <c r="O1075" s="1"/>
      <c r="P1075" s="1"/>
      <c r="Q1075" s="1"/>
      <c r="R1075" s="1"/>
      <c r="S1075" s="1"/>
    </row>
    <row r="1076" collapsed="1">
      <c r="A1076" s="1"/>
      <c r="B1076" s="1"/>
      <c r="C1076" s="1"/>
      <c r="D1076" s="1"/>
      <c r="E1076" s="13" t="s">
        <v>48</v>
      </c>
      <c r="G1076" s="178"/>
      <c r="H1076" s="178">
        <f t="shared" ref="H1076:J1076" si="325">SUM(H1077:H1079)</f>
        <v>0</v>
      </c>
      <c r="I1076" s="178">
        <f t="shared" si="325"/>
        <v>0</v>
      </c>
      <c r="J1076" s="178">
        <f t="shared" si="325"/>
        <v>0</v>
      </c>
      <c r="K1076" s="1"/>
      <c r="L1076" s="1"/>
      <c r="M1076" s="1"/>
      <c r="N1076" s="1"/>
      <c r="O1076" s="1"/>
      <c r="P1076" s="1"/>
      <c r="Q1076" s="1"/>
      <c r="R1076" s="1"/>
      <c r="S1076" s="1"/>
    </row>
    <row r="1077" hidden="1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J1077" si="326">H720</f>
        <v>0</v>
      </c>
      <c r="I1077" s="178">
        <f t="shared" si="326"/>
        <v>0</v>
      </c>
      <c r="J1077" s="178">
        <f t="shared" si="326"/>
        <v>0</v>
      </c>
      <c r="K1077" s="1"/>
      <c r="L1077" s="1"/>
      <c r="M1077" s="1"/>
      <c r="N1077" s="1"/>
      <c r="O1077" s="1"/>
      <c r="P1077" s="1"/>
      <c r="Q1077" s="1"/>
      <c r="R1077" s="1"/>
      <c r="S1077" s="1"/>
    </row>
    <row r="1078" hidden="1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J1078" si="327">H754</f>
        <v>0</v>
      </c>
      <c r="I1078" s="178">
        <f t="shared" si="327"/>
        <v>0</v>
      </c>
      <c r="J1078" s="178">
        <f t="shared" si="327"/>
        <v>0</v>
      </c>
      <c r="K1078" s="1"/>
      <c r="L1078" s="1"/>
      <c r="M1078" s="1"/>
      <c r="N1078" s="1"/>
      <c r="O1078" s="1"/>
      <c r="P1078" s="1"/>
      <c r="Q1078" s="1"/>
      <c r="R1078" s="1"/>
      <c r="S1078" s="1"/>
    </row>
    <row r="1079" hidden="1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J1079" si="328">H774</f>
        <v>0</v>
      </c>
      <c r="I1079" s="178">
        <f t="shared" si="328"/>
        <v>0</v>
      </c>
      <c r="J1079" s="178">
        <f t="shared" si="328"/>
        <v>0</v>
      </c>
      <c r="K1079" s="1"/>
      <c r="L1079" s="1"/>
      <c r="M1079" s="1"/>
      <c r="N1079" s="1"/>
      <c r="O1079" s="1"/>
      <c r="P1079" s="1"/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78"/>
      <c r="K1080" s="1"/>
      <c r="L1080" s="1"/>
      <c r="M1080" s="1"/>
      <c r="N1080" s="1"/>
      <c r="O1080" s="1"/>
      <c r="P1080" s="1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J1081" si="329">SUM(H1083,H1090,H1097,H1104,H1111,)</f>
        <v>0</v>
      </c>
      <c r="I1081" s="178">
        <f t="shared" si="329"/>
        <v>8964000</v>
      </c>
      <c r="J1081" s="178">
        <f t="shared" si="329"/>
        <v>5855000</v>
      </c>
      <c r="K1081" s="223">
        <f>SUM(H1081:J1081)</f>
        <v>14819000</v>
      </c>
      <c r="L1081" s="223"/>
      <c r="M1081" s="223"/>
      <c r="N1081" s="223"/>
      <c r="O1081" s="223"/>
      <c r="P1081" s="223"/>
      <c r="Q1081" s="223"/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178"/>
      <c r="K1082" s="223"/>
      <c r="L1082" s="223"/>
      <c r="M1082" s="223"/>
      <c r="N1082" s="223"/>
      <c r="O1082" s="223"/>
      <c r="P1082" s="223"/>
      <c r="Q1082" s="223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J1083" si="330">SUM(H1084:H1088)</f>
        <v>0</v>
      </c>
      <c r="I1083" s="178">
        <f t="shared" si="330"/>
        <v>0</v>
      </c>
      <c r="J1083" s="178">
        <f t="shared" si="330"/>
        <v>330000</v>
      </c>
      <c r="K1083" s="1"/>
      <c r="L1083" s="1"/>
      <c r="M1083" s="1"/>
      <c r="N1083" s="1"/>
      <c r="O1083" s="1"/>
      <c r="P1083" s="1"/>
      <c r="Q1083" s="1"/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J1084" si="331">H827</f>
        <v>0</v>
      </c>
      <c r="I1084" s="179">
        <f t="shared" si="331"/>
        <v>0</v>
      </c>
      <c r="J1084" s="179">
        <f t="shared" si="331"/>
        <v>280000</v>
      </c>
      <c r="K1084" s="1"/>
      <c r="L1084" s="1"/>
      <c r="M1084" s="1"/>
      <c r="N1084" s="1"/>
      <c r="O1084" s="1"/>
      <c r="P1084" s="1"/>
      <c r="Q1084" s="1"/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J1085" si="332">H830</f>
        <v>0</v>
      </c>
      <c r="I1085" s="179">
        <f t="shared" si="332"/>
        <v>0</v>
      </c>
      <c r="J1085" s="179">
        <f t="shared" si="332"/>
        <v>50000</v>
      </c>
      <c r="K1085" s="1"/>
      <c r="L1085" s="1"/>
      <c r="M1085" s="1"/>
      <c r="N1085" s="1"/>
      <c r="O1085" s="1"/>
      <c r="P1085" s="1"/>
      <c r="Q1085" s="1"/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J1086" si="333">H833</f>
        <v>0</v>
      </c>
      <c r="I1086" s="179">
        <f t="shared" si="333"/>
        <v>0</v>
      </c>
      <c r="J1086" s="179">
        <f t="shared" si="333"/>
        <v>0</v>
      </c>
      <c r="K1086" s="1"/>
      <c r="L1086" s="1"/>
      <c r="M1086" s="1"/>
      <c r="N1086" s="1"/>
      <c r="O1086" s="1"/>
      <c r="P1086" s="1"/>
      <c r="Q1086" s="1"/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J1087" si="334">H836</f>
        <v>0</v>
      </c>
      <c r="I1087" s="179">
        <f t="shared" si="334"/>
        <v>0</v>
      </c>
      <c r="J1087" s="179">
        <f t="shared" si="334"/>
        <v>0</v>
      </c>
      <c r="K1087" s="1"/>
      <c r="L1087" s="1"/>
      <c r="M1087" s="1"/>
      <c r="N1087" s="1"/>
      <c r="O1087" s="1"/>
      <c r="P1087" s="1"/>
      <c r="Q1087" s="1"/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J1088" si="335">H839</f>
        <v>0</v>
      </c>
      <c r="I1088" s="179">
        <f t="shared" si="335"/>
        <v>0</v>
      </c>
      <c r="J1088" s="179">
        <f t="shared" si="335"/>
        <v>0</v>
      </c>
      <c r="K1088" s="1"/>
      <c r="L1088" s="1"/>
      <c r="M1088" s="1"/>
      <c r="N1088" s="1"/>
      <c r="O1088" s="1"/>
      <c r="P1088" s="1"/>
      <c r="Q1088" s="1"/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78"/>
      <c r="K1089" s="1"/>
      <c r="L1089" s="1"/>
      <c r="M1089" s="1"/>
      <c r="N1089" s="1"/>
      <c r="O1089" s="1"/>
      <c r="P1089" s="1"/>
      <c r="Q1089" s="1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J1090" si="336">SUM(H1091:H1095)</f>
        <v>0</v>
      </c>
      <c r="I1090" s="178">
        <f t="shared" si="336"/>
        <v>0</v>
      </c>
      <c r="J1090" s="178">
        <f t="shared" si="336"/>
        <v>781000</v>
      </c>
      <c r="K1090" s="1"/>
      <c r="L1090" s="1"/>
      <c r="M1090" s="1"/>
      <c r="N1090" s="1"/>
      <c r="O1090" s="1"/>
      <c r="P1090" s="1"/>
      <c r="Q1090" s="1"/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J1091" si="337">H872</f>
        <v>0</v>
      </c>
      <c r="I1091" s="179">
        <f t="shared" si="337"/>
        <v>0</v>
      </c>
      <c r="J1091" s="179">
        <f t="shared" si="337"/>
        <v>375000</v>
      </c>
      <c r="K1091" s="1"/>
      <c r="L1091" s="1"/>
      <c r="M1091" s="1"/>
      <c r="N1091" s="1"/>
      <c r="O1091" s="1"/>
      <c r="P1091" s="1"/>
      <c r="Q1091" s="1"/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J1092" si="338">H875</f>
        <v>0</v>
      </c>
      <c r="I1092" s="179">
        <f t="shared" si="338"/>
        <v>0</v>
      </c>
      <c r="J1092" s="179">
        <f t="shared" si="338"/>
        <v>150000</v>
      </c>
      <c r="K1092" s="1"/>
      <c r="L1092" s="1"/>
      <c r="M1092" s="1"/>
      <c r="N1092" s="1"/>
      <c r="O1092" s="1"/>
      <c r="P1092" s="1"/>
      <c r="Q1092" s="1"/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J1093" si="339">H878</f>
        <v>0</v>
      </c>
      <c r="I1093" s="179">
        <f t="shared" si="339"/>
        <v>0</v>
      </c>
      <c r="J1093" s="179">
        <f t="shared" si="339"/>
        <v>40000</v>
      </c>
      <c r="K1093" s="1"/>
      <c r="L1093" s="1"/>
      <c r="M1093" s="1"/>
      <c r="N1093" s="1"/>
      <c r="O1093" s="1"/>
      <c r="P1093" s="1"/>
      <c r="Q1093" s="1"/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J1094" si="340">H881</f>
        <v>0</v>
      </c>
      <c r="I1094" s="179">
        <f t="shared" si="340"/>
        <v>0</v>
      </c>
      <c r="J1094" s="179">
        <f t="shared" si="340"/>
        <v>216000</v>
      </c>
      <c r="K1094" s="1"/>
      <c r="L1094" s="1"/>
      <c r="M1094" s="1"/>
      <c r="N1094" s="1"/>
      <c r="O1094" s="1"/>
      <c r="P1094" s="1"/>
      <c r="Q1094" s="1"/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J1095" si="341">H884</f>
        <v>0</v>
      </c>
      <c r="I1095" s="179">
        <f t="shared" si="341"/>
        <v>0</v>
      </c>
      <c r="J1095" s="179">
        <f t="shared" si="341"/>
        <v>0</v>
      </c>
      <c r="K1095" s="1"/>
      <c r="L1095" s="1"/>
      <c r="M1095" s="1"/>
      <c r="N1095" s="1"/>
      <c r="O1095" s="1"/>
      <c r="P1095" s="1"/>
      <c r="Q1095" s="1"/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J1097" si="342">SUM(H1098:H1102)</f>
        <v>0</v>
      </c>
      <c r="I1097" s="178">
        <f t="shared" si="342"/>
        <v>5198000</v>
      </c>
      <c r="J1097" s="178">
        <f t="shared" si="342"/>
        <v>2748000</v>
      </c>
      <c r="K1097" s="1"/>
      <c r="L1097" s="1"/>
      <c r="M1097" s="1"/>
      <c r="N1097" s="1"/>
      <c r="O1097" s="1"/>
      <c r="P1097" s="1"/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J1098" si="343">H917</f>
        <v>0</v>
      </c>
      <c r="I1098" s="180">
        <f t="shared" si="343"/>
        <v>1440000</v>
      </c>
      <c r="J1098" s="180">
        <f t="shared" si="343"/>
        <v>760000</v>
      </c>
      <c r="K1098" s="1"/>
      <c r="L1098" s="1"/>
      <c r="M1098" s="1"/>
      <c r="N1098" s="1"/>
      <c r="O1098" s="1"/>
      <c r="P1098" s="1"/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J1099" si="344">H920</f>
        <v>0</v>
      </c>
      <c r="I1099" s="170">
        <f t="shared" si="344"/>
        <v>1010000</v>
      </c>
      <c r="J1099" s="170">
        <f t="shared" si="344"/>
        <v>530000</v>
      </c>
      <c r="K1099" s="1"/>
      <c r="L1099" s="1"/>
      <c r="M1099" s="1"/>
      <c r="N1099" s="1"/>
      <c r="O1099" s="1"/>
      <c r="P1099" s="1"/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J1100" si="345">H923</f>
        <v>0</v>
      </c>
      <c r="I1100" s="170">
        <f t="shared" si="345"/>
        <v>354000</v>
      </c>
      <c r="J1100" s="170">
        <f t="shared" si="345"/>
        <v>198000</v>
      </c>
      <c r="K1100" s="1"/>
      <c r="L1100" s="1"/>
      <c r="M1100" s="1"/>
      <c r="N1100" s="1"/>
      <c r="O1100" s="1"/>
      <c r="P1100" s="1"/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J1101" si="346">H926</f>
        <v>0</v>
      </c>
      <c r="I1101" s="170">
        <f t="shared" si="346"/>
        <v>2394000</v>
      </c>
      <c r="J1101" s="170">
        <f t="shared" si="346"/>
        <v>1260000</v>
      </c>
      <c r="K1101" s="1"/>
      <c r="L1101" s="1"/>
      <c r="M1101" s="1"/>
      <c r="N1101" s="1"/>
      <c r="O1101" s="1"/>
      <c r="P1101" s="1"/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J1102" si="347">H929</f>
        <v>0</v>
      </c>
      <c r="I1102" s="170">
        <f t="shared" si="347"/>
        <v>0</v>
      </c>
      <c r="J1102" s="170">
        <f t="shared" si="347"/>
        <v>0</v>
      </c>
      <c r="K1102" s="1"/>
      <c r="L1102" s="1"/>
      <c r="M1102" s="1"/>
      <c r="N1102" s="1"/>
      <c r="O1102" s="1"/>
      <c r="P1102" s="1"/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J1104" si="348">SUM(H1105:H1109)</f>
        <v>0</v>
      </c>
      <c r="I1104" s="178">
        <f t="shared" si="348"/>
        <v>2788000</v>
      </c>
      <c r="J1104" s="178">
        <f t="shared" si="348"/>
        <v>1478000</v>
      </c>
      <c r="K1104" s="1"/>
      <c r="L1104" s="1"/>
      <c r="M1104" s="1"/>
      <c r="N1104" s="1"/>
      <c r="O1104" s="1"/>
      <c r="P1104" s="1"/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J1105" si="349">H963</f>
        <v>0</v>
      </c>
      <c r="I1105" s="170">
        <f t="shared" si="349"/>
        <v>1528000</v>
      </c>
      <c r="J1105" s="170">
        <f t="shared" si="349"/>
        <v>808000</v>
      </c>
      <c r="K1105" s="1"/>
      <c r="L1105" s="1"/>
      <c r="M1105" s="1"/>
      <c r="N1105" s="1"/>
      <c r="O1105" s="1"/>
      <c r="P1105" s="1"/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J1106" si="350">H966</f>
        <v>0</v>
      </c>
      <c r="I1106" s="170">
        <f t="shared" si="350"/>
        <v>1260000</v>
      </c>
      <c r="J1106" s="170">
        <f t="shared" si="350"/>
        <v>670000</v>
      </c>
      <c r="K1106" s="1"/>
      <c r="L1106" s="1"/>
      <c r="M1106" s="1"/>
      <c r="N1106" s="1"/>
      <c r="O1106" s="1"/>
      <c r="P1106" s="1"/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J1107" si="351">H969</f>
        <v>0</v>
      </c>
      <c r="I1107" s="170">
        <f t="shared" si="351"/>
        <v>0</v>
      </c>
      <c r="J1107" s="170">
        <f t="shared" si="351"/>
        <v>0</v>
      </c>
      <c r="K1107" s="1"/>
      <c r="L1107" s="1"/>
      <c r="M1107" s="1"/>
      <c r="N1107" s="1"/>
      <c r="O1107" s="1"/>
      <c r="P1107" s="1"/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J1108" si="352">H972</f>
        <v>0</v>
      </c>
      <c r="I1108" s="170">
        <f t="shared" si="352"/>
        <v>0</v>
      </c>
      <c r="J1108" s="170">
        <f t="shared" si="352"/>
        <v>0</v>
      </c>
      <c r="K1108" s="1"/>
      <c r="L1108" s="1"/>
      <c r="M1108" s="1"/>
      <c r="N1108" s="1"/>
      <c r="O1108" s="1"/>
      <c r="P1108" s="1"/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J1109" si="353">H975</f>
        <v>0</v>
      </c>
      <c r="I1109" s="170">
        <f t="shared" si="353"/>
        <v>0</v>
      </c>
      <c r="J1109" s="170">
        <f t="shared" si="353"/>
        <v>0</v>
      </c>
      <c r="K1109" s="1"/>
      <c r="L1109" s="1"/>
      <c r="M1109" s="1"/>
      <c r="N1109" s="1"/>
      <c r="O1109" s="1"/>
      <c r="P1109" s="1"/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J1111" si="354">SUM(H1112:H1116)</f>
        <v>0</v>
      </c>
      <c r="I1111" s="178">
        <f t="shared" si="354"/>
        <v>978000</v>
      </c>
      <c r="J1111" s="178">
        <f t="shared" si="354"/>
        <v>518000</v>
      </c>
      <c r="K1111" s="1"/>
      <c r="L1111" s="1"/>
      <c r="M1111" s="1"/>
      <c r="N1111" s="1"/>
      <c r="O1111" s="1"/>
      <c r="P1111" s="1"/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J1112" si="355">H1008</f>
        <v>0</v>
      </c>
      <c r="I1112" s="170">
        <f t="shared" si="355"/>
        <v>648000</v>
      </c>
      <c r="J1112" s="170">
        <f t="shared" si="355"/>
        <v>344000</v>
      </c>
      <c r="K1112" s="223"/>
      <c r="L1112" s="223"/>
      <c r="M1112" s="223"/>
      <c r="N1112" s="223"/>
      <c r="O1112" s="223"/>
      <c r="P1112" s="223"/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J1113" si="356">H1011</f>
        <v>0</v>
      </c>
      <c r="I1113" s="170">
        <f t="shared" si="356"/>
        <v>330000</v>
      </c>
      <c r="J1113" s="170">
        <f t="shared" si="356"/>
        <v>174000</v>
      </c>
      <c r="K1113" s="1"/>
      <c r="L1113" s="1"/>
      <c r="M1113" s="1"/>
      <c r="N1113" s="1"/>
      <c r="O1113" s="1"/>
      <c r="P1113" s="1"/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J1114" si="357">H1014</f>
        <v>0</v>
      </c>
      <c r="I1114" s="170">
        <f t="shared" si="357"/>
        <v>0</v>
      </c>
      <c r="J1114" s="170">
        <f t="shared" si="357"/>
        <v>0</v>
      </c>
      <c r="K1114" s="1"/>
      <c r="L1114" s="1"/>
      <c r="M1114" s="1"/>
      <c r="N1114" s="1"/>
      <c r="O1114" s="1"/>
      <c r="P1114" s="1"/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J1115" si="358">H1017</f>
        <v>0</v>
      </c>
      <c r="I1115" s="170">
        <f t="shared" si="358"/>
        <v>0</v>
      </c>
      <c r="J1115" s="170">
        <f t="shared" si="358"/>
        <v>0</v>
      </c>
      <c r="K1115" s="1"/>
      <c r="L1115" s="1"/>
      <c r="M1115" s="1"/>
      <c r="N1115" s="1"/>
      <c r="O1115" s="1"/>
      <c r="P1115" s="1"/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J1116" si="359">H1020</f>
        <v>0</v>
      </c>
      <c r="I1116" s="170">
        <f t="shared" si="359"/>
        <v>0</v>
      </c>
      <c r="J1116" s="170">
        <f t="shared" si="359"/>
        <v>0</v>
      </c>
      <c r="K1116" s="1"/>
      <c r="L1116" s="1"/>
      <c r="M1116" s="1"/>
      <c r="N1116" s="1"/>
      <c r="O1116" s="1"/>
      <c r="P1116" s="1"/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K1:K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9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5" t="s">
        <v>1</v>
      </c>
      <c r="K1" s="6"/>
      <c r="L1" s="6"/>
      <c r="M1" s="6"/>
      <c r="N1" s="6"/>
      <c r="O1" s="6"/>
      <c r="P1" s="6"/>
      <c r="Q1" s="6"/>
      <c r="R1" s="6"/>
      <c r="S1" s="6"/>
    </row>
    <row r="2">
      <c r="A2" s="1"/>
      <c r="B2" s="2"/>
      <c r="C2" s="7"/>
      <c r="D2" s="7"/>
      <c r="E2" s="7"/>
      <c r="F2" s="3" t="s">
        <v>2</v>
      </c>
      <c r="G2" s="8"/>
      <c r="H2" s="8" t="s">
        <v>423</v>
      </c>
      <c r="I2" s="9">
        <f>H2+1</f>
        <v>12</v>
      </c>
      <c r="J2" s="10"/>
      <c r="K2" s="6"/>
      <c r="L2" s="6"/>
      <c r="M2" s="6"/>
      <c r="N2" s="6"/>
      <c r="O2" s="6"/>
      <c r="P2" s="6"/>
      <c r="Q2" s="6"/>
      <c r="R2" s="6"/>
      <c r="S2" s="6"/>
    </row>
    <row r="3">
      <c r="A3" s="1"/>
      <c r="B3" s="1"/>
      <c r="C3" s="112"/>
      <c r="D3" s="112"/>
      <c r="E3" s="112"/>
      <c r="F3" s="112"/>
      <c r="G3" s="112"/>
      <c r="H3" s="112"/>
      <c r="I3" s="112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13"/>
      <c r="C4" s="113"/>
      <c r="D4" s="113"/>
      <c r="E4" s="113"/>
      <c r="F4" s="113"/>
      <c r="G4" s="113"/>
      <c r="H4" s="113"/>
      <c r="I4" s="113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15"/>
      <c r="H5" s="115"/>
      <c r="I5" s="115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1"/>
      <c r="E6" s="1"/>
      <c r="F6" s="1"/>
      <c r="G6" s="115"/>
      <c r="H6" s="115"/>
      <c r="I6" s="115"/>
      <c r="J6" s="124"/>
      <c r="K6" s="124"/>
      <c r="L6" s="124"/>
      <c r="M6" s="124"/>
      <c r="N6" s="124"/>
      <c r="O6" s="124"/>
      <c r="P6" s="124"/>
      <c r="Q6" s="124"/>
      <c r="R6" s="124"/>
      <c r="S6" s="124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18"/>
      <c r="J7" s="125"/>
      <c r="K7" s="125"/>
      <c r="L7" s="125"/>
      <c r="M7" s="125"/>
      <c r="N7" s="125"/>
      <c r="O7" s="125"/>
      <c r="P7" s="125"/>
      <c r="Q7" s="125"/>
      <c r="R7" s="125"/>
      <c r="S7" s="125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- 2026'!R6</f>
        <v>5422464.565</v>
      </c>
      <c r="I8" s="120"/>
      <c r="J8" s="123"/>
      <c r="K8" s="123"/>
      <c r="L8" s="123"/>
      <c r="M8" s="123"/>
      <c r="N8" s="123"/>
      <c r="O8" s="123"/>
      <c r="P8" s="123"/>
      <c r="Q8" s="123"/>
      <c r="R8" s="123"/>
      <c r="S8" s="123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- 2026'!R9</f>
        <v>412.3246949</v>
      </c>
      <c r="I9" s="122"/>
      <c r="J9" s="130"/>
      <c r="K9" s="130"/>
      <c r="L9" s="130"/>
      <c r="M9" s="130"/>
      <c r="N9" s="130"/>
      <c r="O9" s="130"/>
      <c r="P9" s="130"/>
      <c r="Q9" s="130"/>
      <c r="R9" s="130"/>
      <c r="S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13150.95757</v>
      </c>
      <c r="I10" s="123"/>
      <c r="J10" s="130"/>
      <c r="K10" s="130"/>
      <c r="L10" s="130"/>
      <c r="M10" s="130"/>
      <c r="N10" s="130"/>
      <c r="O10" s="130"/>
      <c r="P10" s="130"/>
      <c r="Q10" s="130"/>
      <c r="R10" s="130"/>
      <c r="S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2633.957565</v>
      </c>
      <c r="I11" s="124"/>
      <c r="J11" s="130"/>
      <c r="K11" s="130"/>
      <c r="L11" s="130"/>
      <c r="M11" s="130"/>
      <c r="N11" s="130"/>
      <c r="O11" s="130"/>
      <c r="P11" s="130"/>
      <c r="Q11" s="130"/>
      <c r="R11" s="130"/>
      <c r="S11" s="130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30"/>
      <c r="K12" s="130"/>
      <c r="L12" s="130"/>
      <c r="M12" s="130"/>
      <c r="N12" s="130"/>
      <c r="O12" s="130"/>
      <c r="P12" s="130"/>
      <c r="Q12" s="130"/>
      <c r="R12" s="130"/>
      <c r="S12" s="130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10517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1">ROUNDDOWN(($H$10*$H$12)*H14,0)</f>
        <v>483</v>
      </c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1"/>
        <v>537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1"/>
        <v>2128</v>
      </c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1"/>
        <v>5007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1"/>
        <v>2362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515.5904312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18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15"/>
      <c r="H28" s="115"/>
      <c r="I28" s="115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10517</v>
      </c>
      <c r="I29" s="115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0.2926690121</v>
      </c>
      <c r="I30" s="134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3078</v>
      </c>
      <c r="I31" s="115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35"/>
      <c r="H32" s="135"/>
      <c r="I32" s="135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15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483</v>
      </c>
      <c r="I34" s="115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26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96</v>
      </c>
      <c r="I36" s="115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15"/>
      <c r="H37" s="115"/>
      <c r="I37" s="115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15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537</v>
      </c>
      <c r="I39" s="115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26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134</v>
      </c>
      <c r="I41" s="115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15"/>
      <c r="H42" s="115"/>
      <c r="I42" s="115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15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2128</v>
      </c>
      <c r="I44" s="115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26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638</v>
      </c>
      <c r="I46" s="115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15"/>
      <c r="H47" s="115"/>
      <c r="I47" s="115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15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5007</v>
      </c>
      <c r="I49" s="115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26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1502</v>
      </c>
      <c r="I51" s="115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15"/>
      <c r="H52" s="115"/>
      <c r="I52" s="115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15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2362</v>
      </c>
      <c r="I54" s="115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26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708</v>
      </c>
      <c r="I56" s="115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15"/>
      <c r="H57" s="115"/>
      <c r="I57" s="115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15"/>
      <c r="H58" s="115"/>
      <c r="I58" s="115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18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15"/>
      <c r="H60" s="115"/>
      <c r="I60" s="115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3078</v>
      </c>
      <c r="I61" s="115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1.073749188</v>
      </c>
      <c r="I62" s="138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3305</v>
      </c>
      <c r="I63" s="115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15"/>
      <c r="H64" s="115"/>
      <c r="I64" s="115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15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96</v>
      </c>
      <c r="I66" s="115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26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102.5</v>
      </c>
      <c r="I68" s="115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82</v>
      </c>
      <c r="I69" s="115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20.5</v>
      </c>
      <c r="I70" s="115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15"/>
      <c r="H71" s="115"/>
      <c r="I71" s="115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26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134</v>
      </c>
      <c r="I73" s="115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15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143.75</v>
      </c>
      <c r="I75" s="115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115</v>
      </c>
      <c r="I76" s="115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28.75</v>
      </c>
      <c r="I77" s="126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15"/>
      <c r="H78" s="115"/>
      <c r="I78" s="115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15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638</v>
      </c>
      <c r="I80" s="115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15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685</v>
      </c>
      <c r="I82" s="126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548</v>
      </c>
      <c r="I83" s="115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137</v>
      </c>
      <c r="I84" s="115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15"/>
      <c r="H85" s="115"/>
      <c r="I85" s="115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15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1502</v>
      </c>
      <c r="I87" s="126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15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1613.75</v>
      </c>
      <c r="I89" s="115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1291</v>
      </c>
      <c r="I90" s="115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322.75</v>
      </c>
      <c r="I91" s="115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15"/>
      <c r="H92" s="115"/>
      <c r="I92" s="115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15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708</v>
      </c>
      <c r="I94" s="115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15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760</v>
      </c>
      <c r="I96" s="115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608</v>
      </c>
      <c r="I97" s="115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152</v>
      </c>
      <c r="I98" s="115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15"/>
      <c r="H99" s="115"/>
      <c r="I99" s="115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15"/>
      <c r="H100" s="115"/>
      <c r="I100" s="115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18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15"/>
      <c r="H102" s="115"/>
      <c r="I102" s="115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3305</v>
      </c>
      <c r="I103" s="115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0.3001512859</v>
      </c>
      <c r="I104" s="143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0.09432347628</v>
      </c>
      <c r="I105" s="143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992</v>
      </c>
      <c r="I106" s="115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45983.77016</v>
      </c>
      <c r="I107" s="115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45615900</v>
      </c>
      <c r="I108" s="115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15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43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102.5</v>
      </c>
      <c r="I111" s="135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29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0.06418219462</v>
      </c>
      <c r="I113" s="143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31</v>
      </c>
      <c r="I114" s="148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119238.7097</v>
      </c>
      <c r="I115" s="150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3696400</v>
      </c>
      <c r="I116" s="150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53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53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55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55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55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150000.0</v>
      </c>
      <c r="I122" s="157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57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57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57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59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62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18</v>
      </c>
      <c r="I128" s="148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2700000</v>
      </c>
      <c r="I129" s="150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4</v>
      </c>
      <c r="I130" s="148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126400</v>
      </c>
      <c r="I131" s="150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48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50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6</v>
      </c>
      <c r="I134" s="148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870000</v>
      </c>
      <c r="I135" s="150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3</v>
      </c>
      <c r="I136" s="148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50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63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43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143.75</v>
      </c>
      <c r="I140" s="148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29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0.0800744879</v>
      </c>
      <c r="I142" s="143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43</v>
      </c>
      <c r="I143" s="148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90697.67442</v>
      </c>
      <c r="I144" s="150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3900000</v>
      </c>
      <c r="I145" s="150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55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53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55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55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55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120000.0</v>
      </c>
      <c r="I151" s="159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57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57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59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59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62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25</v>
      </c>
      <c r="I157" s="148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3000000</v>
      </c>
      <c r="I158" s="150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6</v>
      </c>
      <c r="I159" s="148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108000</v>
      </c>
      <c r="I160" s="150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48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50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8</v>
      </c>
      <c r="I163" s="148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792000</v>
      </c>
      <c r="I164" s="150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4</v>
      </c>
      <c r="I165" s="148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50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50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43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43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685</v>
      </c>
      <c r="I170" s="148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29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0.09680451128</v>
      </c>
      <c r="I172" s="143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206</v>
      </c>
      <c r="I173" s="166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75820.38835</v>
      </c>
      <c r="I174" s="150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15619000</v>
      </c>
      <c r="I175" s="150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53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53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55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55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55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100000.0</v>
      </c>
      <c r="I181" s="157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57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57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59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59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62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123</v>
      </c>
      <c r="I187" s="148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12300000</v>
      </c>
      <c r="I188" s="150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22</v>
      </c>
      <c r="I189" s="148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330000</v>
      </c>
      <c r="I190" s="150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48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50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61</v>
      </c>
      <c r="I193" s="148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2989000</v>
      </c>
      <c r="I194" s="150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48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50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50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43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43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1613.75</v>
      </c>
      <c r="I200" s="148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26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0.09666466946</v>
      </c>
      <c r="I202" s="143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484</v>
      </c>
      <c r="I203" s="148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34288.22314</v>
      </c>
      <c r="I204" s="150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16595500</v>
      </c>
      <c r="I205" s="150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55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55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55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53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55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40000.0</v>
      </c>
      <c r="I211" s="157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57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59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59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59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62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387</v>
      </c>
      <c r="I217" s="148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15480000</v>
      </c>
      <c r="I218" s="150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97</v>
      </c>
      <c r="I219" s="148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1115500</v>
      </c>
      <c r="I220" s="150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48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50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48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50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48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50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15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43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760</v>
      </c>
      <c r="I229" s="148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29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0.09652836579</v>
      </c>
      <c r="I231" s="143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228</v>
      </c>
      <c r="I232" s="148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25460.52632</v>
      </c>
      <c r="I233" s="150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5805000</v>
      </c>
      <c r="I234" s="150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55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55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55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53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55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30000.0</v>
      </c>
      <c r="I240" s="157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57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59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59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59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62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182</v>
      </c>
      <c r="I246" s="148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5460000</v>
      </c>
      <c r="I247" s="150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46</v>
      </c>
      <c r="I248" s="148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345000</v>
      </c>
      <c r="I249" s="150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48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50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48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50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48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50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63"/>
      <c r="H256" s="163"/>
      <c r="I256" s="163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15"/>
      <c r="H257" s="115"/>
      <c r="I257" s="115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18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992</v>
      </c>
      <c r="I259" s="115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0.9233870968</v>
      </c>
      <c r="I260" s="168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916</v>
      </c>
      <c r="I261" s="169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27"/>
      <c r="E262" s="1"/>
      <c r="F262" s="1"/>
      <c r="G262" s="115"/>
      <c r="H262" s="115"/>
      <c r="I262" s="115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45615900</v>
      </c>
      <c r="I263" s="170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68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42422787</v>
      </c>
      <c r="I265" s="150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15"/>
      <c r="H266" s="115"/>
      <c r="I266" s="115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38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31</v>
      </c>
      <c r="I268" s="13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0.8709677419</v>
      </c>
      <c r="I269" s="168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27</v>
      </c>
      <c r="I270" s="166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68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3437652</v>
      </c>
      <c r="I272" s="150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55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55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55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55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55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55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55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55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52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52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2">ROUND(H128*H273,0)</f>
        <v>17</v>
      </c>
      <c r="I283" s="166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2"/>
        <v>2511000</v>
      </c>
      <c r="I284" s="150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2"/>
        <v>4</v>
      </c>
      <c r="I285" s="166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2"/>
        <v>117552</v>
      </c>
      <c r="I286" s="150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2"/>
        <v>0</v>
      </c>
      <c r="I287" s="166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2"/>
        <v>0</v>
      </c>
      <c r="I288" s="150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2"/>
        <v>6</v>
      </c>
      <c r="I289" s="166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2"/>
        <v>809100</v>
      </c>
      <c r="I290" s="150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2"/>
        <v>3</v>
      </c>
      <c r="I291" s="166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2"/>
        <v>0</v>
      </c>
      <c r="I292" s="150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38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43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0.8372093023</v>
      </c>
      <c r="I296" s="168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36</v>
      </c>
      <c r="I297" s="148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68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3627000</v>
      </c>
      <c r="I299" s="173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55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55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55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55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55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55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55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55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55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55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3">ROUND(H157*H300,0)</f>
        <v>23</v>
      </c>
      <c r="I310" s="148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3"/>
        <v>2790000</v>
      </c>
      <c r="I311" s="150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3"/>
        <v>6</v>
      </c>
      <c r="I312" s="148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3"/>
        <v>100440</v>
      </c>
      <c r="I313" s="150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3"/>
        <v>0</v>
      </c>
      <c r="I314" s="148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3"/>
        <v>0</v>
      </c>
      <c r="I315" s="150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3"/>
        <v>7</v>
      </c>
      <c r="I316" s="148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3"/>
        <v>736560</v>
      </c>
      <c r="I317" s="150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3"/>
        <v>4</v>
      </c>
      <c r="I318" s="166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3"/>
        <v>0</v>
      </c>
      <c r="I319" s="150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38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206</v>
      </c>
      <c r="I322" s="163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0.927184466</v>
      </c>
      <c r="I323" s="168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191</v>
      </c>
      <c r="I324" s="148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68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14525670</v>
      </c>
      <c r="I326" s="150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55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55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55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55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55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55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55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55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55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55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4">ROUND(H187*H327,0)</f>
        <v>114</v>
      </c>
      <c r="I337" s="148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4"/>
        <v>11439000</v>
      </c>
      <c r="I338" s="150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4"/>
        <v>20</v>
      </c>
      <c r="I339" s="148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4"/>
        <v>306900</v>
      </c>
      <c r="I340" s="150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4"/>
        <v>0</v>
      </c>
      <c r="I341" s="148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4"/>
        <v>0</v>
      </c>
      <c r="I342" s="150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4"/>
        <v>57</v>
      </c>
      <c r="I343" s="148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4"/>
        <v>2779770</v>
      </c>
      <c r="I344" s="150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4"/>
        <v>0</v>
      </c>
      <c r="I345" s="166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4"/>
        <v>0</v>
      </c>
      <c r="I346" s="150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38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484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0.9297520661</v>
      </c>
      <c r="I350" s="168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450</v>
      </c>
      <c r="I351" s="148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68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15433815</v>
      </c>
      <c r="I353" s="150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55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55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55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55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53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53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53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53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55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55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5">ROUND(H217*H354,0)</f>
        <v>360</v>
      </c>
      <c r="I364" s="148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5"/>
        <v>14396400</v>
      </c>
      <c r="I365" s="150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5"/>
        <v>90</v>
      </c>
      <c r="I366" s="148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5"/>
        <v>1037415</v>
      </c>
      <c r="I367" s="150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5"/>
        <v>0</v>
      </c>
      <c r="I368" s="148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5"/>
        <v>0</v>
      </c>
      <c r="I369" s="150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5"/>
        <v>0</v>
      </c>
      <c r="I370" s="148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5"/>
        <v>0</v>
      </c>
      <c r="I371" s="150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5"/>
        <v>0</v>
      </c>
      <c r="I372" s="166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5"/>
        <v>0</v>
      </c>
      <c r="I373" s="150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38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228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0.9298245614</v>
      </c>
      <c r="I377" s="168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212</v>
      </c>
      <c r="I378" s="148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34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5398650</v>
      </c>
      <c r="I380" s="150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55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55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55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55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53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53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53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53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55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55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6">ROUND(H246*H381,0)</f>
        <v>169</v>
      </c>
      <c r="I391" s="148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6"/>
        <v>5077800</v>
      </c>
      <c r="I392" s="150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6"/>
        <v>43</v>
      </c>
      <c r="I393" s="148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6"/>
        <v>320850</v>
      </c>
      <c r="I394" s="150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6"/>
        <v>0</v>
      </c>
      <c r="I395" s="148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6"/>
        <v>0</v>
      </c>
      <c r="I396" s="150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6"/>
        <v>0</v>
      </c>
      <c r="I397" s="148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6"/>
        <v>0</v>
      </c>
      <c r="I398" s="150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6"/>
        <v>0</v>
      </c>
      <c r="I399" s="148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6"/>
        <v>0</v>
      </c>
      <c r="I400" s="150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18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916</v>
      </c>
      <c r="I404" s="123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68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916</v>
      </c>
      <c r="I406" s="148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42422787</v>
      </c>
      <c r="I408" s="150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68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42422787</v>
      </c>
      <c r="I410" s="150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15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38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68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27</v>
      </c>
      <c r="I414" s="148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68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3437652</v>
      </c>
      <c r="I416" s="150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53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53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53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53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53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53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53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53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53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53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7">ROUND(H283*H417,0)</f>
        <v>17</v>
      </c>
      <c r="I427" s="148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7"/>
        <v>2511000</v>
      </c>
      <c r="I428" s="173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7"/>
        <v>4</v>
      </c>
      <c r="I429" s="148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7"/>
        <v>117552</v>
      </c>
      <c r="I430" s="148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7"/>
        <v>0</v>
      </c>
      <c r="I431" s="174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7"/>
        <v>0</v>
      </c>
      <c r="I432" s="174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7"/>
        <v>6</v>
      </c>
      <c r="I433" s="174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7"/>
        <v>809100</v>
      </c>
      <c r="I434" s="174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7"/>
        <v>3</v>
      </c>
      <c r="I435" s="174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7"/>
        <v>0</v>
      </c>
      <c r="I436" s="174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38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68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36</v>
      </c>
      <c r="I440" s="148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68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3627000</v>
      </c>
      <c r="I442" s="150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55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55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55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55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55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55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53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53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53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53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8">ROUND(H310*H443,0)</f>
        <v>23</v>
      </c>
      <c r="I453" s="148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8"/>
        <v>2790000</v>
      </c>
      <c r="I454" s="148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8"/>
        <v>6</v>
      </c>
      <c r="I455" s="148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8"/>
        <v>100440</v>
      </c>
      <c r="I456" s="148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8"/>
        <v>0</v>
      </c>
      <c r="I457" s="148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8"/>
        <v>0</v>
      </c>
      <c r="I458" s="148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8"/>
        <v>7</v>
      </c>
      <c r="I459" s="148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8"/>
        <v>736560</v>
      </c>
      <c r="I460" s="148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8"/>
        <v>4</v>
      </c>
      <c r="I461" s="148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8"/>
        <v>0</v>
      </c>
      <c r="I462" s="148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38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68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191</v>
      </c>
      <c r="I466" s="148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68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14525670</v>
      </c>
      <c r="I468" s="150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55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55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55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55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55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55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55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55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55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55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9">ROUND(H337*H469,0)</f>
        <v>114</v>
      </c>
      <c r="I479" s="148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9"/>
        <v>11439000</v>
      </c>
      <c r="I480" s="148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9"/>
        <v>20</v>
      </c>
      <c r="I481" s="148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9"/>
        <v>306900</v>
      </c>
      <c r="I482" s="148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9"/>
        <v>0</v>
      </c>
      <c r="I483" s="148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9"/>
        <v>0</v>
      </c>
      <c r="I484" s="148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9"/>
        <v>57</v>
      </c>
      <c r="I485" s="148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9"/>
        <v>2779770</v>
      </c>
      <c r="I486" s="148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9"/>
        <v>0</v>
      </c>
      <c r="I487" s="148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9"/>
        <v>0</v>
      </c>
      <c r="I488" s="148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38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68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450</v>
      </c>
      <c r="I492" s="148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68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15433815</v>
      </c>
      <c r="I494" s="150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55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55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55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55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53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53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53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53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53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53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0">ROUND(H364*H495,0)</f>
        <v>360</v>
      </c>
      <c r="I505" s="148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0"/>
        <v>14396400</v>
      </c>
      <c r="I506" s="148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0"/>
        <v>90</v>
      </c>
      <c r="I507" s="148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0"/>
        <v>1037415</v>
      </c>
      <c r="I508" s="148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0"/>
        <v>0</v>
      </c>
      <c r="I509" s="148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0"/>
        <v>0</v>
      </c>
      <c r="I510" s="148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0"/>
        <v>0</v>
      </c>
      <c r="I511" s="148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0"/>
        <v>0</v>
      </c>
      <c r="I512" s="148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0"/>
        <v>0</v>
      </c>
      <c r="I513" s="148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0"/>
        <v>0</v>
      </c>
      <c r="I514" s="148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38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68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212</v>
      </c>
      <c r="I518" s="148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68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5398650</v>
      </c>
      <c r="I520" s="150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55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55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55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55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53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53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53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53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53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53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1">ROUND(H391*H521,0)</f>
        <v>169</v>
      </c>
      <c r="I531" s="148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1"/>
        <v>5077800</v>
      </c>
      <c r="I532" s="148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1"/>
        <v>43</v>
      </c>
      <c r="I533" s="148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1"/>
        <v>320850</v>
      </c>
      <c r="I534" s="148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1"/>
        <v>0</v>
      </c>
      <c r="I535" s="148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1"/>
        <v>0</v>
      </c>
      <c r="I536" s="148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1"/>
        <v>0</v>
      </c>
      <c r="I537" s="148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1"/>
        <v>0</v>
      </c>
      <c r="I538" s="148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1"/>
        <v>0</v>
      </c>
      <c r="I539" s="148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1"/>
        <v>0</v>
      </c>
      <c r="I540" s="148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18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76"/>
      <c r="D544" s="13"/>
      <c r="E544" s="1"/>
      <c r="F544" s="1"/>
      <c r="G544" s="123"/>
      <c r="H544" s="123"/>
      <c r="I544" s="177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 t="shared" ref="H545:I545" si="12">SUM(H554,H588,H629,H663,H703,H737)</f>
        <v>4325430</v>
      </c>
      <c r="I545" s="178">
        <f t="shared" si="12"/>
        <v>0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 t="shared" ref="H546:I546" si="13">SUM(H553,H587,H628,H662,H702,H735)</f>
        <v>0</v>
      </c>
      <c r="I546" s="180">
        <f t="shared" si="13"/>
        <v>318000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43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 t="shared" ref="H549:I549" si="14">SUM(H571,H605,H624,H646,H679,H698,H720,H754,H774)</f>
        <v>31500</v>
      </c>
      <c r="I549" s="178">
        <f t="shared" si="14"/>
        <v>34650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83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84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3"/>
      <c r="F553" s="1" t="str">
        <f t="shared" ref="F553:I553" si="15">F833</f>
        <v>$ [Executar-no loyalty] Revenue Expansion</v>
      </c>
      <c r="G553" s="163" t="str">
        <f t="shared" si="15"/>
        <v/>
      </c>
      <c r="H553" s="170">
        <f t="shared" si="15"/>
        <v>0</v>
      </c>
      <c r="I553" s="170">
        <f t="shared" si="15"/>
        <v>0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 t="shared" ref="H554:I554" si="16">H133</f>
        <v>0</v>
      </c>
      <c r="I554" s="184" t="str">
        <f t="shared" si="16"/>
        <v/>
      </c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 t="shared" ref="H555:I555" si="17">SUM(H553:H554)</f>
        <v>0</v>
      </c>
      <c r="I555" s="184">
        <f t="shared" si="17"/>
        <v>0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86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I557" si="18">IF(COLUMN() &lt; (COLUMN($H$557) + (ROW()-ROW($H$557))), 0, IF(COLUMN() = (COLUMN($H$557) + (ROW()-ROW($H$557))), $H$556, IF(G557&gt;0, G557-1, $H$556-1)))</f>
        <v>2</v>
      </c>
      <c r="I557" s="186">
        <f t="shared" si="18"/>
        <v>1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ref="H558:I558" si="19">IF(COLUMN() &lt; (COLUMN($H$557) + (ROW()-ROW($H$557))), 0, IF(COLUMN() = (COLUMN($H$557) + (ROW()-ROW($H$557))), $H$556, IF(G558&gt;0, G558-1, $H$556-1)))</f>
        <v>0</v>
      </c>
      <c r="I558" s="186">
        <f t="shared" si="19"/>
        <v>2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ref="H559:I559" si="20">IF(COLUMN() &lt; (COLUMN($H$557) + (ROW()-ROW($H$557))), 0, IF(COLUMN() = (COLUMN($H$557) + (ROW()-ROW($H$557))), $H$556, IF(G559&gt;0, G559-1, $H$556-1)))</f>
        <v>0</v>
      </c>
      <c r="I559" s="186">
        <f t="shared" si="20"/>
        <v>0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ref="H560:I560" si="21">IF(COLUMN() &lt; (COLUMN($H$557) + (ROW()-ROW($H$557))), 0, IF(COLUMN() = (COLUMN($H$557) + (ROW()-ROW($H$557))), $H$556, IF(G560&gt;0, G560-1, $H$556-1)))</f>
        <v>0</v>
      </c>
      <c r="I560" s="186">
        <f t="shared" si="21"/>
        <v>0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ref="H561:I561" si="22">IF(COLUMN() &lt; (COLUMN($H$557) + (ROW()-ROW($H$557))), 0, IF(COLUMN() = (COLUMN($H$557) + (ROW()-ROW($H$557))), $H$556, IF(G561&gt;0, G561-1, $H$556-1)))</f>
        <v>0</v>
      </c>
      <c r="I561" s="186">
        <f t="shared" si="22"/>
        <v>0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ref="H562:I562" si="23">IF(COLUMN() &lt; (COLUMN($H$557) + (ROW()-ROW($H$557))), 0, IF(COLUMN() = (COLUMN($H$557) + (ROW()-ROW($H$557))), $H$556, IF(G562&gt;0, G562-1, $H$556-1)))</f>
        <v>0</v>
      </c>
      <c r="I562" s="186">
        <f t="shared" si="23"/>
        <v>0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ref="H563:I563" si="24">IF(COLUMN() &lt; (COLUMN($H$557) + (ROW()-ROW($H$557))), 0, IF(COLUMN() = (COLUMN($H$557) + (ROW()-ROW($H$557))), $H$556, IF(G563&gt;0, G563-1, $H$556-1)))</f>
        <v>0</v>
      </c>
      <c r="I563" s="186">
        <f t="shared" si="24"/>
        <v>0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ref="H564:I564" si="25">IF(COLUMN() &lt; (COLUMN($H$557) + (ROW()-ROW($H$557))), 0, IF(COLUMN() = (COLUMN($H$557) + (ROW()-ROW($H$557))), $H$556, IF(G564&gt;0, G564-1, $H$556-1)))</f>
        <v>0</v>
      </c>
      <c r="I564" s="186">
        <f t="shared" si="25"/>
        <v>0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ref="H565:I565" si="26">IF(COLUMN() &lt; (COLUMN($H$557) + (ROW()-ROW($H$557))), 0, IF(COLUMN() = (COLUMN($H$557) + (ROW()-ROW($H$557))), $H$556, IF(G565&gt;0, G565-1, $H$556-1)))</f>
        <v>0</v>
      </c>
      <c r="I565" s="186">
        <f t="shared" si="26"/>
        <v>0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ref="H566:I566" si="27">IF(COLUMN() &lt; (COLUMN($H$557) + (ROW()-ROW($H$557))), 0, IF(COLUMN() = (COLUMN($H$557) + (ROW()-ROW($H$557))), $H$556, IF(G566&gt;0, G566-1, $H$556-1)))</f>
        <v>0</v>
      </c>
      <c r="I566" s="186">
        <f t="shared" si="27"/>
        <v>0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ref="H567:I567" si="28">IF(COLUMN() &lt; (COLUMN($H$557) + (ROW()-ROW($H$557))), 0, IF(COLUMN() = (COLUMN($H$557) + (ROW()-ROW($H$557))), $H$556, IF(G567&gt;0, G567-1, $H$556-1)))</f>
        <v>0</v>
      </c>
      <c r="I567" s="186">
        <f t="shared" si="28"/>
        <v>0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ref="H568:I568" si="29">IF(COLUMN() &lt; (COLUMN($H$557) + (ROW()-ROW($H$557))), 0, IF(COLUMN() = (COLUMN($H$557) + (ROW()-ROW($H$557))), $H$556, IF(G568&gt;0, G568-1, $H$556-1)))</f>
        <v>0</v>
      </c>
      <c r="I568" s="186">
        <f t="shared" si="29"/>
        <v>0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86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55">
        <v>0.8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 t="shared" ref="H571:I571" si="30">H572-H555</f>
        <v>0</v>
      </c>
      <c r="I571" s="184">
        <f t="shared" si="30"/>
        <v>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 t="shared" ref="H572:I572" si="31">SUM(H573:H584)</f>
        <v>0</v>
      </c>
      <c r="I572" s="184">
        <f t="shared" si="31"/>
        <v>0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I573" si="32">IF(COLUMN() &lt; (COLUMN($H$573) + (ROW()-ROW($H$573))), 0, IF(COLUMN() = (COLUMN($H$573) + (ROW()-ROW($H$573))), INDEX($H$555:$I$555, 1, COLUMN()-COLUMN($H$555)+1), IF(H557=0, OFFSET(H573, 0, -$H$556) * $H$570, 0)))</f>
        <v>0</v>
      </c>
      <c r="I573" s="186">
        <f t="shared" si="32"/>
        <v>0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ref="H574:I574" si="33">IF(COLUMN() &lt; (COLUMN($H$573) + (ROW()-ROW($H$573))), 0, IF(COLUMN() = (COLUMN($H$573) + (ROW()-ROW($H$573))), INDEX($H$555:$I$555, 1, COLUMN()-COLUMN($H$555)+1), IF(H558=0, OFFSET(H574, 0, -$H$556) * $H$570, 0)))</f>
        <v>0</v>
      </c>
      <c r="I574" s="186">
        <f t="shared" si="33"/>
        <v>0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ref="H575:I575" si="34">IF(COLUMN() &lt; (COLUMN($H$573) + (ROW()-ROW($H$573))), 0, IF(COLUMN() = (COLUMN($H$573) + (ROW()-ROW($H$573))), INDEX($H$555:$I$555, 1, COLUMN()-COLUMN($H$555)+1), IF(H559=0, OFFSET(H575, 0, -$H$556) * $H$570, 0)))</f>
        <v>0</v>
      </c>
      <c r="I575" s="186">
        <f t="shared" si="34"/>
        <v>0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ref="H576:I576" si="35">IF(COLUMN() &lt; (COLUMN($H$573) + (ROW()-ROW($H$573))), 0, IF(COLUMN() = (COLUMN($H$573) + (ROW()-ROW($H$573))), INDEX($H$555:$I$555, 1, COLUMN()-COLUMN($H$555)+1), IF(H560=0, OFFSET(H576, 0, -$H$556) * $H$570, 0)))</f>
        <v>0</v>
      </c>
      <c r="I576" s="186">
        <f t="shared" si="35"/>
        <v>0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ref="H577:I577" si="36">IF(COLUMN() &lt; (COLUMN($H$573) + (ROW()-ROW($H$573))), 0, IF(COLUMN() = (COLUMN($H$573) + (ROW()-ROW($H$573))), INDEX($H$555:$I$555, 1, COLUMN()-COLUMN($H$555)+1), IF(H561=0, OFFSET(H577, 0, -$H$556) * $H$570, 0)))</f>
        <v>0</v>
      </c>
      <c r="I577" s="186">
        <f t="shared" si="36"/>
        <v>0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ref="H578:I578" si="37">IF(COLUMN() &lt; (COLUMN($H$573) + (ROW()-ROW($H$573))), 0, IF(COLUMN() = (COLUMN($H$573) + (ROW()-ROW($H$573))), INDEX($H$555:$I$555, 1, COLUMN()-COLUMN($H$555)+1), IF(H562=0, OFFSET(H578, 0, -$H$556) * $H$570, 0)))</f>
        <v>0</v>
      </c>
      <c r="I578" s="186">
        <f t="shared" si="37"/>
        <v>0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ref="H579:I579" si="38">IF(COLUMN() &lt; (COLUMN($H$573) + (ROW()-ROW($H$573))), 0, IF(COLUMN() = (COLUMN($H$573) + (ROW()-ROW($H$573))), INDEX($H$555:$I$555, 1, COLUMN()-COLUMN($H$555)+1), IF(H563=0, OFFSET(H579, 0, -$H$556) * $H$570, 0)))</f>
        <v>0</v>
      </c>
      <c r="I579" s="186">
        <f t="shared" si="38"/>
        <v>0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ref="H580:I580" si="39">IF(COLUMN() &lt; (COLUMN($H$573) + (ROW()-ROW($H$573))), 0, IF(COLUMN() = (COLUMN($H$573) + (ROW()-ROW($H$573))), INDEX($H$555:$I$555, 1, COLUMN()-COLUMN($H$555)+1), IF(H564=0, OFFSET(H580, 0, -$H$556) * $H$570, 0)))</f>
        <v>0</v>
      </c>
      <c r="I580" s="186">
        <f t="shared" si="39"/>
        <v>0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ref="H581:I581" si="40">IF(COLUMN() &lt; (COLUMN($H$573) + (ROW()-ROW($H$573))), 0, IF(COLUMN() = (COLUMN($H$573) + (ROW()-ROW($H$573))), INDEX($H$555:$I$555, 1, COLUMN()-COLUMN($H$555)+1), IF(H565=0, OFFSET(H581, 0, -$H$556) * $H$570, 0)))</f>
        <v>0</v>
      </c>
      <c r="I581" s="186">
        <f t="shared" si="40"/>
        <v>0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ref="H582:I582" si="41">IF(COLUMN() &lt; (COLUMN($H$573) + (ROW()-ROW($H$573))), 0, IF(COLUMN() = (COLUMN($H$573) + (ROW()-ROW($H$573))), INDEX($H$555:$I$555, 1, COLUMN()-COLUMN($H$555)+1), IF(H566=0, OFFSET(H582, 0, -$H$556) * $H$570, 0)))</f>
        <v>0</v>
      </c>
      <c r="I582" s="186">
        <f t="shared" si="41"/>
        <v>0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ref="H583:I583" si="42">IF(COLUMN() &lt; (COLUMN($H$573) + (ROW()-ROW($H$573))), 0, IF(COLUMN() = (COLUMN($H$573) + (ROW()-ROW($H$573))), INDEX($H$555:$I$555, 1, COLUMN()-COLUMN($H$555)+1), IF(H567=0, OFFSET(H583, 0, -$H$556) * $H$570, 0)))</f>
        <v>0</v>
      </c>
      <c r="I583" s="186">
        <f t="shared" si="42"/>
        <v>0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ref="H584:I584" si="43">IF(COLUMN() &lt; (COLUMN($H$573) + (ROW()-ROW($H$573))), 0, IF(COLUMN() = (COLUMN($H$573) + (ROW()-ROW($H$573))), INDEX($H$555:$I$555, 1, COLUMN()-COLUMN($H$555)+1), IF(H568=0, OFFSET(H584, 0, -$H$556) * $H$570, 0)))</f>
        <v>0</v>
      </c>
      <c r="I584" s="186">
        <f t="shared" si="43"/>
        <v>0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3"/>
      <c r="G585" s="155"/>
      <c r="H585" s="186"/>
      <c r="I585" s="155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84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3"/>
      <c r="F587" s="1" t="str">
        <f t="shared" ref="F587:I587" si="44">F836</f>
        <v>$ [Executar-loyalty] Revenue Expansion</v>
      </c>
      <c r="G587" s="163" t="str">
        <f t="shared" si="44"/>
        <v/>
      </c>
      <c r="H587" s="170">
        <f t="shared" si="44"/>
        <v>0</v>
      </c>
      <c r="I587" s="170">
        <f t="shared" si="44"/>
        <v>0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 t="shared" ref="H588:I588" si="45">H434</f>
        <v>809100</v>
      </c>
      <c r="I588" s="184" t="str">
        <f t="shared" si="45"/>
        <v/>
      </c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 t="shared" ref="H589:I589" si="46">SUM(H587:H588)</f>
        <v>809100</v>
      </c>
      <c r="I589" s="184">
        <f t="shared" si="46"/>
        <v>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86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I591" si="47">IF(COLUMN() &lt; (COLUMN($H$591) + (ROW()-ROW($H$591))), 0, IF(COLUMN() = (COLUMN($H$591) + (ROW()-ROW($H$591))), $H$590, IF(G591&gt;0, G591-1, $H$590-1)))</f>
        <v>10</v>
      </c>
      <c r="I591" s="186">
        <f t="shared" si="47"/>
        <v>9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ref="H592:I592" si="48">IF(COLUMN() &lt; (COLUMN($H$591) + (ROW()-ROW($H$591))), 0, IF(COLUMN() = (COLUMN($H$591) + (ROW()-ROW($H$591))), $H$590, IF(G592&gt;0, G592-1, $H$590-1)))</f>
        <v>0</v>
      </c>
      <c r="I592" s="186">
        <f t="shared" si="48"/>
        <v>10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ref="H593:I593" si="49">IF(COLUMN() &lt; (COLUMN($H$591) + (ROW()-ROW($H$591))), 0, IF(COLUMN() = (COLUMN($H$591) + (ROW()-ROW($H$591))), $H$590, IF(G593&gt;0, G593-1, $H$590-1)))</f>
        <v>0</v>
      </c>
      <c r="I593" s="186">
        <f t="shared" si="49"/>
        <v>0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ref="H594:I594" si="50">IF(COLUMN() &lt; (COLUMN($H$591) + (ROW()-ROW($H$591))), 0, IF(COLUMN() = (COLUMN($H$591) + (ROW()-ROW($H$591))), $H$590, IF(G594&gt;0, G594-1, $H$590-1)))</f>
        <v>0</v>
      </c>
      <c r="I594" s="186">
        <f t="shared" si="50"/>
        <v>0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ref="H595:I595" si="51">IF(COLUMN() &lt; (COLUMN($H$591) + (ROW()-ROW($H$591))), 0, IF(COLUMN() = (COLUMN($H$591) + (ROW()-ROW($H$591))), $H$590, IF(G595&gt;0, G595-1, $H$590-1)))</f>
        <v>0</v>
      </c>
      <c r="I595" s="186">
        <f t="shared" si="51"/>
        <v>0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ref="H596:I596" si="52">IF(COLUMN() &lt; (COLUMN($H$591) + (ROW()-ROW($H$591))), 0, IF(COLUMN() = (COLUMN($H$591) + (ROW()-ROW($H$591))), $H$590, IF(G596&gt;0, G596-1, $H$590-1)))</f>
        <v>0</v>
      </c>
      <c r="I596" s="186">
        <f t="shared" si="52"/>
        <v>0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ref="H597:I597" si="53">IF(COLUMN() &lt; (COLUMN($H$591) + (ROW()-ROW($H$591))), 0, IF(COLUMN() = (COLUMN($H$591) + (ROW()-ROW($H$591))), $H$590, IF(G597&gt;0, G597-1, $H$590-1)))</f>
        <v>0</v>
      </c>
      <c r="I597" s="186">
        <f t="shared" si="53"/>
        <v>0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ref="H598:I598" si="54">IF(COLUMN() &lt; (COLUMN($H$591) + (ROW()-ROW($H$591))), 0, IF(COLUMN() = (COLUMN($H$591) + (ROW()-ROW($H$591))), $H$590, IF(G598&gt;0, G598-1, $H$590-1)))</f>
        <v>0</v>
      </c>
      <c r="I598" s="186">
        <f t="shared" si="54"/>
        <v>0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ref="H599:I599" si="55">IF(COLUMN() &lt; (COLUMN($H$591) + (ROW()-ROW($H$591))), 0, IF(COLUMN() = (COLUMN($H$591) + (ROW()-ROW($H$591))), $H$590, IF(G599&gt;0, G599-1, $H$590-1)))</f>
        <v>0</v>
      </c>
      <c r="I599" s="186">
        <f t="shared" si="55"/>
        <v>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ref="H600:I600" si="56">IF(COLUMN() &lt; (COLUMN($H$591) + (ROW()-ROW($H$591))), 0, IF(COLUMN() = (COLUMN($H$591) + (ROW()-ROW($H$591))), $H$590, IF(G600&gt;0, G600-1, $H$590-1)))</f>
        <v>0</v>
      </c>
      <c r="I600" s="186">
        <f t="shared" si="56"/>
        <v>0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ref="H601:I601" si="57">IF(COLUMN() &lt; (COLUMN($H$591) + (ROW()-ROW($H$591))), 0, IF(COLUMN() = (COLUMN($H$591) + (ROW()-ROW($H$591))), $H$590, IF(G601&gt;0, G601-1, $H$590-1)))</f>
        <v>0</v>
      </c>
      <c r="I601" s="186">
        <f t="shared" si="57"/>
        <v>0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ref="H602:I602" si="58">IF(COLUMN() &lt; (COLUMN($H$591) + (ROW()-ROW($H$591))), 0, IF(COLUMN() = (COLUMN($H$591) + (ROW()-ROW($H$591))), $H$590, IF(G602&gt;0, G602-1, $H$590-1)))</f>
        <v>0</v>
      </c>
      <c r="I602" s="186">
        <f t="shared" si="58"/>
        <v>0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86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55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 t="shared" ref="H605:I605" si="59">H606-H589</f>
        <v>0</v>
      </c>
      <c r="I605" s="184">
        <f t="shared" si="59"/>
        <v>0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 t="shared" ref="H606:I606" si="60">SUM(H607:H618)</f>
        <v>809100</v>
      </c>
      <c r="I606" s="184">
        <f t="shared" si="60"/>
        <v>0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I607" si="61">IF(COLUMN() &lt; (COLUMN($H$607) + (ROW()-ROW($H$607))), 0, IF(COLUMN() = (COLUMN($H$607) + (ROW()-ROW($H$607))), INDEX($H$589:$I$589, 1, COLUMN()-COLUMN($H$589)+1), IF(H591=0, OFFSET(H607, 0, -$H$590) * $H$604, 0)))</f>
        <v>809100</v>
      </c>
      <c r="I607" s="186">
        <f t="shared" si="61"/>
        <v>0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ref="H608:I608" si="62">IF(COLUMN() &lt; (COLUMN($H$607) + (ROW()-ROW($H$607))), 0, IF(COLUMN() = (COLUMN($H$607) + (ROW()-ROW($H$607))), INDEX($H$589:$I$589, 1, COLUMN()-COLUMN($H$589)+1), IF(H592=0, OFFSET(H608, 0, -$H$590) * $H$604, 0)))</f>
        <v>0</v>
      </c>
      <c r="I608" s="186">
        <f t="shared" si="62"/>
        <v>0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ref="H609:I609" si="63">IF(COLUMN() &lt; (COLUMN($H$607) + (ROW()-ROW($H$607))), 0, IF(COLUMN() = (COLUMN($H$607) + (ROW()-ROW($H$607))), INDEX($H$589:$I$589, 1, COLUMN()-COLUMN($H$589)+1), IF(H593=0, OFFSET(H609, 0, -$H$590) * $H$604, 0)))</f>
        <v>0</v>
      </c>
      <c r="I609" s="186">
        <f t="shared" si="63"/>
        <v>0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ref="H610:I610" si="64">IF(COLUMN() &lt; (COLUMN($H$607) + (ROW()-ROW($H$607))), 0, IF(COLUMN() = (COLUMN($H$607) + (ROW()-ROW($H$607))), INDEX($H$589:$I$589, 1, COLUMN()-COLUMN($H$589)+1), IF(H594=0, OFFSET(H610, 0, -$H$590) * $H$604, 0)))</f>
        <v>0</v>
      </c>
      <c r="I610" s="186">
        <f t="shared" si="64"/>
        <v>0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ref="H611:I611" si="65">IF(COLUMN() &lt; (COLUMN($H$607) + (ROW()-ROW($H$607))), 0, IF(COLUMN() = (COLUMN($H$607) + (ROW()-ROW($H$607))), INDEX($H$589:$I$589, 1, COLUMN()-COLUMN($H$589)+1), IF(H595=0, OFFSET(H611, 0, -$H$590) * $H$604, 0)))</f>
        <v>0</v>
      </c>
      <c r="I611" s="186">
        <f t="shared" si="65"/>
        <v>0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ref="H612:I612" si="66">IF(COLUMN() &lt; (COLUMN($H$607) + (ROW()-ROW($H$607))), 0, IF(COLUMN() = (COLUMN($H$607) + (ROW()-ROW($H$607))), INDEX($H$589:$I$589, 1, COLUMN()-COLUMN($H$589)+1), IF(H596=0, OFFSET(H612, 0, -$H$590) * $H$604, 0)))</f>
        <v>0</v>
      </c>
      <c r="I612" s="186">
        <f t="shared" si="66"/>
        <v>0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ref="H613:I613" si="67">IF(COLUMN() &lt; (COLUMN($H$607) + (ROW()-ROW($H$607))), 0, IF(COLUMN() = (COLUMN($H$607) + (ROW()-ROW($H$607))), INDEX($H$589:$I$589, 1, COLUMN()-COLUMN($H$589)+1), IF(H597=0, OFFSET(H613, 0, -$H$590) * $H$604, 0)))</f>
        <v>0</v>
      </c>
      <c r="I613" s="186">
        <f t="shared" si="67"/>
        <v>0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ref="H614:I614" si="68">IF(COLUMN() &lt; (COLUMN($H$607) + (ROW()-ROW($H$607))), 0, IF(COLUMN() = (COLUMN($H$607) + (ROW()-ROW($H$607))), INDEX($H$589:$I$589, 1, COLUMN()-COLUMN($H$589)+1), IF(H598=0, OFFSET(H614, 0, -$H$590) * $H$604, 0)))</f>
        <v>0</v>
      </c>
      <c r="I614" s="186">
        <f t="shared" si="68"/>
        <v>0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ref="H615:I615" si="69">IF(COLUMN() &lt; (COLUMN($H$607) + (ROW()-ROW($H$607))), 0, IF(COLUMN() = (COLUMN($H$607) + (ROW()-ROW($H$607))), INDEX($H$589:$I$589, 1, COLUMN()-COLUMN($H$589)+1), IF(H599=0, OFFSET(H615, 0, -$H$590) * $H$604, 0)))</f>
        <v>0</v>
      </c>
      <c r="I615" s="186">
        <f t="shared" si="69"/>
        <v>0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ref="H616:I616" si="70">IF(COLUMN() &lt; (COLUMN($H$607) + (ROW()-ROW($H$607))), 0, IF(COLUMN() = (COLUMN($H$607) + (ROW()-ROW($H$607))), INDEX($H$589:$I$589, 1, COLUMN()-COLUMN($H$589)+1), IF(H600=0, OFFSET(H616, 0, -$H$590) * $H$604, 0)))</f>
        <v>0</v>
      </c>
      <c r="I616" s="186">
        <f t="shared" si="70"/>
        <v>0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ref="H617:I617" si="71">IF(COLUMN() &lt; (COLUMN($H$607) + (ROW()-ROW($H$607))), 0, IF(COLUMN() = (COLUMN($H$607) + (ROW()-ROW($H$607))), INDEX($H$589:$I$589, 1, COLUMN()-COLUMN($H$589)+1), IF(H601=0, OFFSET(H617, 0, -$H$590) * $H$604, 0)))</f>
        <v>0</v>
      </c>
      <c r="I617" s="186">
        <f t="shared" si="71"/>
        <v>0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ref="H618:I618" si="72">IF(COLUMN() &lt; (COLUMN($H$607) + (ROW()-ROW($H$607))), 0, IF(COLUMN() = (COLUMN($H$607) + (ROW()-ROW($H$607))), INDEX($H$589:$I$589, 1, COLUMN()-COLUMN($H$589)+1), IF(H602=0, OFFSET(H618, 0, -$H$590) * $H$604, 0)))</f>
        <v>0</v>
      </c>
      <c r="I618" s="186">
        <f t="shared" si="72"/>
        <v>0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3"/>
      <c r="G619" s="155"/>
      <c r="H619" s="155"/>
      <c r="I619" s="155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84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3</v>
      </c>
      <c r="I621" s="186">
        <f>H621</f>
        <v>3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84">
        <f>H622*H623</f>
        <v>4950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55">
        <v>1.1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 t="shared" ref="H624:I624" si="73">H621*H622</f>
        <v>13500</v>
      </c>
      <c r="I624" s="184">
        <f t="shared" si="73"/>
        <v>14850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63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83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84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3"/>
      <c r="F628" s="1" t="str">
        <f t="shared" ref="F628:I628" si="74">F878</f>
        <v>$ [Executar-no loyalty] Revenue Expansion</v>
      </c>
      <c r="G628" s="163" t="str">
        <f t="shared" si="74"/>
        <v/>
      </c>
      <c r="H628" s="178">
        <f t="shared" si="74"/>
        <v>0</v>
      </c>
      <c r="I628" s="178">
        <f t="shared" si="74"/>
        <v>0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 t="shared" ref="H629:I629" si="75">H458</f>
        <v>0</v>
      </c>
      <c r="I629" s="184" t="str">
        <f t="shared" si="75"/>
        <v/>
      </c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 t="shared" ref="H630:I630" si="76">SUM(H628:H629)</f>
        <v>0</v>
      </c>
      <c r="I630" s="184">
        <f t="shared" si="76"/>
        <v>0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86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I632" si="77">IF(COLUMN() &lt; (COLUMN($H$632) + (ROW()-ROW($H$632))), 0, IF(COLUMN() = (COLUMN($H$632) + (ROW()-ROW($H$632))), $H$631, IF(G632&gt;0, G632-1, $H$631-1)))</f>
        <v>2</v>
      </c>
      <c r="I632" s="186">
        <f t="shared" si="77"/>
        <v>1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ref="H633:I633" si="78">IF(COLUMN() &lt; (COLUMN($H$632) + (ROW()-ROW($H$632))), 0, IF(COLUMN() = (COLUMN($H$632) + (ROW()-ROW($H$632))), $H$631, IF(G633&gt;0, G633-1, $H$631-1)))</f>
        <v>0</v>
      </c>
      <c r="I633" s="186">
        <f t="shared" si="78"/>
        <v>2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ref="H634:I634" si="79">IF(COLUMN() &lt; (COLUMN($H$632) + (ROW()-ROW($H$632))), 0, IF(COLUMN() = (COLUMN($H$632) + (ROW()-ROW($H$632))), $H$631, IF(G634&gt;0, G634-1, $H$631-1)))</f>
        <v>0</v>
      </c>
      <c r="I634" s="186">
        <f t="shared" si="79"/>
        <v>0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ref="H635:I635" si="80">IF(COLUMN() &lt; (COLUMN($H$632) + (ROW()-ROW($H$632))), 0, IF(COLUMN() = (COLUMN($H$632) + (ROW()-ROW($H$632))), $H$631, IF(G635&gt;0, G635-1, $H$631-1)))</f>
        <v>0</v>
      </c>
      <c r="I635" s="186">
        <f t="shared" si="80"/>
        <v>0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ref="H636:I636" si="81">IF(COLUMN() &lt; (COLUMN($H$632) + (ROW()-ROW($H$632))), 0, IF(COLUMN() = (COLUMN($H$632) + (ROW()-ROW($H$632))), $H$631, IF(G636&gt;0, G636-1, $H$631-1)))</f>
        <v>0</v>
      </c>
      <c r="I636" s="186">
        <f t="shared" si="81"/>
        <v>0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ref="H637:I637" si="82">IF(COLUMN() &lt; (COLUMN($H$632) + (ROW()-ROW($H$632))), 0, IF(COLUMN() = (COLUMN($H$632) + (ROW()-ROW($H$632))), $H$631, IF(G637&gt;0, G637-1, $H$631-1)))</f>
        <v>0</v>
      </c>
      <c r="I637" s="186">
        <f t="shared" si="82"/>
        <v>0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ref="H638:I638" si="83">IF(COLUMN() &lt; (COLUMN($H$632) + (ROW()-ROW($H$632))), 0, IF(COLUMN() = (COLUMN($H$632) + (ROW()-ROW($H$632))), $H$631, IF(G638&gt;0, G638-1, $H$631-1)))</f>
        <v>0</v>
      </c>
      <c r="I638" s="186">
        <f t="shared" si="83"/>
        <v>0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ref="H639:I639" si="84">IF(COLUMN() &lt; (COLUMN($H$632) + (ROW()-ROW($H$632))), 0, IF(COLUMN() = (COLUMN($H$632) + (ROW()-ROW($H$632))), $H$631, IF(G639&gt;0, G639-1, $H$631-1)))</f>
        <v>0</v>
      </c>
      <c r="I639" s="186">
        <f t="shared" si="84"/>
        <v>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ref="H640:I640" si="85">IF(COLUMN() &lt; (COLUMN($H$632) + (ROW()-ROW($H$632))), 0, IF(COLUMN() = (COLUMN($H$632) + (ROW()-ROW($H$632))), $H$631, IF(G640&gt;0, G640-1, $H$631-1)))</f>
        <v>0</v>
      </c>
      <c r="I640" s="186">
        <f t="shared" si="85"/>
        <v>0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ref="H641:I641" si="86">IF(COLUMN() &lt; (COLUMN($H$632) + (ROW()-ROW($H$632))), 0, IF(COLUMN() = (COLUMN($H$632) + (ROW()-ROW($H$632))), $H$631, IF(G641&gt;0, G641-1, $H$631-1)))</f>
        <v>0</v>
      </c>
      <c r="I641" s="186">
        <f t="shared" si="86"/>
        <v>0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ref="H642:I642" si="87">IF(COLUMN() &lt; (COLUMN($H$632) + (ROW()-ROW($H$632))), 0, IF(COLUMN() = (COLUMN($H$632) + (ROW()-ROW($H$632))), $H$631, IF(G642&gt;0, G642-1, $H$631-1)))</f>
        <v>0</v>
      </c>
      <c r="I642" s="186">
        <f t="shared" si="87"/>
        <v>0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ref="H643:I643" si="88">IF(COLUMN() &lt; (COLUMN($H$632) + (ROW()-ROW($H$632))), 0, IF(COLUMN() = (COLUMN($H$632) + (ROW()-ROW($H$632))), $H$631, IF(G643&gt;0, G643-1, $H$631-1)))</f>
        <v>0</v>
      </c>
      <c r="I643" s="186">
        <f t="shared" si="88"/>
        <v>0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86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55">
        <v>0.8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 t="shared" ref="H646:I646" si="89">H647-H630</f>
        <v>0</v>
      </c>
      <c r="I646" s="184">
        <f t="shared" si="89"/>
        <v>0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 t="shared" ref="H647:I647" si="90">SUM(H648:H659)</f>
        <v>0</v>
      </c>
      <c r="I647" s="184">
        <f t="shared" si="90"/>
        <v>0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I648" si="91">IF(COLUMN() &lt; (COLUMN($H$648) + (ROW()-ROW($H$648))), 0, IF(COLUMN() = (COLUMN($H$648) + (ROW()-ROW($H$648))), INDEX($H$630:$I$630, 1, COLUMN()-COLUMN($H$630)+1), IF(H632=0, OFFSET(H648, 0, -$H$631) * $H$645, 0)))</f>
        <v>0</v>
      </c>
      <c r="I648" s="186">
        <f t="shared" si="91"/>
        <v>0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ref="H649:I649" si="92">IF(COLUMN() &lt; (COLUMN($H$648) + (ROW()-ROW($H$648))), 0, IF(COLUMN() = (COLUMN($H$648) + (ROW()-ROW($H$648))), INDEX($H$630:$I$630, 1, COLUMN()-COLUMN($H$630)+1), IF(H633=0, OFFSET(H649, 0, -$H$631) * $H$645, 0)))</f>
        <v>0</v>
      </c>
      <c r="I649" s="186">
        <f t="shared" si="92"/>
        <v>0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ref="H650:I650" si="93">IF(COLUMN() &lt; (COLUMN($H$648) + (ROW()-ROW($H$648))), 0, IF(COLUMN() = (COLUMN($H$648) + (ROW()-ROW($H$648))), INDEX($H$630:$I$630, 1, COLUMN()-COLUMN($H$630)+1), IF(H634=0, OFFSET(H650, 0, -$H$631) * $H$645, 0)))</f>
        <v>0</v>
      </c>
      <c r="I650" s="186">
        <f t="shared" si="93"/>
        <v>0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ref="H651:I651" si="94">IF(COLUMN() &lt; (COLUMN($H$648) + (ROW()-ROW($H$648))), 0, IF(COLUMN() = (COLUMN($H$648) + (ROW()-ROW($H$648))), INDEX($H$630:$I$630, 1, COLUMN()-COLUMN($H$630)+1), IF(H635=0, OFFSET(H651, 0, -$H$631) * $H$645, 0)))</f>
        <v>0</v>
      </c>
      <c r="I651" s="186">
        <f t="shared" si="94"/>
        <v>0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ref="H652:I652" si="95">IF(COLUMN() &lt; (COLUMN($H$648) + (ROW()-ROW($H$648))), 0, IF(COLUMN() = (COLUMN($H$648) + (ROW()-ROW($H$648))), INDEX($H$630:$I$630, 1, COLUMN()-COLUMN($H$630)+1), IF(H636=0, OFFSET(H652, 0, -$H$631) * $H$645, 0)))</f>
        <v>0</v>
      </c>
      <c r="I652" s="186">
        <f t="shared" si="95"/>
        <v>0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ref="H653:I653" si="96">IF(COLUMN() &lt; (COLUMN($H$648) + (ROW()-ROW($H$648))), 0, IF(COLUMN() = (COLUMN($H$648) + (ROW()-ROW($H$648))), INDEX($H$630:$I$630, 1, COLUMN()-COLUMN($H$630)+1), IF(H637=0, OFFSET(H653, 0, -$H$631) * $H$645, 0)))</f>
        <v>0</v>
      </c>
      <c r="I653" s="186">
        <f t="shared" si="96"/>
        <v>0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ref="H654:I654" si="97">IF(COLUMN() &lt; (COLUMN($H$648) + (ROW()-ROW($H$648))), 0, IF(COLUMN() = (COLUMN($H$648) + (ROW()-ROW($H$648))), INDEX($H$630:$I$630, 1, COLUMN()-COLUMN($H$630)+1), IF(H638=0, OFFSET(H654, 0, -$H$631) * $H$645, 0)))</f>
        <v>0</v>
      </c>
      <c r="I654" s="186">
        <f t="shared" si="97"/>
        <v>0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ref="H655:I655" si="98">IF(COLUMN() &lt; (COLUMN($H$648) + (ROW()-ROW($H$648))), 0, IF(COLUMN() = (COLUMN($H$648) + (ROW()-ROW($H$648))), INDEX($H$630:$I$630, 1, COLUMN()-COLUMN($H$630)+1), IF(H639=0, OFFSET(H655, 0, -$H$631) * $H$645, 0)))</f>
        <v>0</v>
      </c>
      <c r="I655" s="186">
        <f t="shared" si="98"/>
        <v>0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ref="H656:I656" si="99">IF(COLUMN() &lt; (COLUMN($H$648) + (ROW()-ROW($H$648))), 0, IF(COLUMN() = (COLUMN($H$648) + (ROW()-ROW($H$648))), INDEX($H$630:$I$630, 1, COLUMN()-COLUMN($H$630)+1), IF(H640=0, OFFSET(H656, 0, -$H$631) * $H$645, 0)))</f>
        <v>0</v>
      </c>
      <c r="I656" s="186">
        <f t="shared" si="99"/>
        <v>0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ref="H657:I657" si="100">IF(COLUMN() &lt; (COLUMN($H$648) + (ROW()-ROW($H$648))), 0, IF(COLUMN() = (COLUMN($H$648) + (ROW()-ROW($H$648))), INDEX($H$630:$I$630, 1, COLUMN()-COLUMN($H$630)+1), IF(H641=0, OFFSET(H657, 0, -$H$631) * $H$645, 0)))</f>
        <v>0</v>
      </c>
      <c r="I657" s="186">
        <f t="shared" si="100"/>
        <v>0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ref="H658:I658" si="101">IF(COLUMN() &lt; (COLUMN($H$648) + (ROW()-ROW($H$648))), 0, IF(COLUMN() = (COLUMN($H$648) + (ROW()-ROW($H$648))), INDEX($H$630:$I$630, 1, COLUMN()-COLUMN($H$630)+1), IF(H642=0, OFFSET(H658, 0, -$H$631) * $H$645, 0)))</f>
        <v>0</v>
      </c>
      <c r="I658" s="186">
        <f t="shared" si="101"/>
        <v>0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ref="H659:I659" si="102">IF(COLUMN() &lt; (COLUMN($H$648) + (ROW()-ROW($H$648))), 0, IF(COLUMN() = (COLUMN($H$648) + (ROW()-ROW($H$648))), INDEX($H$630:$I$630, 1, COLUMN()-COLUMN($H$630)+1), IF(H643=0, OFFSET(H659, 0, -$H$631) * $H$645, 0)))</f>
        <v>0</v>
      </c>
      <c r="I659" s="186">
        <f t="shared" si="102"/>
        <v>0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3"/>
      <c r="G660" s="155"/>
      <c r="H660" s="155"/>
      <c r="I660" s="155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84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3"/>
      <c r="F662" s="1" t="str">
        <f t="shared" ref="F662:I662" si="103">F881</f>
        <v>$ [Executar-loyalty] Revenue Expansion</v>
      </c>
      <c r="G662" s="163" t="str">
        <f t="shared" si="103"/>
        <v/>
      </c>
      <c r="H662" s="178">
        <f t="shared" si="103"/>
        <v>0</v>
      </c>
      <c r="I662" s="178">
        <f t="shared" si="103"/>
        <v>0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 t="shared" ref="H663:I663" si="104">H460</f>
        <v>736560</v>
      </c>
      <c r="I663" s="184" t="str">
        <f t="shared" si="104"/>
        <v/>
      </c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 t="shared" ref="H664:I664" si="105">SUM(H662:H663)</f>
        <v>736560</v>
      </c>
      <c r="I664" s="184">
        <f t="shared" si="105"/>
        <v>0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86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I666" si="106">IF(COLUMN() &lt; (COLUMN($H$666) + (ROW()-ROW($H$666))), 0, IF(COLUMN() = (COLUMN($H$666) + (ROW()-ROW($H$666))), $H$665, IF(G666&gt;0, G666-1, $H$665-1)))</f>
        <v>9</v>
      </c>
      <c r="I666" s="186">
        <f t="shared" si="106"/>
        <v>8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ref="H667:I667" si="107">IF(COLUMN() &lt; (COLUMN($H$666) + (ROW()-ROW($H$666))), 0, IF(COLUMN() = (COLUMN($H$666) + (ROW()-ROW($H$666))), $H$665, IF(G667&gt;0, G667-1, $H$665-1)))</f>
        <v>0</v>
      </c>
      <c r="I667" s="186">
        <f t="shared" si="107"/>
        <v>9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ref="H668:I668" si="108">IF(COLUMN() &lt; (COLUMN($H$666) + (ROW()-ROW($H$666))), 0, IF(COLUMN() = (COLUMN($H$666) + (ROW()-ROW($H$666))), $H$665, IF(G668&gt;0, G668-1, $H$665-1)))</f>
        <v>0</v>
      </c>
      <c r="I668" s="186">
        <f t="shared" si="108"/>
        <v>0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ref="H669:I669" si="109">IF(COLUMN() &lt; (COLUMN($H$666) + (ROW()-ROW($H$666))), 0, IF(COLUMN() = (COLUMN($H$666) + (ROW()-ROW($H$666))), $H$665, IF(G669&gt;0, G669-1, $H$665-1)))</f>
        <v>0</v>
      </c>
      <c r="I669" s="186">
        <f t="shared" si="109"/>
        <v>0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ref="H670:I670" si="110">IF(COLUMN() &lt; (COLUMN($H$666) + (ROW()-ROW($H$666))), 0, IF(COLUMN() = (COLUMN($H$666) + (ROW()-ROW($H$666))), $H$665, IF(G670&gt;0, G670-1, $H$665-1)))</f>
        <v>0</v>
      </c>
      <c r="I670" s="186">
        <f t="shared" si="110"/>
        <v>0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ref="H671:I671" si="111">IF(COLUMN() &lt; (COLUMN($H$666) + (ROW()-ROW($H$666))), 0, IF(COLUMN() = (COLUMN($H$666) + (ROW()-ROW($H$666))), $H$665, IF(G671&gt;0, G671-1, $H$665-1)))</f>
        <v>0</v>
      </c>
      <c r="I671" s="186">
        <f t="shared" si="111"/>
        <v>0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ref="H672:I672" si="112">IF(COLUMN() &lt; (COLUMN($H$666) + (ROW()-ROW($H$666))), 0, IF(COLUMN() = (COLUMN($H$666) + (ROW()-ROW($H$666))), $H$665, IF(G672&gt;0, G672-1, $H$665-1)))</f>
        <v>0</v>
      </c>
      <c r="I672" s="186">
        <f t="shared" si="112"/>
        <v>0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ref="H673:I673" si="113">IF(COLUMN() &lt; (COLUMN($H$666) + (ROW()-ROW($H$666))), 0, IF(COLUMN() = (COLUMN($H$666) + (ROW()-ROW($H$666))), $H$665, IF(G673&gt;0, G673-1, $H$665-1)))</f>
        <v>0</v>
      </c>
      <c r="I673" s="186">
        <f t="shared" si="113"/>
        <v>0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ref="H674:I674" si="114">IF(COLUMN() &lt; (COLUMN($H$666) + (ROW()-ROW($H$666))), 0, IF(COLUMN() = (COLUMN($H$666) + (ROW()-ROW($H$666))), $H$665, IF(G674&gt;0, G674-1, $H$665-1)))</f>
        <v>0</v>
      </c>
      <c r="I674" s="186">
        <f t="shared" si="114"/>
        <v>0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ref="H675:I675" si="115">IF(COLUMN() &lt; (COLUMN($H$666) + (ROW()-ROW($H$666))), 0, IF(COLUMN() = (COLUMN($H$666) + (ROW()-ROW($H$666))), $H$665, IF(G675&gt;0, G675-1, $H$665-1)))</f>
        <v>0</v>
      </c>
      <c r="I675" s="186">
        <f t="shared" si="115"/>
        <v>0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ref="H676:I676" si="116">IF(COLUMN() &lt; (COLUMN($H$666) + (ROW()-ROW($H$666))), 0, IF(COLUMN() = (COLUMN($H$666) + (ROW()-ROW($H$666))), $H$665, IF(G676&gt;0, G676-1, $H$665-1)))</f>
        <v>0</v>
      </c>
      <c r="I676" s="186">
        <f t="shared" si="116"/>
        <v>0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ref="H677:I677" si="117">IF(COLUMN() &lt; (COLUMN($H$666) + (ROW()-ROW($H$666))), 0, IF(COLUMN() = (COLUMN($H$666) + (ROW()-ROW($H$666))), $H$665, IF(G677&gt;0, G677-1, $H$665-1)))</f>
        <v>0</v>
      </c>
      <c r="I677" s="186">
        <f t="shared" si="117"/>
        <v>0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55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 t="shared" ref="H679:I679" si="118">H680-H664</f>
        <v>0</v>
      </c>
      <c r="I679" s="184">
        <f t="shared" si="118"/>
        <v>0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 t="shared" ref="H680:I680" si="119">SUM(H681:H692)</f>
        <v>736560</v>
      </c>
      <c r="I680" s="184">
        <f t="shared" si="119"/>
        <v>0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I681" si="120">IF(COLUMN() &lt; (COLUMN($H681) + (ROW()-ROW($H$681))), 0, IF(COLUMN() = (COLUMN($H$681) + (ROW()-ROW($H$681))), INDEX($H$664:$I$664, 1, COLUMN()-COLUMN($H$664)+1), IF(H666=0, OFFSET(H681, 0, -$H$665) * $H$678, 0)))</f>
        <v>736560</v>
      </c>
      <c r="I681" s="186">
        <f t="shared" si="120"/>
        <v>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ref="H682:I682" si="121">IF(COLUMN() &lt; (COLUMN($H682) + (ROW()-ROW($H$681))), 0, IF(COLUMN() = (COLUMN($H$681) + (ROW()-ROW($H$681))), INDEX($H$664:$I$664, 1, COLUMN()-COLUMN($H$664)+1), IF(H667=0, OFFSET(H682, 0, -$H$665) * $H$678, 0)))</f>
        <v>0</v>
      </c>
      <c r="I682" s="186">
        <f t="shared" si="121"/>
        <v>0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ref="H683:I683" si="122">IF(COLUMN() &lt; (COLUMN($H683) + (ROW()-ROW($H$681))), 0, IF(COLUMN() = (COLUMN($H$681) + (ROW()-ROW($H$681))), INDEX($H$664:$I$664, 1, COLUMN()-COLUMN($H$664)+1), IF(H668=0, OFFSET(H683, 0, -$H$665) * $H$678, 0)))</f>
        <v>0</v>
      </c>
      <c r="I683" s="186">
        <f t="shared" si="122"/>
        <v>0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ref="H684:I684" si="123">IF(COLUMN() &lt; (COLUMN($H684) + (ROW()-ROW($H$681))), 0, IF(COLUMN() = (COLUMN($H$681) + (ROW()-ROW($H$681))), INDEX($H$664:$I$664, 1, COLUMN()-COLUMN($H$664)+1), IF(H669=0, OFFSET(H684, 0, -$H$665) * $H$678, 0)))</f>
        <v>0</v>
      </c>
      <c r="I684" s="186">
        <f t="shared" si="123"/>
        <v>0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ref="H685:I685" si="124">IF(COLUMN() &lt; (COLUMN($H685) + (ROW()-ROW($H$681))), 0, IF(COLUMN() = (COLUMN($H$681) + (ROW()-ROW($H$681))), INDEX($H$664:$I$664, 1, COLUMN()-COLUMN($H$664)+1), IF(H670=0, OFFSET(H685, 0, -$H$665) * $H$678, 0)))</f>
        <v>0</v>
      </c>
      <c r="I685" s="186">
        <f t="shared" si="124"/>
        <v>0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ref="H686:I686" si="125">IF(COLUMN() &lt; (COLUMN($H686) + (ROW()-ROW($H$681))), 0, IF(COLUMN() = (COLUMN($H$681) + (ROW()-ROW($H$681))), INDEX($H$664:$I$664, 1, COLUMN()-COLUMN($H$664)+1), IF(H671=0, OFFSET(H686, 0, -$H$665) * $H$678, 0)))</f>
        <v>0</v>
      </c>
      <c r="I686" s="186">
        <f t="shared" si="125"/>
        <v>0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ref="H687:I687" si="126">IF(COLUMN() &lt; (COLUMN($H687) + (ROW()-ROW($H$681))), 0, IF(COLUMN() = (COLUMN($H$681) + (ROW()-ROW($H$681))), INDEX($H$664:$I$664, 1, COLUMN()-COLUMN($H$664)+1), IF(H672=0, OFFSET(H687, 0, -$H$665) * $H$678, 0)))</f>
        <v>0</v>
      </c>
      <c r="I687" s="186">
        <f t="shared" si="126"/>
        <v>0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ref="H688:I688" si="127">IF(COLUMN() &lt; (COLUMN($H688) + (ROW()-ROW($H$681))), 0, IF(COLUMN() = (COLUMN($H$681) + (ROW()-ROW($H$681))), INDEX($H$664:$I$664, 1, COLUMN()-COLUMN($H$664)+1), IF(H673=0, OFFSET(H688, 0, -$H$665) * $H$678, 0)))</f>
        <v>0</v>
      </c>
      <c r="I688" s="186">
        <f t="shared" si="127"/>
        <v>0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ref="H689:I689" si="128">IF(COLUMN() &lt; (COLUMN($H689) + (ROW()-ROW($H$681))), 0, IF(COLUMN() = (COLUMN($H$681) + (ROW()-ROW($H$681))), INDEX($H$664:$I$664, 1, COLUMN()-COLUMN($H$664)+1), IF(H674=0, OFFSET(H689, 0, -$H$665) * $H$678, 0)))</f>
        <v>0</v>
      </c>
      <c r="I689" s="186">
        <f t="shared" si="128"/>
        <v>0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ref="H690:I690" si="129">IF(COLUMN() &lt; (COLUMN($H690) + (ROW()-ROW($H$681))), 0, IF(COLUMN() = (COLUMN($H$681) + (ROW()-ROW($H$681))), INDEX($H$664:$I$664, 1, COLUMN()-COLUMN($H$664)+1), IF(H675=0, OFFSET(H690, 0, -$H$665) * $H$678, 0)))</f>
        <v>0</v>
      </c>
      <c r="I690" s="186">
        <f t="shared" si="129"/>
        <v>0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ref="H691:I691" si="130">IF(COLUMN() &lt; (COLUMN($H691) + (ROW()-ROW($H$681))), 0, IF(COLUMN() = (COLUMN($H$681) + (ROW()-ROW($H$681))), INDEX($H$664:$I$664, 1, COLUMN()-COLUMN($H$664)+1), IF(H676=0, OFFSET(H691, 0, -$H$665) * $H$678, 0)))</f>
        <v>0</v>
      </c>
      <c r="I691" s="186">
        <f t="shared" si="130"/>
        <v>0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ref="H692:I692" si="131">IF(COLUMN() &lt; (COLUMN($H692) + (ROW()-ROW($H$681))), 0, IF(COLUMN() = (COLUMN($H$681) + (ROW()-ROW($H$681))), INDEX($H$664:$I$664, 1, COLUMN()-COLUMN($H$664)+1), IF(H677=0, OFFSET(H692, 0, -$H$665) * $H$678, 0)))</f>
        <v>0</v>
      </c>
      <c r="I692" s="186">
        <f t="shared" si="131"/>
        <v>0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3"/>
      <c r="G693" s="184"/>
      <c r="H693" s="184"/>
      <c r="I693" s="184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 t="shared" ref="H694:I694" si="132">H698</f>
        <v>18000</v>
      </c>
      <c r="I694" s="188">
        <f t="shared" si="132"/>
        <v>19800</v>
      </c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4</v>
      </c>
      <c r="I695" s="190">
        <f>H695</f>
        <v>4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88">
        <f>H696*H697</f>
        <v>4950</v>
      </c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54">
        <v>1.1</v>
      </c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 t="shared" ref="H698:I698" si="133">H695*H696</f>
        <v>18000</v>
      </c>
      <c r="I698" s="188">
        <f t="shared" si="133"/>
        <v>19800</v>
      </c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88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83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84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27"/>
      <c r="F702" s="13" t="str">
        <f t="shared" ref="F702:I702" si="134">F923</f>
        <v>$ [Executar-no loyalty] Revenue Expansion</v>
      </c>
      <c r="G702" s="171" t="str">
        <f t="shared" si="134"/>
        <v/>
      </c>
      <c r="H702" s="180">
        <f t="shared" si="134"/>
        <v>0</v>
      </c>
      <c r="I702" s="180">
        <f t="shared" si="134"/>
        <v>318000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 t="shared" ref="H703:I703" si="135">H484</f>
        <v>0</v>
      </c>
      <c r="I703" s="184" t="str">
        <f t="shared" si="135"/>
        <v/>
      </c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 t="shared" ref="H704:I704" si="136">SUM(H702:H703)</f>
        <v>0</v>
      </c>
      <c r="I704" s="184">
        <f t="shared" si="136"/>
        <v>318000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86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I706" si="137">IF(COLUMN() &lt; (COLUMN($H$706) + (ROW()-ROW($H$706))), 0, IF(COLUMN() = (COLUMN($H$706) + (ROW()-ROW($H$706))), $H$705, IF(G706&gt;0, G706-1, $H$705-1)))</f>
        <v>2</v>
      </c>
      <c r="I706" s="186">
        <f t="shared" si="137"/>
        <v>1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ref="H707:I707" si="138">IF(COLUMN() &lt; (COLUMN($H$706) + (ROW()-ROW($H$706))), 0, IF(COLUMN() = (COLUMN($H$706) + (ROW()-ROW($H$706))), $H$705, IF(G707&gt;0, G707-1, $H$705-1)))</f>
        <v>0</v>
      </c>
      <c r="I707" s="186">
        <f t="shared" si="138"/>
        <v>2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ref="H708:I708" si="139">IF(COLUMN() &lt; (COLUMN($H$706) + (ROW()-ROW($H$706))), 0, IF(COLUMN() = (COLUMN($H$706) + (ROW()-ROW($H$706))), $H$705, IF(G708&gt;0, G708-1, $H$705-1)))</f>
        <v>0</v>
      </c>
      <c r="I708" s="186">
        <f t="shared" si="139"/>
        <v>0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ref="H709:I709" si="140">IF(COLUMN() &lt; (COLUMN($H$706) + (ROW()-ROW($H$706))), 0, IF(COLUMN() = (COLUMN($H$706) + (ROW()-ROW($H$706))), $H$705, IF(G709&gt;0, G709-1, $H$705-1)))</f>
        <v>0</v>
      </c>
      <c r="I709" s="186">
        <f t="shared" si="140"/>
        <v>0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ref="H710:I710" si="141">IF(COLUMN() &lt; (COLUMN($H$706) + (ROW()-ROW($H$706))), 0, IF(COLUMN() = (COLUMN($H$706) + (ROW()-ROW($H$706))), $H$705, IF(G710&gt;0, G710-1, $H$705-1)))</f>
        <v>0</v>
      </c>
      <c r="I710" s="186">
        <f t="shared" si="141"/>
        <v>0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ref="H711:I711" si="142">IF(COLUMN() &lt; (COLUMN($H$706) + (ROW()-ROW($H$706))), 0, IF(COLUMN() = (COLUMN($H$706) + (ROW()-ROW($H$706))), $H$705, IF(G711&gt;0, G711-1, $H$705-1)))</f>
        <v>0</v>
      </c>
      <c r="I711" s="186">
        <f t="shared" si="142"/>
        <v>0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ref="H712:I712" si="143">IF(COLUMN() &lt; (COLUMN($H$706) + (ROW()-ROW($H$706))), 0, IF(COLUMN() = (COLUMN($H$706) + (ROW()-ROW($H$706))), $H$705, IF(G712&gt;0, G712-1, $H$705-1)))</f>
        <v>0</v>
      </c>
      <c r="I712" s="186">
        <f t="shared" si="143"/>
        <v>0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ref="H713:I713" si="144">IF(COLUMN() &lt; (COLUMN($H$706) + (ROW()-ROW($H$706))), 0, IF(COLUMN() = (COLUMN($H$706) + (ROW()-ROW($H$706))), $H$705, IF(G713&gt;0, G713-1, $H$705-1)))</f>
        <v>0</v>
      </c>
      <c r="I713" s="186">
        <f t="shared" si="144"/>
        <v>0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ref="H714:I714" si="145">IF(COLUMN() &lt; (COLUMN($H$706) + (ROW()-ROW($H$706))), 0, IF(COLUMN() = (COLUMN($H$706) + (ROW()-ROW($H$706))), $H$705, IF(G714&gt;0, G714-1, $H$705-1)))</f>
        <v>0</v>
      </c>
      <c r="I714" s="186">
        <f t="shared" si="145"/>
        <v>0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ref="H715:I715" si="146">IF(COLUMN() &lt; (COLUMN($H$706) + (ROW()-ROW($H$706))), 0, IF(COLUMN() = (COLUMN($H$706) + (ROW()-ROW($H$706))), $H$705, IF(G715&gt;0, G715-1, $H$705-1)))</f>
        <v>0</v>
      </c>
      <c r="I715" s="186">
        <f t="shared" si="146"/>
        <v>0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ref="H716:I716" si="147">IF(COLUMN() &lt; (COLUMN($H$706) + (ROW()-ROW($H$706))), 0, IF(COLUMN() = (COLUMN($H$706) + (ROW()-ROW($H$706))), $H$705, IF(G716&gt;0, G716-1, $H$705-1)))</f>
        <v>0</v>
      </c>
      <c r="I716" s="186">
        <f t="shared" si="147"/>
        <v>0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ref="H717:I717" si="148">IF(COLUMN() &lt; (COLUMN($H$706) + (ROW()-ROW($H$706))), 0, IF(COLUMN() = (COLUMN($H$706) + (ROW()-ROW($H$706))), $H$705, IF(G717&gt;0, G717-1, $H$705-1)))</f>
        <v>0</v>
      </c>
      <c r="I717" s="186">
        <f t="shared" si="148"/>
        <v>0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86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55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 t="shared" ref="H720:I720" si="149">H721-H704</f>
        <v>0</v>
      </c>
      <c r="I720" s="184">
        <f t="shared" si="149"/>
        <v>0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 t="shared" ref="H721:I721" si="150">SUM(H722:H733)</f>
        <v>0</v>
      </c>
      <c r="I721" s="184">
        <f t="shared" si="150"/>
        <v>318000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I722" si="151">IF(COLUMN() &lt; (COLUMN($H$722) + (ROW()-ROW($H$722))), 0, IF(COLUMN() = (COLUMN($H$722) + (ROW()-ROW($H$722))), INDEX($H$704:$I$704, 1, COLUMN()-COLUMN($H$704)+1), IF(H706=0, OFFSET(H722, 0, -$H$705) * $H$719, 0)))</f>
        <v>0</v>
      </c>
      <c r="I722" s="186">
        <f t="shared" si="151"/>
        <v>0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ref="H723:I723" si="152">IF(COLUMN() &lt; (COLUMN($H$722) + (ROW()-ROW($H$722))), 0, IF(COLUMN() = (COLUMN($H$722) + (ROW()-ROW($H$722))), INDEX($H$704:$I$704, 1, COLUMN()-COLUMN($H$704)+1), IF(H707=0, OFFSET(H723, 0, -$H$705) * $H$719, 0)))</f>
        <v>0</v>
      </c>
      <c r="I723" s="186">
        <f t="shared" si="152"/>
        <v>318000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ref="H724:I724" si="153">IF(COLUMN() &lt; (COLUMN($H$722) + (ROW()-ROW($H$722))), 0, IF(COLUMN() = (COLUMN($H$722) + (ROW()-ROW($H$722))), INDEX($H$704:$I$704, 1, COLUMN()-COLUMN($H$704)+1), IF(H708=0, OFFSET(H724, 0, -$H$705) * $H$719, 0)))</f>
        <v>0</v>
      </c>
      <c r="I724" s="186">
        <f t="shared" si="153"/>
        <v>0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ref="H725:I725" si="154">IF(COLUMN() &lt; (COLUMN($H$722) + (ROW()-ROW($H$722))), 0, IF(COLUMN() = (COLUMN($H$722) + (ROW()-ROW($H$722))), INDEX($H$704:$I$704, 1, COLUMN()-COLUMN($H$704)+1), IF(H709=0, OFFSET(H725, 0, -$H$705) * $H$719, 0)))</f>
        <v>0</v>
      </c>
      <c r="I725" s="186">
        <f t="shared" si="154"/>
        <v>0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ref="H726:I726" si="155">IF(COLUMN() &lt; (COLUMN($H$722) + (ROW()-ROW($H$722))), 0, IF(COLUMN() = (COLUMN($H$722) + (ROW()-ROW($H$722))), INDEX($H$704:$I$704, 1, COLUMN()-COLUMN($H$704)+1), IF(H710=0, OFFSET(H726, 0, -$H$705) * $H$719, 0)))</f>
        <v>0</v>
      </c>
      <c r="I726" s="186">
        <f t="shared" si="155"/>
        <v>0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ref="H727:I727" si="156">IF(COLUMN() &lt; (COLUMN($H$722) + (ROW()-ROW($H$722))), 0, IF(COLUMN() = (COLUMN($H$722) + (ROW()-ROW($H$722))), INDEX($H$704:$I$704, 1, COLUMN()-COLUMN($H$704)+1), IF(H711=0, OFFSET(H727, 0, -$H$705) * $H$719, 0)))</f>
        <v>0</v>
      </c>
      <c r="I727" s="186">
        <f t="shared" si="156"/>
        <v>0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ref="H728:I728" si="157">IF(COLUMN() &lt; (COLUMN($H$722) + (ROW()-ROW($H$722))), 0, IF(COLUMN() = (COLUMN($H$722) + (ROW()-ROW($H$722))), INDEX($H$704:$I$704, 1, COLUMN()-COLUMN($H$704)+1), IF(H712=0, OFFSET(H728, 0, -$H$705) * $H$719, 0)))</f>
        <v>0</v>
      </c>
      <c r="I728" s="186">
        <f t="shared" si="157"/>
        <v>0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ref="H729:I729" si="158">IF(COLUMN() &lt; (COLUMN($H$722) + (ROW()-ROW($H$722))), 0, IF(COLUMN() = (COLUMN($H$722) + (ROW()-ROW($H$722))), INDEX($H$704:$I$704, 1, COLUMN()-COLUMN($H$704)+1), IF(H713=0, OFFSET(H729, 0, -$H$705) * $H$719, 0)))</f>
        <v>0</v>
      </c>
      <c r="I729" s="186">
        <f t="shared" si="158"/>
        <v>0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ref="H730:I730" si="159">IF(COLUMN() &lt; (COLUMN($H$722) + (ROW()-ROW($H$722))), 0, IF(COLUMN() = (COLUMN($H$722) + (ROW()-ROW($H$722))), INDEX($H$704:$I$704, 1, COLUMN()-COLUMN($H$704)+1), IF(H714=0, OFFSET(H730, 0, -$H$705) * $H$719, 0)))</f>
        <v>0</v>
      </c>
      <c r="I730" s="186">
        <f t="shared" si="159"/>
        <v>0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ref="H731:I731" si="160">IF(COLUMN() &lt; (COLUMN($H$722) + (ROW()-ROW($H$722))), 0, IF(COLUMN() = (COLUMN($H$722) + (ROW()-ROW($H$722))), INDEX($H$704:$I$704, 1, COLUMN()-COLUMN($H$704)+1), IF(H715=0, OFFSET(H731, 0, -$H$705) * $H$719, 0)))</f>
        <v>0</v>
      </c>
      <c r="I731" s="186">
        <f t="shared" si="160"/>
        <v>0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ref="H732:I732" si="161">IF(COLUMN() &lt; (COLUMN($H$722) + (ROW()-ROW($H$722))), 0, IF(COLUMN() = (COLUMN($H$722) + (ROW()-ROW($H$722))), INDEX($H$704:$I$704, 1, COLUMN()-COLUMN($H$704)+1), IF(H716=0, OFFSET(H732, 0, -$H$705) * $H$719, 0)))</f>
        <v>0</v>
      </c>
      <c r="I732" s="186">
        <f t="shared" si="161"/>
        <v>0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ref="H733:I733" si="162">IF(COLUMN() &lt; (COLUMN($H$722) + (ROW()-ROW($H$722))), 0, IF(COLUMN() = (COLUMN($H$722) + (ROW()-ROW($H$722))), INDEX($H$704:$I$704, 1, COLUMN()-COLUMN($H$704)+1), IF(H717=0, OFFSET(H733, 0, -$H$705) * $H$719, 0)))</f>
        <v>0</v>
      </c>
      <c r="I733" s="186">
        <f t="shared" si="162"/>
        <v>0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3"/>
      <c r="G734" s="155"/>
      <c r="H734" s="186"/>
      <c r="I734" s="186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 t="shared" ref="H735:I735" si="163">H754</f>
        <v>0</v>
      </c>
      <c r="I735" s="184">
        <f t="shared" si="163"/>
        <v>0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3" t="str">
        <f t="shared" ref="F736:I736" si="164">F926</f>
        <v>$ [Executar-loyalty] Revenue Expansion</v>
      </c>
      <c r="G736" s="171" t="str">
        <f t="shared" si="164"/>
        <v/>
      </c>
      <c r="H736" s="180">
        <f t="shared" si="164"/>
        <v>0</v>
      </c>
      <c r="I736" s="180">
        <f t="shared" si="164"/>
        <v>2142000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 t="shared" ref="H737:I737" si="165">H486</f>
        <v>2779770</v>
      </c>
      <c r="I737" s="184" t="str">
        <f t="shared" si="165"/>
        <v/>
      </c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 t="shared" ref="H738:I738" si="166">SUM(H736:H737)</f>
        <v>2779770</v>
      </c>
      <c r="I738" s="184">
        <f t="shared" si="166"/>
        <v>2142000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86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I740" si="167">IF(COLUMN() &lt; (COLUMN($H$740) + (ROW()-ROW($H$740))), 0, IF(COLUMN() = (COLUMN($H$740) + (ROW()-ROW($H$740))), $H$739, IF(G740&gt;0, G740-1, $H$739-1)))</f>
        <v>7</v>
      </c>
      <c r="I740" s="186">
        <f t="shared" si="167"/>
        <v>6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ref="H741:I741" si="168">IF(COLUMN() &lt; (COLUMN($H$740) + (ROW()-ROW($H$740))), 0, IF(COLUMN() = (COLUMN($H$740) + (ROW()-ROW($H$740))), $H$739, IF(G741&gt;0, G741-1, $H$739-1)))</f>
        <v>0</v>
      </c>
      <c r="I741" s="186">
        <f t="shared" si="168"/>
        <v>7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ref="H742:I742" si="169">IF(COLUMN() &lt; (COLUMN($H$740) + (ROW()-ROW($H$740))), 0, IF(COLUMN() = (COLUMN($H$740) + (ROW()-ROW($H$740))), $H$739, IF(G742&gt;0, G742-1, $H$739-1)))</f>
        <v>0</v>
      </c>
      <c r="I742" s="186">
        <f t="shared" si="169"/>
        <v>0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ref="H743:I743" si="170">IF(COLUMN() &lt; (COLUMN($H$740) + (ROW()-ROW($H$740))), 0, IF(COLUMN() = (COLUMN($H$740) + (ROW()-ROW($H$740))), $H$739, IF(G743&gt;0, G743-1, $H$739-1)))</f>
        <v>0</v>
      </c>
      <c r="I743" s="186">
        <f t="shared" si="170"/>
        <v>0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ref="H744:I744" si="171">IF(COLUMN() &lt; (COLUMN($H$740) + (ROW()-ROW($H$740))), 0, IF(COLUMN() = (COLUMN($H$740) + (ROW()-ROW($H$740))), $H$739, IF(G744&gt;0, G744-1, $H$739-1)))</f>
        <v>0</v>
      </c>
      <c r="I744" s="186">
        <f t="shared" si="171"/>
        <v>0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ref="H745:I745" si="172">IF(COLUMN() &lt; (COLUMN($H$740) + (ROW()-ROW($H$740))), 0, IF(COLUMN() = (COLUMN($H$740) + (ROW()-ROW($H$740))), $H$739, IF(G745&gt;0, G745-1, $H$739-1)))</f>
        <v>0</v>
      </c>
      <c r="I745" s="186">
        <f t="shared" si="172"/>
        <v>0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ref="H746:I746" si="173">IF(COLUMN() &lt; (COLUMN($H$740) + (ROW()-ROW($H$740))), 0, IF(COLUMN() = (COLUMN($H$740) + (ROW()-ROW($H$740))), $H$739, IF(G746&gt;0, G746-1, $H$739-1)))</f>
        <v>0</v>
      </c>
      <c r="I746" s="186">
        <f t="shared" si="173"/>
        <v>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ref="H747:I747" si="174">IF(COLUMN() &lt; (COLUMN($H$740) + (ROW()-ROW($H$740))), 0, IF(COLUMN() = (COLUMN($H$740) + (ROW()-ROW($H$740))), $H$739, IF(G747&gt;0, G747-1, $H$739-1)))</f>
        <v>0</v>
      </c>
      <c r="I747" s="186">
        <f t="shared" si="174"/>
        <v>0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ref="H748:I748" si="175">IF(COLUMN() &lt; (COLUMN($H$740) + (ROW()-ROW($H$740))), 0, IF(COLUMN() = (COLUMN($H$740) + (ROW()-ROW($H$740))), $H$739, IF(G748&gt;0, G748-1, $H$739-1)))</f>
        <v>0</v>
      </c>
      <c r="I748" s="186">
        <f t="shared" si="175"/>
        <v>0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ref="H749:I749" si="176">IF(COLUMN() &lt; (COLUMN($H$740) + (ROW()-ROW($H$740))), 0, IF(COLUMN() = (COLUMN($H$740) + (ROW()-ROW($H$740))), $H$739, IF(G749&gt;0, G749-1, $H$739-1)))</f>
        <v>0</v>
      </c>
      <c r="I749" s="186">
        <f t="shared" si="176"/>
        <v>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ref="H750:I750" si="177">IF(COLUMN() &lt; (COLUMN($H$740) + (ROW()-ROW($H$740))), 0, IF(COLUMN() = (COLUMN($H$740) + (ROW()-ROW($H$740))), $H$739, IF(G750&gt;0, G750-1, $H$739-1)))</f>
        <v>0</v>
      </c>
      <c r="I750" s="186">
        <f t="shared" si="177"/>
        <v>0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ref="H751:I751" si="178">IF(COLUMN() &lt; (COLUMN($H$740) + (ROW()-ROW($H$740))), 0, IF(COLUMN() = (COLUMN($H$740) + (ROW()-ROW($H$740))), $H$739, IF(G751&gt;0, G751-1, $H$739-1)))</f>
        <v>0</v>
      </c>
      <c r="I751" s="186">
        <f t="shared" si="178"/>
        <v>0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86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55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 t="shared" ref="H754:I754" si="179">H755-H738</f>
        <v>0</v>
      </c>
      <c r="I754" s="184">
        <f t="shared" si="179"/>
        <v>0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 t="shared" ref="H755:I755" si="180">SUM(H756:H767)</f>
        <v>2779770</v>
      </c>
      <c r="I755" s="184">
        <f t="shared" si="180"/>
        <v>2142000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I756" si="181">IF(COLUMN() &lt; (COLUMN($H$756) + (ROW()-ROW($H$756))), 0, IF(COLUMN() = (COLUMN($H$756) + (ROW()-ROW($H$756))), INDEX($H$738:$I$738, 1, COLUMN()-COLUMN($H$738)+1), IF(H740=0, OFFSET(H756, 0, -$H$739) * $H$753, 0)))</f>
        <v>2779770</v>
      </c>
      <c r="I756" s="186">
        <f t="shared" si="181"/>
        <v>0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ref="H757:I757" si="182">IF(COLUMN() &lt; (COLUMN($H$756) + (ROW()-ROW($H$756))), 0, IF(COLUMN() = (COLUMN($H$756) + (ROW()-ROW($H$756))), INDEX($H$738:$I$738, 1, COLUMN()-COLUMN($H$738)+1), IF(H741=0, OFFSET(H757, 0, -$H$739) * $H$753, 0)))</f>
        <v>0</v>
      </c>
      <c r="I757" s="186">
        <f t="shared" si="182"/>
        <v>2142000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ref="H758:I758" si="183">IF(COLUMN() &lt; (COLUMN($H$756) + (ROW()-ROW($H$756))), 0, IF(COLUMN() = (COLUMN($H$756) + (ROW()-ROW($H$756))), INDEX($H$738:$I$738, 1, COLUMN()-COLUMN($H$738)+1), IF(H742=0, OFFSET(H758, 0, -$H$739) * $H$753, 0)))</f>
        <v>0</v>
      </c>
      <c r="I758" s="186">
        <f t="shared" si="183"/>
        <v>0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ref="H759:I759" si="184">IF(COLUMN() &lt; (COLUMN($H$756) + (ROW()-ROW($H$756))), 0, IF(COLUMN() = (COLUMN($H$756) + (ROW()-ROW($H$756))), INDEX($H$738:$I$738, 1, COLUMN()-COLUMN($H$738)+1), IF(H743=0, OFFSET(H759, 0, -$H$739) * $H$753, 0)))</f>
        <v>0</v>
      </c>
      <c r="I759" s="186">
        <f t="shared" si="184"/>
        <v>0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ref="H760:I760" si="185">IF(COLUMN() &lt; (COLUMN($H$756) + (ROW()-ROW($H$756))), 0, IF(COLUMN() = (COLUMN($H$756) + (ROW()-ROW($H$756))), INDEX($H$738:$I$738, 1, COLUMN()-COLUMN($H$738)+1), IF(H744=0, OFFSET(H760, 0, -$H$739) * $H$753, 0)))</f>
        <v>0</v>
      </c>
      <c r="I760" s="186">
        <f t="shared" si="185"/>
        <v>0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ref="H761:I761" si="186">IF(COLUMN() &lt; (COLUMN($H$756) + (ROW()-ROW($H$756))), 0, IF(COLUMN() = (COLUMN($H$756) + (ROW()-ROW($H$756))), INDEX($H$738:$I$738, 1, COLUMN()-COLUMN($H$738)+1), IF(H745=0, OFFSET(H761, 0, -$H$739) * $H$753, 0)))</f>
        <v>0</v>
      </c>
      <c r="I761" s="186">
        <f t="shared" si="186"/>
        <v>0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ref="H762:I762" si="187">IF(COLUMN() &lt; (COLUMN($H$756) + (ROW()-ROW($H$756))), 0, IF(COLUMN() = (COLUMN($H$756) + (ROW()-ROW($H$756))), INDEX($H$738:$I$738, 1, COLUMN()-COLUMN($H$738)+1), IF(H746=0, OFFSET(H762, 0, -$H$739) * $H$753, 0)))</f>
        <v>0</v>
      </c>
      <c r="I762" s="186">
        <f t="shared" si="187"/>
        <v>0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ref="H763:I763" si="188">IF(COLUMN() &lt; (COLUMN($H$756) + (ROW()-ROW($H$756))), 0, IF(COLUMN() = (COLUMN($H$756) + (ROW()-ROW($H$756))), INDEX($H$738:$I$738, 1, COLUMN()-COLUMN($H$738)+1), IF(H747=0, OFFSET(H763, 0, -$H$739) * $H$753, 0)))</f>
        <v>0</v>
      </c>
      <c r="I763" s="186">
        <f t="shared" si="188"/>
        <v>0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ref="H764:I764" si="189">IF(COLUMN() &lt; (COLUMN($H$756) + (ROW()-ROW($H$756))), 0, IF(COLUMN() = (COLUMN($H$756) + (ROW()-ROW($H$756))), INDEX($H$738:$I$738, 1, COLUMN()-COLUMN($H$738)+1), IF(H748=0, OFFSET(H764, 0, -$H$739) * $H$753, 0)))</f>
        <v>0</v>
      </c>
      <c r="I764" s="186">
        <f t="shared" si="189"/>
        <v>0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ref="H765:I765" si="190">IF(COLUMN() &lt; (COLUMN($H$756) + (ROW()-ROW($H$756))), 0, IF(COLUMN() = (COLUMN($H$756) + (ROW()-ROW($H$756))), INDEX($H$738:$I$738, 1, COLUMN()-COLUMN($H$738)+1), IF(H749=0, OFFSET(H765, 0, -$H$739) * $H$753, 0)))</f>
        <v>0</v>
      </c>
      <c r="I765" s="186">
        <f t="shared" si="190"/>
        <v>0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ref="H766:I766" si="191">IF(COLUMN() &lt; (COLUMN($H$756) + (ROW()-ROW($H$756))), 0, IF(COLUMN() = (COLUMN($H$756) + (ROW()-ROW($H$756))), INDEX($H$738:$I$738, 1, COLUMN()-COLUMN($H$738)+1), IF(H750=0, OFFSET(H766, 0, -$H$739) * $H$753, 0)))</f>
        <v>0</v>
      </c>
      <c r="I766" s="186">
        <f t="shared" si="191"/>
        <v>0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ref="H767:I767" si="192">IF(COLUMN() &lt; (COLUMN($H$756) + (ROW()-ROW($H$756))), 0, IF(COLUMN() = (COLUMN($H$756) + (ROW()-ROW($H$756))), INDEX($H$738:$I$738, 1, COLUMN()-COLUMN($H$738)+1), IF(H751=0, OFFSET(H767, 0, -$H$739) * $H$753, 0)))</f>
        <v>0</v>
      </c>
      <c r="I767" s="186">
        <f t="shared" si="192"/>
        <v>0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shared" ref="H768:I768" si="193">IF(COLUMN() &lt; (COLUMN($H$756) + (ROW()-ROW($H$756))), 0, IF(COLUMN() = (COLUMN($H$756) + (ROW()-ROW($H$756))), INDEX($H$738:$I$738, 1, COLUMN()-COLUMN($H$738)+1), IF(H753=0, OFFSET(H768, 0, -$H$739) * $H$753, 0)))</f>
        <v>0</v>
      </c>
      <c r="I768" s="186">
        <f t="shared" si="193"/>
        <v>0</v>
      </c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86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 t="shared" ref="H770:I770" si="194">H774</f>
        <v>0</v>
      </c>
      <c r="I770" s="188">
        <f t="shared" si="194"/>
        <v>0</v>
      </c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0">
        <f>H771</f>
        <v>0</v>
      </c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88">
        <f>H772*H773</f>
        <v>0</v>
      </c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54">
        <v>0.0</v>
      </c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 t="shared" ref="H774:I774" si="195">H771*H772</f>
        <v>0</v>
      </c>
      <c r="I774" s="188">
        <f t="shared" si="195"/>
        <v>0</v>
      </c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5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5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18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63"/>
      <c r="H778" s="163"/>
      <c r="I778" s="163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 t="shared" ref="H779:I779" si="196">SUM(H782,H785,H788,H791,H794)</f>
        <v>0</v>
      </c>
      <c r="I779" s="173">
        <f t="shared" si="196"/>
        <v>7966000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76" t="s">
        <v>287</v>
      </c>
      <c r="D781" s="176" t="s">
        <v>424</v>
      </c>
      <c r="E781" s="1"/>
      <c r="F781" s="1"/>
      <c r="G781" s="128"/>
      <c r="H781" s="128">
        <f t="shared" ref="H781:I781" si="197">IFERROR(H782/H$779,0)</f>
        <v>0</v>
      </c>
      <c r="I781" s="128">
        <f t="shared" si="197"/>
        <v>0.402711524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76" t="s">
        <v>285</v>
      </c>
      <c r="D782" s="176" t="s">
        <v>425</v>
      </c>
      <c r="E782" s="1"/>
      <c r="F782" s="1"/>
      <c r="G782" s="173"/>
      <c r="H782" s="173">
        <f t="shared" ref="H782:I782" si="198">SUM(H827,H872,H917,H963,H1008)</f>
        <v>0</v>
      </c>
      <c r="I782" s="173">
        <f t="shared" si="198"/>
        <v>3208000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78"/>
      <c r="H783" s="178"/>
      <c r="I783" s="178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76" t="s">
        <v>287</v>
      </c>
      <c r="D784" s="176" t="s">
        <v>426</v>
      </c>
      <c r="E784" s="1"/>
      <c r="F784" s="1"/>
      <c r="G784" s="128"/>
      <c r="H784" s="128">
        <f t="shared" ref="H784:I784" si="199">IFERROR(H785/H$779,0)</f>
        <v>0</v>
      </c>
      <c r="I784" s="128">
        <f t="shared" si="199"/>
        <v>0.2884760231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76" t="s">
        <v>285</v>
      </c>
      <c r="D785" s="176" t="s">
        <v>427</v>
      </c>
      <c r="E785" s="1"/>
      <c r="F785" s="1"/>
      <c r="G785" s="173"/>
      <c r="H785" s="173">
        <f t="shared" ref="H785:I785" si="200">SUM(H830,H875,H920,H966,H1011)</f>
        <v>0</v>
      </c>
      <c r="I785" s="173">
        <f t="shared" si="200"/>
        <v>2298000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78"/>
      <c r="H786" s="178"/>
      <c r="I786" s="178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76" t="s">
        <v>287</v>
      </c>
      <c r="D787" s="13" t="s">
        <v>428</v>
      </c>
      <c r="E787" s="1"/>
      <c r="F787" s="1"/>
      <c r="G787" s="128"/>
      <c r="H787" s="128">
        <f t="shared" ref="H787:I787" si="201">IFERROR(H788/H$779,0)</f>
        <v>0</v>
      </c>
      <c r="I787" s="128">
        <f t="shared" si="201"/>
        <v>0.03991965855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ht="18.0" customHeight="1">
      <c r="A788" s="1"/>
      <c r="B788" s="1"/>
      <c r="C788" s="176" t="s">
        <v>285</v>
      </c>
      <c r="D788" s="13" t="s">
        <v>429</v>
      </c>
      <c r="E788" s="1"/>
      <c r="F788" s="1"/>
      <c r="G788" s="173"/>
      <c r="H788" s="173">
        <f t="shared" ref="H788:I788" si="202">SUM(H833,H878,H923)</f>
        <v>0</v>
      </c>
      <c r="I788" s="173">
        <f t="shared" si="202"/>
        <v>318000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78"/>
      <c r="H789" s="178"/>
      <c r="I789" s="178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76" t="s">
        <v>287</v>
      </c>
      <c r="D790" s="13" t="s">
        <v>430</v>
      </c>
      <c r="E790" s="1"/>
      <c r="F790" s="1"/>
      <c r="G790" s="128"/>
      <c r="H790" s="128">
        <f t="shared" ref="H790:I790" si="203">IFERROR(H791/H$779,0)</f>
        <v>0</v>
      </c>
      <c r="I790" s="128">
        <f t="shared" si="203"/>
        <v>0.2688927944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ht="18.0" customHeight="1">
      <c r="A791" s="1"/>
      <c r="B791" s="1"/>
      <c r="C791" s="176" t="s">
        <v>285</v>
      </c>
      <c r="D791" s="13" t="s">
        <v>431</v>
      </c>
      <c r="E791" s="1"/>
      <c r="F791" s="1"/>
      <c r="G791" s="173"/>
      <c r="H791" s="173">
        <f t="shared" ref="H791:I791" si="204">SUM(H836,H881,H926)</f>
        <v>0</v>
      </c>
      <c r="I791" s="173">
        <f t="shared" si="204"/>
        <v>2142000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78"/>
      <c r="H792" s="178"/>
      <c r="I792" s="143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76" t="s">
        <v>287</v>
      </c>
      <c r="D793" s="176" t="s">
        <v>432</v>
      </c>
      <c r="E793" s="1"/>
      <c r="F793" s="1"/>
      <c r="G793" s="128"/>
      <c r="H793" s="128">
        <f t="shared" ref="H793:I793" si="205">IFERROR(H794/H$779,0)</f>
        <v>0</v>
      </c>
      <c r="I793" s="128">
        <f t="shared" si="205"/>
        <v>0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76" t="s">
        <v>285</v>
      </c>
      <c r="D794" s="176" t="s">
        <v>433</v>
      </c>
      <c r="E794" s="1"/>
      <c r="F794" s="1"/>
      <c r="G794" s="173"/>
      <c r="H794" s="173">
        <f t="shared" ref="H794:I794" si="206">SUM(H839,H884,H929)</f>
        <v>0</v>
      </c>
      <c r="I794" s="173">
        <f t="shared" si="206"/>
        <v>0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43"/>
      <c r="H795" s="143"/>
      <c r="I795" s="143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27</v>
      </c>
      <c r="I797" s="197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0.02546408889</v>
      </c>
      <c r="H798" s="149">
        <f>SUM($H$416)</f>
        <v>3437652</v>
      </c>
      <c r="I798" s="197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56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135000000</v>
      </c>
      <c r="I800" s="149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</row>
    <row r="801">
      <c r="A801" s="160"/>
      <c r="B801" s="160"/>
      <c r="C801" s="160"/>
      <c r="D801" s="160"/>
      <c r="E801" s="172"/>
      <c r="G801" s="19"/>
      <c r="H801" s="149"/>
      <c r="I801" s="149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0.05092817778</v>
      </c>
      <c r="H802" s="219">
        <v>0.0</v>
      </c>
      <c r="I802" s="213">
        <v>0.0</v>
      </c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</row>
    <row r="803">
      <c r="A803" s="160"/>
      <c r="B803" s="160"/>
      <c r="C803" s="160"/>
      <c r="D803" s="160"/>
      <c r="E803" s="172" t="s">
        <v>301</v>
      </c>
      <c r="G803" s="149">
        <f>H800*G802</f>
        <v>6875304</v>
      </c>
      <c r="H803" s="149"/>
      <c r="I803" s="149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3437652</v>
      </c>
      <c r="I804" s="149">
        <f>H804+I813</f>
        <v>3437652</v>
      </c>
      <c r="J804" s="199" t="str">
        <f>#REF!</f>
        <v>#REF!</v>
      </c>
      <c r="K804" s="199"/>
      <c r="L804" s="199"/>
      <c r="M804" s="199"/>
      <c r="N804" s="199"/>
      <c r="O804" s="199"/>
      <c r="P804" s="199"/>
      <c r="Q804" s="199"/>
      <c r="R804" s="199"/>
      <c r="S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3437652</v>
      </c>
      <c r="H805" s="149">
        <f>$G$895*H802</f>
        <v>0</v>
      </c>
      <c r="I805" s="149">
        <f>$G$805*I802</f>
        <v>0</v>
      </c>
      <c r="J805" s="199">
        <f>SUM(H805:I805)</f>
        <v>0</v>
      </c>
      <c r="K805" s="199"/>
      <c r="L805" s="199"/>
      <c r="M805" s="199"/>
      <c r="N805" s="199"/>
      <c r="O805" s="199"/>
      <c r="P805" s="199"/>
      <c r="Q805" s="199"/>
      <c r="R805" s="199"/>
      <c r="S805" s="199"/>
    </row>
    <row r="806">
      <c r="A806" s="160"/>
      <c r="B806" s="160"/>
      <c r="C806" s="160"/>
      <c r="D806" s="160"/>
      <c r="E806" s="172"/>
      <c r="G806" s="151"/>
      <c r="H806" s="142"/>
      <c r="I806" s="142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 t="shared" ref="H807:I807" si="207">$H$800-H804</f>
        <v>131562348</v>
      </c>
      <c r="I807" s="149">
        <f t="shared" si="207"/>
        <v>131562348</v>
      </c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J808" si="208">IFERROR(H804/$H$890,0)</f>
        <v>0.01799817801</v>
      </c>
      <c r="I808" s="142">
        <f t="shared" si="208"/>
        <v>0.01799817801</v>
      </c>
      <c r="J808" s="200">
        <f t="shared" si="208"/>
        <v>0</v>
      </c>
      <c r="K808" s="200"/>
      <c r="L808" s="200"/>
      <c r="M808" s="200"/>
      <c r="N808" s="200"/>
      <c r="O808" s="200"/>
      <c r="P808" s="200"/>
      <c r="Q808" s="200"/>
      <c r="R808" s="200"/>
      <c r="S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J809" si="209">IFERROR(1-(H804/$H$800),0)</f>
        <v>0.9745359111</v>
      </c>
      <c r="I809" s="142">
        <f t="shared" si="209"/>
        <v>0.9745359111</v>
      </c>
      <c r="J809" s="200">
        <f t="shared" si="209"/>
        <v>0</v>
      </c>
      <c r="K809" s="200"/>
      <c r="L809" s="200"/>
      <c r="M809" s="200"/>
      <c r="N809" s="200"/>
      <c r="O809" s="200"/>
      <c r="P809" s="200"/>
      <c r="Q809" s="200"/>
      <c r="R809" s="200"/>
      <c r="S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5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 t="shared" ref="H811:I811" si="210">ROUNDUP(H805/H812,0)</f>
        <v>0</v>
      </c>
      <c r="I811" s="190">
        <f t="shared" si="210"/>
        <v>0</v>
      </c>
      <c r="J811" s="201">
        <f>SUM(H811:I811)</f>
        <v>0</v>
      </c>
      <c r="K811" s="201"/>
      <c r="L811" s="201"/>
      <c r="M811" s="201"/>
      <c r="N811" s="201"/>
      <c r="O811" s="201"/>
      <c r="P811" s="201"/>
      <c r="Q811" s="201"/>
      <c r="R811" s="201"/>
      <c r="S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56">
        <v>44500.0</v>
      </c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 t="shared" ref="H813:I813" si="211">SUM(H827,H830,H833,H836,H839)</f>
        <v>0</v>
      </c>
      <c r="I813" s="188">
        <f t="shared" si="211"/>
        <v>0</v>
      </c>
      <c r="J813" s="196">
        <f>SUM(H813:I813)</f>
        <v>0</v>
      </c>
      <c r="K813" s="160"/>
      <c r="L813" s="160"/>
      <c r="M813" s="160"/>
      <c r="N813" s="160"/>
      <c r="O813" s="160"/>
      <c r="P813" s="160"/>
      <c r="Q813" s="160"/>
      <c r="R813" s="160"/>
      <c r="S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203">
        <v>0.5</v>
      </c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203">
        <v>0.4</v>
      </c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203">
        <v>0.05</v>
      </c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203">
        <v>0.05</v>
      </c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203">
        <v>0.0</v>
      </c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204">
        <v>70000.0</v>
      </c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204">
        <v>10000.0</v>
      </c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204">
        <v>10000.0</v>
      </c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204">
        <v>100000.0</v>
      </c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204">
        <v>0.0</v>
      </c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62">
        <f>IFERROR(__xludf.DUMMYFUNCTION("MATCH(
  MIN(FILTER(I819:I823,I819:I823&gt;0)),
  I819:I823,
  0
)
"),2.0)</f>
        <v>2</v>
      </c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4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 t="shared" ref="H826:I826" si="212"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48">
        <f t="shared" si="212"/>
        <v>0</v>
      </c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 t="shared" ref="H827:I827" si="213">(H826*H819)</f>
        <v>0</v>
      </c>
      <c r="I827" s="150">
        <f t="shared" si="213"/>
        <v>0</v>
      </c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4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 t="shared" ref="H829:I829" si="214"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48">
        <f t="shared" si="214"/>
        <v>0</v>
      </c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 t="shared" ref="H830:I830" si="215">(H820*H829)</f>
        <v>0</v>
      </c>
      <c r="I830" s="150">
        <f t="shared" si="215"/>
        <v>0</v>
      </c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4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 t="shared" ref="H832:I832" si="216">ROUNDDOWN(H811*H816,0)
 + IF(H824=3,
      H811 - SUM(
        ROUNDDOWN(H811*H814,0),
        ROUNDDOWN(H811*H815,0),
        ROUNDDOWN(H811*H816,0),
        ROUNDDOWN(H811*H817,0)
      ),
      0
   )
</f>
        <v>0</v>
      </c>
      <c r="I832" s="148">
        <f t="shared" si="216"/>
        <v>0</v>
      </c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 t="shared" ref="H833:I833" si="217">(H821*H832)</f>
        <v>0</v>
      </c>
      <c r="I833" s="150">
        <f t="shared" si="217"/>
        <v>0</v>
      </c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4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 t="shared" ref="H835:I835" si="218"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48">
        <f t="shared" si="218"/>
        <v>0</v>
      </c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 t="shared" ref="H836:I836" si="219">(H822*H835)</f>
        <v>0</v>
      </c>
      <c r="I836" s="150">
        <f t="shared" si="219"/>
        <v>0</v>
      </c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4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 t="shared" ref="H838:I838" si="220"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48">
        <f t="shared" si="220"/>
        <v>0</v>
      </c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 t="shared" ref="H839:I839" si="221">(H823*H838)</f>
        <v>0</v>
      </c>
      <c r="I839" s="150">
        <f t="shared" si="221"/>
        <v>0</v>
      </c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60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36</v>
      </c>
      <c r="I842" s="206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0.03358333333</v>
      </c>
      <c r="H843" s="149">
        <f>H442</f>
        <v>3627000</v>
      </c>
      <c r="I843" s="149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56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108000000</v>
      </c>
      <c r="I845" s="149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</row>
    <row r="846">
      <c r="A846" s="160"/>
      <c r="B846" s="160"/>
      <c r="C846" s="160"/>
      <c r="D846" s="160"/>
      <c r="E846" s="172"/>
      <c r="G846" s="19"/>
      <c r="H846" s="149"/>
      <c r="I846" s="149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0.10075</v>
      </c>
      <c r="H847" s="167">
        <v>0.0</v>
      </c>
      <c r="I847" s="145">
        <v>0.0</v>
      </c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10881000</v>
      </c>
      <c r="H848" s="19"/>
      <c r="I848" s="19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3627000</v>
      </c>
      <c r="I849" s="149">
        <f>H849+I858</f>
        <v>3627000</v>
      </c>
      <c r="J849" s="199" t="str">
        <f>#REF!</f>
        <v>#REF!</v>
      </c>
      <c r="K849" s="199"/>
      <c r="L849" s="199"/>
      <c r="M849" s="199"/>
      <c r="N849" s="199"/>
      <c r="O849" s="199"/>
      <c r="P849" s="199"/>
      <c r="Q849" s="199"/>
      <c r="R849" s="199"/>
      <c r="S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7254000</v>
      </c>
      <c r="H850" s="149">
        <f t="shared" ref="H850:I850" si="222">$G$850*H847</f>
        <v>0</v>
      </c>
      <c r="I850" s="149">
        <f t="shared" si="222"/>
        <v>0</v>
      </c>
      <c r="J850" s="199">
        <f>SUM(H850:I850)</f>
        <v>0</v>
      </c>
      <c r="K850" s="199"/>
      <c r="L850" s="199"/>
      <c r="M850" s="199"/>
      <c r="N850" s="199"/>
      <c r="O850" s="199"/>
      <c r="P850" s="199"/>
      <c r="Q850" s="199"/>
      <c r="R850" s="199"/>
      <c r="S850" s="199"/>
    </row>
    <row r="851">
      <c r="A851" s="160"/>
      <c r="B851" s="160"/>
      <c r="C851" s="160"/>
      <c r="D851" s="160"/>
      <c r="E851" s="172"/>
      <c r="G851" s="151"/>
      <c r="H851" s="142"/>
      <c r="I851" s="142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 t="shared" ref="H852:I852" si="223">$H$845-H849</f>
        <v>104373000</v>
      </c>
      <c r="I852" s="149">
        <f t="shared" si="223"/>
        <v>104373000</v>
      </c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J853" si="224">IFERROR(H849/$H$845,0)</f>
        <v>0.03358333333</v>
      </c>
      <c r="I853" s="142">
        <f t="shared" si="224"/>
        <v>0.03358333333</v>
      </c>
      <c r="J853" s="200">
        <f t="shared" si="224"/>
        <v>0</v>
      </c>
      <c r="K853" s="200"/>
      <c r="L853" s="200"/>
      <c r="M853" s="200"/>
      <c r="N853" s="200"/>
      <c r="O853" s="200"/>
      <c r="P853" s="200"/>
      <c r="Q853" s="200"/>
      <c r="R853" s="200"/>
      <c r="S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J854" si="225">IFERROR(1-(H849/$H$845),0)</f>
        <v>0.9664166667</v>
      </c>
      <c r="I854" s="142">
        <f t="shared" si="225"/>
        <v>0.9664166667</v>
      </c>
      <c r="J854" s="200">
        <f t="shared" si="225"/>
        <v>0</v>
      </c>
      <c r="K854" s="200"/>
      <c r="L854" s="200"/>
      <c r="M854" s="200"/>
      <c r="N854" s="200"/>
      <c r="O854" s="200"/>
      <c r="P854" s="200"/>
      <c r="Q854" s="200"/>
      <c r="R854" s="200"/>
      <c r="S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7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 t="shared" ref="H856:I856" si="226">ROUNDUP(H850/H857,0)</f>
        <v>0</v>
      </c>
      <c r="I856" s="190">
        <f t="shared" si="226"/>
        <v>0</v>
      </c>
      <c r="J856" s="201">
        <f>SUM(H856:I856)</f>
        <v>0</v>
      </c>
      <c r="K856" s="201"/>
      <c r="L856" s="201"/>
      <c r="M856" s="201"/>
      <c r="N856" s="201"/>
      <c r="O856" s="201"/>
      <c r="P856" s="201"/>
      <c r="Q856" s="201"/>
      <c r="R856" s="201"/>
      <c r="S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56">
        <v>22000.0</v>
      </c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 t="shared" ref="H858:I858" si="227">SUM(H872,H875,H878,H881,H884)</f>
        <v>0</v>
      </c>
      <c r="I858" s="188">
        <f t="shared" si="227"/>
        <v>0</v>
      </c>
      <c r="J858" s="196">
        <f>SUM(H858:I858)</f>
        <v>0</v>
      </c>
      <c r="K858" s="160"/>
      <c r="L858" s="160"/>
      <c r="M858" s="160"/>
      <c r="N858" s="160"/>
      <c r="O858" s="160"/>
      <c r="P858" s="160"/>
      <c r="Q858" s="160"/>
      <c r="R858" s="160"/>
      <c r="S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203">
        <v>0.4</v>
      </c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203">
        <v>0.4</v>
      </c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203">
        <v>0.1</v>
      </c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203">
        <v>0.1</v>
      </c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203">
        <v>0.0</v>
      </c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204">
        <v>25000.0</v>
      </c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204">
        <v>10000.0</v>
      </c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204">
        <v>8000.0</v>
      </c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204">
        <v>72000.0</v>
      </c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204">
        <v>0.0</v>
      </c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62">
        <f>IFERROR(__xludf.DUMMYFUNCTION("MATCH(
  MIN(FILTER(I864:I868,I864:I868&gt;0)),
  I864:I868,
  0
)
"),3.0)</f>
        <v>3</v>
      </c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4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 t="shared" ref="H871:I871" si="228"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48">
        <f t="shared" si="228"/>
        <v>0</v>
      </c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 t="shared" ref="H872:I872" si="229">(H871*H864)</f>
        <v>0</v>
      </c>
      <c r="I872" s="150">
        <f t="shared" si="229"/>
        <v>0</v>
      </c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4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 t="shared" ref="H874:I874" si="230"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48">
        <f t="shared" si="230"/>
        <v>0</v>
      </c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 t="shared" ref="H875:I875" si="231">(H865*H874)</f>
        <v>0</v>
      </c>
      <c r="I875" s="150">
        <f t="shared" si="231"/>
        <v>0</v>
      </c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4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 t="shared" ref="H877:I877" si="232">ROUNDDOWN(H856*H861,0)
 + IF(H869=3,
      H856 - SUM(
        ROUNDDOWN(H856*H859,0),
        ROUNDDOWN(H856*H860,0),
        ROUNDDOWN(H856*H861,0),
        ROUNDDOWN(H856*H862,0)
      ),
      0
   )
</f>
        <v>0</v>
      </c>
      <c r="I877" s="148">
        <f t="shared" si="232"/>
        <v>0</v>
      </c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 t="shared" ref="H878:I878" si="233">(H866*H877)</f>
        <v>0</v>
      </c>
      <c r="I878" s="150">
        <f t="shared" si="233"/>
        <v>0</v>
      </c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4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 t="shared" ref="H880:I880" si="234"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48">
        <f t="shared" si="234"/>
        <v>0</v>
      </c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 t="shared" ref="H881:I881" si="235">(H867*H880)</f>
        <v>0</v>
      </c>
      <c r="I881" s="150">
        <f t="shared" si="235"/>
        <v>0</v>
      </c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4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 t="shared" ref="H883:I883" si="236"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48">
        <f t="shared" si="236"/>
        <v>0</v>
      </c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 t="shared" ref="H884:I884" si="237">(H868*H883)</f>
        <v>0</v>
      </c>
      <c r="I884" s="150">
        <f t="shared" si="237"/>
        <v>0</v>
      </c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</row>
    <row r="885">
      <c r="A885" s="1"/>
      <c r="B885" s="1"/>
      <c r="C885" s="1"/>
      <c r="D885" s="1"/>
      <c r="E885" s="1"/>
      <c r="F885" s="1"/>
      <c r="G885" s="146"/>
      <c r="H885" s="163"/>
      <c r="I885" s="163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191</v>
      </c>
      <c r="I887" s="209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0.07605062827</v>
      </c>
      <c r="H888" s="210">
        <f>H$468</f>
        <v>14525670</v>
      </c>
      <c r="I888" s="209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158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191000000</v>
      </c>
      <c r="I890" s="212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</row>
    <row r="891">
      <c r="A891" s="160"/>
      <c r="B891" s="160"/>
      <c r="C891" s="160"/>
      <c r="D891" s="160"/>
      <c r="E891" s="172"/>
      <c r="G891" s="19"/>
      <c r="H891" s="149"/>
      <c r="I891" s="212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0.1521012565</v>
      </c>
      <c r="H892" s="213">
        <v>0.0</v>
      </c>
      <c r="I892" s="213">
        <v>0.32</v>
      </c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29051340</v>
      </c>
      <c r="H893" s="149"/>
      <c r="I893" s="149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14525670</v>
      </c>
      <c r="I894" s="149">
        <f>H894+I903</f>
        <v>19155670</v>
      </c>
      <c r="J894" s="211" t="str">
        <f>#REF!</f>
        <v>#REF!</v>
      </c>
      <c r="K894" s="211"/>
      <c r="L894" s="211"/>
      <c r="M894" s="211"/>
      <c r="N894" s="211"/>
      <c r="O894" s="211"/>
      <c r="P894" s="211"/>
      <c r="Q894" s="211"/>
      <c r="R894" s="211"/>
      <c r="S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14525670</v>
      </c>
      <c r="H895" s="149">
        <f t="shared" ref="H895:I895" si="238">$G$895*H892</f>
        <v>0</v>
      </c>
      <c r="I895" s="149">
        <f t="shared" si="238"/>
        <v>4648214.4</v>
      </c>
      <c r="J895" s="214">
        <f>SUM(H895:I895)</f>
        <v>4648214.4</v>
      </c>
      <c r="K895" s="211"/>
      <c r="L895" s="211"/>
      <c r="M895" s="211"/>
      <c r="N895" s="211"/>
      <c r="O895" s="211"/>
      <c r="P895" s="211"/>
      <c r="Q895" s="211"/>
      <c r="R895" s="211"/>
      <c r="S895" s="211"/>
    </row>
    <row r="896">
      <c r="A896" s="160"/>
      <c r="B896" s="160"/>
      <c r="C896" s="160"/>
      <c r="D896" s="160"/>
      <c r="E896" s="172"/>
      <c r="G896" s="151"/>
      <c r="H896" s="213"/>
      <c r="I896" s="213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 t="shared" ref="H897:I897" si="239">$H$890-H894</f>
        <v>176474330</v>
      </c>
      <c r="I897" s="149">
        <f t="shared" si="239"/>
        <v>171844330</v>
      </c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J898" si="240">IFERROR(H894/$H$890,0)</f>
        <v>0.07605062827</v>
      </c>
      <c r="I898" s="142">
        <f t="shared" si="240"/>
        <v>0.100291466</v>
      </c>
      <c r="J898" s="215">
        <f t="shared" si="240"/>
        <v>0</v>
      </c>
      <c r="K898" s="215"/>
      <c r="L898" s="215"/>
      <c r="M898" s="215"/>
      <c r="N898" s="215"/>
      <c r="O898" s="215"/>
      <c r="P898" s="215"/>
      <c r="Q898" s="215"/>
      <c r="R898" s="215"/>
      <c r="S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J899" si="241">IFERROR(1-(H894/$H$890),0)</f>
        <v>0.9239493717</v>
      </c>
      <c r="I899" s="216">
        <f t="shared" si="241"/>
        <v>0.899708534</v>
      </c>
      <c r="J899" s="215">
        <f t="shared" si="241"/>
        <v>0</v>
      </c>
      <c r="K899" s="215"/>
      <c r="L899" s="215"/>
      <c r="M899" s="215"/>
      <c r="N899" s="215"/>
      <c r="O899" s="215"/>
      <c r="P899" s="215"/>
      <c r="Q899" s="215"/>
      <c r="R899" s="215"/>
      <c r="S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158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 t="shared" ref="H901:I901" si="242">ROUNDUP(H895/H902,0)</f>
        <v>0</v>
      </c>
      <c r="I901" s="217">
        <f t="shared" si="242"/>
        <v>257</v>
      </c>
      <c r="J901" s="218">
        <f>SUM(H901:I901)</f>
        <v>257</v>
      </c>
      <c r="K901" s="211"/>
      <c r="L901" s="211"/>
      <c r="M901" s="211"/>
      <c r="N901" s="211"/>
      <c r="O901" s="211"/>
      <c r="P901" s="211"/>
      <c r="Q901" s="211"/>
      <c r="R901" s="211"/>
      <c r="S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56">
        <v>18100.0</v>
      </c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 t="shared" ref="H903:I903" si="243">SUM(H917,H920,H923,H926,H929)</f>
        <v>0</v>
      </c>
      <c r="I903" s="188">
        <f t="shared" si="243"/>
        <v>4630000</v>
      </c>
      <c r="J903" s="214">
        <f>SUM(H903:I903)</f>
        <v>4630000</v>
      </c>
      <c r="K903" s="214"/>
      <c r="L903" s="214"/>
      <c r="M903" s="214"/>
      <c r="N903" s="214"/>
      <c r="O903" s="214"/>
      <c r="P903" s="214"/>
      <c r="Q903" s="214"/>
      <c r="R903" s="214"/>
      <c r="S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203">
        <v>0.25</v>
      </c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203">
        <v>0.35</v>
      </c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203">
        <v>0.2</v>
      </c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203">
        <v>0.2</v>
      </c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203">
        <v>0.0</v>
      </c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204">
        <v>20000.0</v>
      </c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204">
        <v>10000.0</v>
      </c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204">
        <v>6000.0</v>
      </c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204">
        <v>42000.0</v>
      </c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204">
        <v>0.0</v>
      </c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62">
        <f>IFERROR(__xludf.DUMMYFUNCTION("MATCH(
  MIN(FILTER(I909:I913,I909:I913&gt;0)),
  I909:I913,
  0
)
"),3.0)</f>
        <v>3</v>
      </c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4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 t="shared" ref="H916:I916" si="244"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48">
        <f t="shared" si="244"/>
        <v>64</v>
      </c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 t="shared" ref="H917:I917" si="245">(H916*H909)</f>
        <v>0</v>
      </c>
      <c r="I917" s="150">
        <f t="shared" si="245"/>
        <v>1280000</v>
      </c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4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 t="shared" ref="H919:I919" si="246"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48">
        <f t="shared" si="246"/>
        <v>89</v>
      </c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 t="shared" ref="H920:I920" si="247">(H910*H919)</f>
        <v>0</v>
      </c>
      <c r="I920" s="150">
        <f t="shared" si="247"/>
        <v>890000</v>
      </c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4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 t="shared" ref="H922:I922" si="248">ROUNDDOWN(H901*H906,0)
 + IF(H914=3,
      H901 - SUM(
        ROUNDDOWN(H901*H904,0),
        ROUNDDOWN(H901*H905,0),
        ROUNDDOWN(H901*H906,0),
        ROUNDDOWN(H901*H907,0)
      ),
      0
   )
</f>
        <v>0</v>
      </c>
      <c r="I922" s="148">
        <f t="shared" si="248"/>
        <v>53</v>
      </c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 t="shared" ref="H923:I923" si="249">(H911*H922)</f>
        <v>0</v>
      </c>
      <c r="I923" s="150">
        <f t="shared" si="249"/>
        <v>318000</v>
      </c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4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 t="shared" ref="H925:I925" si="250"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48">
        <f t="shared" si="250"/>
        <v>51</v>
      </c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 t="shared" ref="H926:I926" si="251">(H912*H925)</f>
        <v>0</v>
      </c>
      <c r="I926" s="150">
        <f t="shared" si="251"/>
        <v>2142000</v>
      </c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4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 t="shared" ref="H928:I928" si="252"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48">
        <f t="shared" si="252"/>
        <v>0</v>
      </c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</row>
    <row r="929">
      <c r="A929" s="160"/>
      <c r="B929" s="160"/>
      <c r="C929" s="160"/>
      <c r="F929" s="172" t="s">
        <v>314</v>
      </c>
      <c r="G929" s="146"/>
      <c r="H929" s="150">
        <f t="shared" ref="H929:I929" si="253">(H913*H928)</f>
        <v>0</v>
      </c>
      <c r="I929" s="150">
        <f t="shared" si="253"/>
        <v>0</v>
      </c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60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</row>
    <row r="931">
      <c r="A931" s="1"/>
      <c r="B931" s="1"/>
      <c r="C931" s="1"/>
      <c r="D931" s="1"/>
      <c r="E931" s="1"/>
      <c r="F931" s="1"/>
      <c r="G931" s="146"/>
      <c r="H931" s="163"/>
      <c r="I931" s="163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450</v>
      </c>
      <c r="I933" s="206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0.3810818519</v>
      </c>
      <c r="H934" s="149">
        <f>SUM($H$494)</f>
        <v>15433815</v>
      </c>
      <c r="I934" s="149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56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40500000</v>
      </c>
      <c r="I936" s="149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</row>
    <row r="937">
      <c r="A937" s="160"/>
      <c r="B937" s="160"/>
      <c r="C937" s="160"/>
      <c r="D937" s="160"/>
      <c r="E937" s="172"/>
      <c r="G937" s="19"/>
      <c r="H937" s="149"/>
      <c r="I937" s="149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0.5716227778</v>
      </c>
      <c r="H938" s="213">
        <v>0.0</v>
      </c>
      <c r="I938" s="213">
        <v>0.32</v>
      </c>
      <c r="J938" s="200">
        <f>SUM(H938:I938)</f>
        <v>0.32</v>
      </c>
      <c r="K938" s="200"/>
      <c r="L938" s="200"/>
      <c r="M938" s="200"/>
      <c r="N938" s="200"/>
      <c r="O938" s="200"/>
      <c r="P938" s="200"/>
      <c r="Q938" s="200"/>
      <c r="R938" s="200"/>
      <c r="S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23150722.5</v>
      </c>
      <c r="H939" s="19"/>
      <c r="I939" s="19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15433815</v>
      </c>
      <c r="I940" s="149">
        <f>H940+I949</f>
        <v>17905815</v>
      </c>
      <c r="J940" s="199" t="str">
        <f>#REF!</f>
        <v>#REF!</v>
      </c>
      <c r="K940" s="199"/>
      <c r="L940" s="199"/>
      <c r="M940" s="199"/>
      <c r="N940" s="199"/>
      <c r="O940" s="199"/>
      <c r="P940" s="199"/>
      <c r="Q940" s="199"/>
      <c r="R940" s="199"/>
      <c r="S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7716907.5</v>
      </c>
      <c r="H941" s="149">
        <f t="shared" ref="H941:I941" si="254">$G$941*H938</f>
        <v>0</v>
      </c>
      <c r="I941" s="149">
        <f t="shared" si="254"/>
        <v>2469410.4</v>
      </c>
      <c r="J941" s="199">
        <f>SUM(H941:I941)</f>
        <v>2469410.4</v>
      </c>
      <c r="K941" s="199"/>
      <c r="L941" s="199"/>
      <c r="M941" s="199"/>
      <c r="N941" s="199"/>
      <c r="O941" s="199"/>
      <c r="P941" s="199"/>
      <c r="Q941" s="199"/>
      <c r="R941" s="199"/>
      <c r="S941" s="199"/>
    </row>
    <row r="942">
      <c r="A942" s="160"/>
      <c r="B942" s="160"/>
      <c r="C942" s="160"/>
      <c r="D942" s="160"/>
      <c r="E942" s="172"/>
      <c r="G942" s="19"/>
      <c r="H942" s="149"/>
      <c r="I942" s="149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 t="shared" ref="H943:I943" si="255">$H$936-H940</f>
        <v>25066185</v>
      </c>
      <c r="I943" s="149">
        <f t="shared" si="255"/>
        <v>22594185</v>
      </c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J944" si="256">IFERROR(H940/$H$936,0)</f>
        <v>0.3810818519</v>
      </c>
      <c r="I944" s="142">
        <f t="shared" si="256"/>
        <v>0.4421188889</v>
      </c>
      <c r="J944" s="200">
        <f t="shared" si="256"/>
        <v>0</v>
      </c>
      <c r="K944" s="200"/>
      <c r="L944" s="200"/>
      <c r="M944" s="200"/>
      <c r="N944" s="200"/>
      <c r="O944" s="200"/>
      <c r="P944" s="200"/>
      <c r="Q944" s="200"/>
      <c r="R944" s="200"/>
      <c r="S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J945" si="257">IFERROR(1-(H940/$H$936),0)</f>
        <v>0.6189181481</v>
      </c>
      <c r="I945" s="142">
        <f t="shared" si="257"/>
        <v>0.5578811111</v>
      </c>
      <c r="J945" s="200">
        <f t="shared" si="257"/>
        <v>0</v>
      </c>
      <c r="K945" s="200"/>
      <c r="L945" s="200"/>
      <c r="M945" s="200"/>
      <c r="N945" s="200"/>
      <c r="O945" s="200"/>
      <c r="P945" s="200"/>
      <c r="Q945" s="200"/>
      <c r="R945" s="200"/>
      <c r="S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5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 t="shared" ref="H947:I947" si="258">ROUNDUP(H941/H948,0)</f>
        <v>0</v>
      </c>
      <c r="I947" s="190">
        <f t="shared" si="258"/>
        <v>281</v>
      </c>
      <c r="J947" s="201">
        <f>SUM(H947:I947)</f>
        <v>281</v>
      </c>
      <c r="K947" s="201"/>
      <c r="L947" s="201"/>
      <c r="M947" s="201"/>
      <c r="N947" s="201"/>
      <c r="O947" s="201"/>
      <c r="P947" s="201"/>
      <c r="Q947" s="201"/>
      <c r="R947" s="201"/>
      <c r="S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56">
        <v>8800.0</v>
      </c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 t="shared" ref="H949:I949" si="259">SUM(H963,H966,H969,H972,H975)</f>
        <v>0</v>
      </c>
      <c r="I949" s="188">
        <f t="shared" si="259"/>
        <v>2472000</v>
      </c>
      <c r="J949" s="196">
        <f>SUM(H949:I949)</f>
        <v>2472000</v>
      </c>
      <c r="K949" s="160"/>
      <c r="L949" s="160"/>
      <c r="M949" s="160"/>
      <c r="N949" s="160"/>
      <c r="O949" s="160"/>
      <c r="P949" s="160"/>
      <c r="Q949" s="160"/>
      <c r="R949" s="160"/>
      <c r="S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203">
        <v>0.6</v>
      </c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203">
        <v>0.4</v>
      </c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203">
        <v>0.0</v>
      </c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203">
        <v>0.0</v>
      </c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203">
        <v>0.0</v>
      </c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204">
        <v>8000.0</v>
      </c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204">
        <v>10000.0</v>
      </c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204">
        <v>0.0</v>
      </c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204">
        <v>0.0</v>
      </c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204">
        <v>0.0</v>
      </c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62">
        <f>IFERROR(__xludf.DUMMYFUNCTION("MATCH(
  MIN(FILTER(I955:I959,I955:I959&gt;0)),
  I955:I959,
  0
)
"),1.0)</f>
        <v>1</v>
      </c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4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 t="shared" ref="H962:I962" si="260"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48">
        <f t="shared" si="260"/>
        <v>169</v>
      </c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 t="shared" ref="H963:I963" si="261">(H962*H955)</f>
        <v>0</v>
      </c>
      <c r="I963" s="150">
        <f t="shared" si="261"/>
        <v>1352000</v>
      </c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4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 t="shared" ref="H965:I965" si="262"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48">
        <f t="shared" si="262"/>
        <v>112</v>
      </c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 t="shared" ref="H966:I966" si="263">(H956*H965)</f>
        <v>0</v>
      </c>
      <c r="I966" s="150">
        <f t="shared" si="263"/>
        <v>1120000</v>
      </c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4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 t="shared" ref="H968:I968" si="264">ROUNDDOWN(H947*H952,0)
 + IF(H960=3,
      H947 - SUM(
        ROUNDDOWN(H947*H950,0),
        ROUNDDOWN(H947*H951,0),
        ROUNDDOWN(H947*H952,0),
        ROUNDDOWN(H947*H953,0)
      ),
      0
   )
</f>
        <v>0</v>
      </c>
      <c r="I968" s="148">
        <f t="shared" si="264"/>
        <v>0</v>
      </c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 t="shared" ref="H969:I969" si="265">(H957*H968)</f>
        <v>0</v>
      </c>
      <c r="I969" s="150">
        <f t="shared" si="265"/>
        <v>0</v>
      </c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4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 t="shared" ref="H971:I971" si="266"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48">
        <f t="shared" si="266"/>
        <v>0</v>
      </c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 t="shared" ref="H972:I972" si="267">(H958*H971)</f>
        <v>0</v>
      </c>
      <c r="I972" s="150">
        <f t="shared" si="267"/>
        <v>0</v>
      </c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4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 t="shared" ref="H974:I974" si="268"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48">
        <f t="shared" si="268"/>
        <v>0</v>
      </c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</row>
    <row r="975">
      <c r="A975" s="160"/>
      <c r="B975" s="160"/>
      <c r="C975" s="160"/>
      <c r="F975" s="172" t="s">
        <v>314</v>
      </c>
      <c r="G975" s="146"/>
      <c r="H975" s="150">
        <f t="shared" ref="H975:I975" si="269">(H959*H974)</f>
        <v>0</v>
      </c>
      <c r="I975" s="150">
        <f t="shared" si="269"/>
        <v>0</v>
      </c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60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212</v>
      </c>
      <c r="I978" s="206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0.5093066038</v>
      </c>
      <c r="H979" s="149">
        <f>SUM($H$520)</f>
        <v>5398650</v>
      </c>
      <c r="I979" s="149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56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10600000</v>
      </c>
      <c r="I981" s="149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</row>
    <row r="982">
      <c r="A982" s="160"/>
      <c r="B982" s="160"/>
      <c r="C982" s="160"/>
      <c r="D982" s="160"/>
      <c r="E982" s="172"/>
      <c r="G982" s="19"/>
      <c r="H982" s="149"/>
      <c r="I982" s="149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0.7639599057</v>
      </c>
      <c r="H983" s="219">
        <v>0.0</v>
      </c>
      <c r="I983" s="213">
        <v>0.32</v>
      </c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8097975</v>
      </c>
      <c r="H984" s="19"/>
      <c r="I984" s="19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5398650</v>
      </c>
      <c r="I985" s="149">
        <f>H985+I994</f>
        <v>6262650</v>
      </c>
      <c r="J985" s="199" t="str">
        <f>#REF!</f>
        <v>#REF!</v>
      </c>
      <c r="K985" s="199"/>
      <c r="L985" s="199"/>
      <c r="M985" s="199"/>
      <c r="N985" s="199"/>
      <c r="O985" s="199"/>
      <c r="P985" s="199"/>
      <c r="Q985" s="199"/>
      <c r="R985" s="199"/>
      <c r="S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2699325</v>
      </c>
      <c r="H986" s="149">
        <f t="shared" ref="H986:I986" si="270">$G$986*H983</f>
        <v>0</v>
      </c>
      <c r="I986" s="149">
        <f t="shared" si="270"/>
        <v>863784</v>
      </c>
      <c r="J986" s="199">
        <f>SUM(H986:I986)</f>
        <v>863784</v>
      </c>
      <c r="K986" s="199"/>
      <c r="L986" s="199"/>
      <c r="M986" s="199"/>
      <c r="N986" s="199"/>
      <c r="O986" s="199"/>
      <c r="P986" s="199"/>
      <c r="Q986" s="199"/>
      <c r="R986" s="199"/>
      <c r="S986" s="199"/>
    </row>
    <row r="987">
      <c r="A987" s="160"/>
      <c r="B987" s="160"/>
      <c r="C987" s="160"/>
      <c r="D987" s="160"/>
      <c r="E987" s="172"/>
      <c r="G987" s="149"/>
      <c r="H987" s="149"/>
      <c r="I987" s="149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 t="shared" ref="H988:I988" si="271">$H$981-H985</f>
        <v>5201350</v>
      </c>
      <c r="I988" s="149">
        <f t="shared" si="271"/>
        <v>4337350</v>
      </c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 t="shared" ref="H989:I989" si="272">IFERROR(SUM(H994,H979)/$H$981,0)</f>
        <v>0.5093066038</v>
      </c>
      <c r="I989" s="142">
        <f t="shared" si="272"/>
        <v>0.08150943396</v>
      </c>
      <c r="J989" s="200">
        <f>IFERROR(J985/$H$981,0)</f>
        <v>0</v>
      </c>
      <c r="K989" s="200"/>
      <c r="L989" s="200"/>
      <c r="M989" s="200"/>
      <c r="N989" s="200"/>
      <c r="O989" s="200"/>
      <c r="P989" s="200"/>
      <c r="Q989" s="200"/>
      <c r="R989" s="200"/>
      <c r="S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 t="shared" ref="H990:I990" si="273">IFERROR(1-(H979/$H$981),0)</f>
        <v>0.4906933962</v>
      </c>
      <c r="I990" s="216">
        <f t="shared" si="273"/>
        <v>1</v>
      </c>
      <c r="J990" s="200">
        <f>IFERROR(1-(J985/$H$981),0)</f>
        <v>0</v>
      </c>
      <c r="K990" s="200"/>
      <c r="L990" s="200"/>
      <c r="M990" s="200"/>
      <c r="N990" s="200"/>
      <c r="O990" s="200"/>
      <c r="P990" s="200"/>
      <c r="Q990" s="200"/>
      <c r="R990" s="200"/>
      <c r="S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207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 t="shared" ref="H992:I992" si="274">ROUNDUP(H986/H993,0)</f>
        <v>0</v>
      </c>
      <c r="I992" s="190">
        <f t="shared" si="274"/>
        <v>120</v>
      </c>
      <c r="J992" s="201">
        <f>SUM(H992:I992)</f>
        <v>120</v>
      </c>
      <c r="K992" s="201"/>
      <c r="L992" s="201"/>
      <c r="M992" s="201"/>
      <c r="N992" s="201"/>
      <c r="O992" s="201"/>
      <c r="P992" s="201"/>
      <c r="Q992" s="201"/>
      <c r="R992" s="201"/>
      <c r="S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56">
        <v>7200.0</v>
      </c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 t="shared" ref="H994:I994" si="275">SUM(H1008,H1011,H1014,H1017,H1020)</f>
        <v>0</v>
      </c>
      <c r="I994" s="188">
        <f t="shared" si="275"/>
        <v>864000</v>
      </c>
      <c r="J994" s="196">
        <f>SUM(H994:I994)</f>
        <v>864000</v>
      </c>
      <c r="K994" s="160"/>
      <c r="L994" s="160"/>
      <c r="M994" s="160"/>
      <c r="N994" s="160"/>
      <c r="O994" s="160"/>
      <c r="P994" s="160"/>
      <c r="Q994" s="160"/>
      <c r="R994" s="160"/>
      <c r="S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203">
        <v>0.6</v>
      </c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203">
        <v>0.4</v>
      </c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203">
        <v>0.0</v>
      </c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203">
        <v>0.0</v>
      </c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203">
        <v>0.0</v>
      </c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204">
        <v>8000.0</v>
      </c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204">
        <v>6000.0</v>
      </c>
      <c r="J1001" s="198"/>
      <c r="K1001" s="198"/>
      <c r="L1001" s="198"/>
      <c r="M1001" s="198"/>
      <c r="N1001" s="198"/>
      <c r="O1001" s="198"/>
      <c r="P1001" s="198"/>
      <c r="Q1001" s="198"/>
      <c r="R1001" s="198"/>
      <c r="S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204">
        <v>0.0</v>
      </c>
      <c r="J1002" s="198"/>
      <c r="K1002" s="198"/>
      <c r="L1002" s="198"/>
      <c r="M1002" s="198"/>
      <c r="N1002" s="198"/>
      <c r="O1002" s="198"/>
      <c r="P1002" s="198"/>
      <c r="Q1002" s="198"/>
      <c r="R1002" s="198"/>
      <c r="S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204">
        <v>0.0</v>
      </c>
      <c r="J1003" s="198"/>
      <c r="K1003" s="198"/>
      <c r="L1003" s="198"/>
      <c r="M1003" s="198"/>
      <c r="N1003" s="198"/>
      <c r="O1003" s="198"/>
      <c r="P1003" s="198"/>
      <c r="Q1003" s="198"/>
      <c r="R1003" s="198"/>
      <c r="S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204">
        <v>0.0</v>
      </c>
      <c r="J1004" s="198"/>
      <c r="K1004" s="198"/>
      <c r="L1004" s="198"/>
      <c r="M1004" s="198"/>
      <c r="N1004" s="198"/>
      <c r="O1004" s="198"/>
      <c r="P1004" s="198"/>
      <c r="Q1004" s="198"/>
      <c r="R1004" s="198"/>
      <c r="S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62">
        <f>IFERROR(__xludf.DUMMYFUNCTION("MATCH(
  MIN(FILTER(I1000:I1004,I1000:I1004&gt;0)),
  I1000:I1004,
  0
)
"),2.0)</f>
        <v>2</v>
      </c>
      <c r="J1005" s="198"/>
      <c r="K1005" s="198"/>
      <c r="L1005" s="198"/>
      <c r="M1005" s="198"/>
      <c r="N1005" s="198"/>
      <c r="O1005" s="198"/>
      <c r="P1005" s="198"/>
      <c r="Q1005" s="198"/>
      <c r="R1005" s="198"/>
      <c r="S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48"/>
      <c r="J1006" s="198"/>
      <c r="K1006" s="198"/>
      <c r="L1006" s="198"/>
      <c r="M1006" s="198"/>
      <c r="N1006" s="198"/>
      <c r="O1006" s="198"/>
      <c r="P1006" s="198"/>
      <c r="Q1006" s="198"/>
      <c r="R1006" s="198"/>
      <c r="S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 t="shared" ref="H1007:I1007" si="276"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48">
        <f t="shared" si="276"/>
        <v>72</v>
      </c>
      <c r="J1007" s="198"/>
      <c r="K1007" s="198"/>
      <c r="L1007" s="198"/>
      <c r="M1007" s="198"/>
      <c r="N1007" s="198"/>
      <c r="O1007" s="198"/>
      <c r="P1007" s="198"/>
      <c r="Q1007" s="198"/>
      <c r="R1007" s="198"/>
      <c r="S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 t="shared" ref="H1008:I1008" si="277">(H1007*H1000)</f>
        <v>0</v>
      </c>
      <c r="I1008" s="150">
        <f t="shared" si="277"/>
        <v>576000</v>
      </c>
      <c r="J1008" s="198"/>
      <c r="K1008" s="198"/>
      <c r="L1008" s="198"/>
      <c r="M1008" s="198"/>
      <c r="N1008" s="198"/>
      <c r="O1008" s="198"/>
      <c r="P1008" s="198"/>
      <c r="Q1008" s="198"/>
      <c r="R1008" s="198"/>
      <c r="S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48"/>
      <c r="J1009" s="198"/>
      <c r="K1009" s="198"/>
      <c r="L1009" s="198"/>
      <c r="M1009" s="198"/>
      <c r="N1009" s="198"/>
      <c r="O1009" s="198"/>
      <c r="P1009" s="198"/>
      <c r="Q1009" s="198"/>
      <c r="R1009" s="198"/>
      <c r="S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 t="shared" ref="H1010:I1010" si="278"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48">
        <f t="shared" si="278"/>
        <v>48</v>
      </c>
      <c r="J1010" s="198"/>
      <c r="K1010" s="198"/>
      <c r="L1010" s="198"/>
      <c r="M1010" s="198"/>
      <c r="N1010" s="198"/>
      <c r="O1010" s="198"/>
      <c r="P1010" s="198"/>
      <c r="Q1010" s="198"/>
      <c r="R1010" s="198"/>
      <c r="S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 t="shared" ref="H1011:I1011" si="279">(H1001*H1010)</f>
        <v>0</v>
      </c>
      <c r="I1011" s="150">
        <f t="shared" si="279"/>
        <v>288000</v>
      </c>
      <c r="J1011" s="198"/>
      <c r="K1011" s="198"/>
      <c r="L1011" s="198"/>
      <c r="M1011" s="198"/>
      <c r="N1011" s="198"/>
      <c r="O1011" s="198"/>
      <c r="P1011" s="198"/>
      <c r="Q1011" s="198"/>
      <c r="R1011" s="198"/>
      <c r="S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48"/>
      <c r="J1012" s="198"/>
      <c r="K1012" s="198"/>
      <c r="L1012" s="198"/>
      <c r="M1012" s="198"/>
      <c r="N1012" s="198"/>
      <c r="O1012" s="198"/>
      <c r="P1012" s="198"/>
      <c r="Q1012" s="198"/>
      <c r="R1012" s="198"/>
      <c r="S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 t="shared" ref="H1013:I1013" si="280">ROUNDDOWN(H992*H997,0)
 + IF(H1005=3,
      H992 - SUM(
        ROUNDDOWN(H992*H995,0),
        ROUNDDOWN(H992*H996,0),
        ROUNDDOWN(H992*H997,0),
        ROUNDDOWN(H992*H998,0)
      ),
      0
   )
</f>
        <v>0</v>
      </c>
      <c r="I1013" s="148">
        <f t="shared" si="280"/>
        <v>0</v>
      </c>
      <c r="J1013" s="198"/>
      <c r="K1013" s="198"/>
      <c r="L1013" s="198"/>
      <c r="M1013" s="198"/>
      <c r="N1013" s="198"/>
      <c r="O1013" s="198"/>
      <c r="P1013" s="198"/>
      <c r="Q1013" s="198"/>
      <c r="R1013" s="198"/>
      <c r="S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 t="shared" ref="H1014:I1014" si="281">(H1002*H1013)</f>
        <v>0</v>
      </c>
      <c r="I1014" s="150">
        <f t="shared" si="281"/>
        <v>0</v>
      </c>
      <c r="J1014" s="198"/>
      <c r="K1014" s="198"/>
      <c r="L1014" s="198"/>
      <c r="M1014" s="198"/>
      <c r="N1014" s="198"/>
      <c r="O1014" s="198"/>
      <c r="P1014" s="198"/>
      <c r="Q1014" s="198"/>
      <c r="R1014" s="198"/>
      <c r="S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48"/>
      <c r="J1015" s="198"/>
      <c r="K1015" s="198"/>
      <c r="L1015" s="198"/>
      <c r="M1015" s="198"/>
      <c r="N1015" s="198"/>
      <c r="O1015" s="198"/>
      <c r="P1015" s="198"/>
      <c r="Q1015" s="198"/>
      <c r="R1015" s="198"/>
      <c r="S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 t="shared" ref="H1016:I1016" si="282"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48">
        <f t="shared" si="282"/>
        <v>0</v>
      </c>
      <c r="J1016" s="198"/>
      <c r="K1016" s="198"/>
      <c r="L1016" s="198"/>
      <c r="M1016" s="198"/>
      <c r="N1016" s="198"/>
      <c r="O1016" s="198"/>
      <c r="P1016" s="198"/>
      <c r="Q1016" s="198"/>
      <c r="R1016" s="198"/>
      <c r="S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 t="shared" ref="H1017:I1017" si="283">(H1003*H1016)</f>
        <v>0</v>
      </c>
      <c r="I1017" s="150">
        <f t="shared" si="283"/>
        <v>0</v>
      </c>
      <c r="J1017" s="198"/>
      <c r="K1017" s="198"/>
      <c r="L1017" s="198"/>
      <c r="M1017" s="198"/>
      <c r="N1017" s="198"/>
      <c r="O1017" s="198"/>
      <c r="P1017" s="198"/>
      <c r="Q1017" s="198"/>
      <c r="R1017" s="198"/>
      <c r="S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48"/>
      <c r="J1018" s="198"/>
      <c r="K1018" s="198"/>
      <c r="L1018" s="198"/>
      <c r="M1018" s="198"/>
      <c r="N1018" s="198"/>
      <c r="O1018" s="198"/>
      <c r="P1018" s="198"/>
      <c r="Q1018" s="198"/>
      <c r="R1018" s="198"/>
      <c r="S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 t="shared" ref="H1019:I1019" si="284"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48">
        <f t="shared" si="284"/>
        <v>0</v>
      </c>
      <c r="J1019" s="198"/>
      <c r="K1019" s="198"/>
      <c r="L1019" s="198"/>
      <c r="M1019" s="198"/>
      <c r="N1019" s="198"/>
      <c r="O1019" s="198"/>
      <c r="P1019" s="198"/>
      <c r="Q1019" s="198"/>
      <c r="R1019" s="198"/>
      <c r="S1019" s="198"/>
    </row>
    <row r="1020">
      <c r="A1020" s="160"/>
      <c r="B1020" s="160"/>
      <c r="C1020" s="160"/>
      <c r="F1020" s="172" t="s">
        <v>314</v>
      </c>
      <c r="G1020" s="148"/>
      <c r="H1020" s="150">
        <f t="shared" ref="H1020:I1020" si="285">(H1004*H1019)</f>
        <v>0</v>
      </c>
      <c r="I1020" s="150">
        <f t="shared" si="285"/>
        <v>0</v>
      </c>
      <c r="J1020" s="198"/>
      <c r="K1020" s="198"/>
      <c r="L1020" s="198"/>
      <c r="M1020" s="198"/>
      <c r="N1020" s="198"/>
      <c r="O1020" s="198"/>
      <c r="P1020" s="198"/>
      <c r="Q1020" s="198"/>
      <c r="R1020" s="198"/>
      <c r="S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60"/>
      <c r="J1021" s="198"/>
      <c r="K1021" s="198"/>
      <c r="L1021" s="198"/>
      <c r="M1021" s="198"/>
      <c r="N1021" s="198"/>
      <c r="O1021" s="198"/>
      <c r="P1021" s="198"/>
      <c r="Q1021" s="198"/>
      <c r="R1021" s="198"/>
      <c r="S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13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78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 t="shared" ref="H1024:I1024" si="286">SUM(H1027,H1064,H1081,)</f>
        <v>45647400</v>
      </c>
      <c r="I1024" s="173">
        <f t="shared" si="286"/>
        <v>8000650</v>
      </c>
      <c r="J1024" s="223">
        <f>SUM(H1024:I1024)</f>
        <v>53648050</v>
      </c>
      <c r="K1024" s="223"/>
      <c r="L1024" s="223"/>
      <c r="M1024" s="223"/>
      <c r="N1024" s="223"/>
      <c r="O1024" s="223"/>
      <c r="P1024" s="223"/>
      <c r="Q1024" s="223"/>
      <c r="R1024" s="223"/>
      <c r="S1024" s="223"/>
    </row>
    <row r="1025">
      <c r="A1025" s="1"/>
      <c r="B1025" s="1"/>
      <c r="C1025" s="1"/>
      <c r="D1025" s="1"/>
      <c r="E1025" s="1"/>
      <c r="G1025" s="222"/>
      <c r="H1025" s="222"/>
      <c r="I1025" s="163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63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 t="shared" ref="H1027:I1027" si="287">SUM(H1029,H1036,H1043,H1050,H1057,)</f>
        <v>45615900</v>
      </c>
      <c r="I1027" s="178">
        <f t="shared" si="287"/>
        <v>0</v>
      </c>
      <c r="J1027" s="223">
        <f>SUM(H1027:I1027)</f>
        <v>45615900</v>
      </c>
      <c r="K1027" s="223"/>
      <c r="L1027" s="223"/>
      <c r="M1027" s="223"/>
      <c r="N1027" s="223"/>
      <c r="O1027" s="223"/>
      <c r="P1027" s="223"/>
      <c r="Q1027" s="223"/>
      <c r="R1027" s="223"/>
      <c r="S1027" s="223"/>
    </row>
    <row r="1028">
      <c r="A1028" s="1"/>
      <c r="B1028" s="1"/>
      <c r="C1028" s="1"/>
      <c r="D1028" s="14"/>
      <c r="F1028" s="1"/>
      <c r="G1028" s="178"/>
      <c r="H1028" s="178"/>
      <c r="I1028" s="178"/>
      <c r="J1028" s="223"/>
      <c r="K1028" s="223"/>
      <c r="L1028" s="223"/>
      <c r="M1028" s="223"/>
      <c r="N1028" s="223"/>
      <c r="O1028" s="223"/>
      <c r="P1028" s="223"/>
      <c r="Q1028" s="223"/>
      <c r="R1028" s="223"/>
      <c r="S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 t="shared" ref="H1029:I1029" si="288">SUM(H1030:H1034)</f>
        <v>3696400</v>
      </c>
      <c r="I1029" s="178">
        <f t="shared" si="288"/>
        <v>0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2700000</v>
      </c>
      <c r="I1030" s="178" t="str">
        <f>I428</f>
        <v/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126400</v>
      </c>
      <c r="I1031" s="178" t="str">
        <f>I430</f>
        <v/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78" t="str">
        <f>I432</f>
        <v/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870000</v>
      </c>
      <c r="I1033" s="178" t="str">
        <f>I434</f>
        <v/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78" t="str">
        <f>I436</f>
        <v/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78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 t="shared" ref="H1036:I1036" si="289">SUM(H1037:H1041)</f>
        <v>3900000</v>
      </c>
      <c r="I1036" s="178">
        <f t="shared" si="289"/>
        <v>0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3000000</v>
      </c>
      <c r="I1037" s="178" t="str">
        <f>I454</f>
        <v/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108000</v>
      </c>
      <c r="I1038" s="178" t="str">
        <f>I456</f>
        <v/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78" t="str">
        <f>I458</f>
        <v/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792000</v>
      </c>
      <c r="I1040" s="178" t="str">
        <f>I460</f>
        <v/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78" t="str">
        <f>I462</f>
        <v/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78"/>
      <c r="J1042" s="1"/>
      <c r="K1042" s="1"/>
      <c r="L1042" s="1"/>
      <c r="M1042" s="1"/>
      <c r="N1042" s="1"/>
      <c r="O1042" s="1"/>
      <c r="P1042" s="1"/>
      <c r="Q1042" s="1"/>
      <c r="R1042" s="1"/>
      <c r="S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 t="shared" ref="H1043:I1043" si="290">SUM(H1044:H1048)</f>
        <v>15619000</v>
      </c>
      <c r="I1043" s="178">
        <f t="shared" si="290"/>
        <v>0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12300000</v>
      </c>
      <c r="I1044" s="178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330000</v>
      </c>
      <c r="I1045" s="178"/>
      <c r="J1045" s="1"/>
      <c r="K1045" s="1"/>
      <c r="L1045" s="1"/>
      <c r="M1045" s="1"/>
      <c r="N1045" s="1"/>
      <c r="O1045" s="1"/>
      <c r="P1045" s="1"/>
      <c r="Q1045" s="1"/>
      <c r="R1045" s="1"/>
      <c r="S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78"/>
      <c r="J1046" s="1"/>
      <c r="K1046" s="1"/>
      <c r="L1046" s="1"/>
      <c r="M1046" s="1"/>
      <c r="N1046" s="1"/>
      <c r="O1046" s="1"/>
      <c r="P1046" s="1"/>
      <c r="Q1046" s="1"/>
      <c r="R1046" s="1"/>
      <c r="S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2989000</v>
      </c>
      <c r="I1047" s="178"/>
      <c r="J1047" s="1"/>
      <c r="K1047" s="1"/>
      <c r="L1047" s="1"/>
      <c r="M1047" s="1"/>
      <c r="N1047" s="1"/>
      <c r="O1047" s="1"/>
      <c r="P1047" s="1"/>
      <c r="Q1047" s="1"/>
      <c r="R1047" s="1"/>
      <c r="S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78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78"/>
      <c r="J1049" s="1"/>
      <c r="K1049" s="1"/>
      <c r="L1049" s="1"/>
      <c r="M1049" s="1"/>
      <c r="N1049" s="1"/>
      <c r="O1049" s="1"/>
      <c r="P1049" s="1"/>
      <c r="Q1049" s="1"/>
      <c r="R1049" s="1"/>
      <c r="S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 t="shared" ref="H1050:I1050" si="291">SUM(H1051:H1055)</f>
        <v>16595500</v>
      </c>
      <c r="I1050" s="178">
        <f t="shared" si="291"/>
        <v>0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15480000</v>
      </c>
      <c r="I1051" s="178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1115500</v>
      </c>
      <c r="I1052" s="178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78"/>
      <c r="J1053" s="1"/>
      <c r="K1053" s="1"/>
      <c r="L1053" s="1"/>
      <c r="M1053" s="1"/>
      <c r="N1053" s="1"/>
      <c r="O1053" s="1"/>
      <c r="P1053" s="1"/>
      <c r="Q1053" s="1"/>
      <c r="R1053" s="1"/>
      <c r="S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78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78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78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 t="shared" ref="H1057:I1057" si="292">SUM(H1058:H1062)</f>
        <v>5805000</v>
      </c>
      <c r="I1057" s="178">
        <f t="shared" si="292"/>
        <v>0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5460000</v>
      </c>
      <c r="I1058" s="178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345000</v>
      </c>
      <c r="I1059" s="178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78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78"/>
      <c r="J1061" s="1"/>
      <c r="K1061" s="1"/>
      <c r="L1061" s="1"/>
      <c r="M1061" s="1"/>
      <c r="N1061" s="1"/>
      <c r="O1061" s="1"/>
      <c r="P1061" s="1"/>
      <c r="Q1061" s="1"/>
      <c r="R1061" s="1"/>
      <c r="S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78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78"/>
      <c r="J1063" s="1"/>
      <c r="K1063" s="1"/>
      <c r="L1063" s="1"/>
      <c r="M1063" s="1"/>
      <c r="N1063" s="1"/>
      <c r="O1063" s="1"/>
      <c r="P1063" s="1"/>
      <c r="Q1063" s="1"/>
      <c r="R1063" s="1"/>
      <c r="S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 t="shared" ref="H1064:I1064" si="293">SUM(H1066,H1071,H1076,)</f>
        <v>31500</v>
      </c>
      <c r="I1064" s="178">
        <f t="shared" si="293"/>
        <v>34650</v>
      </c>
      <c r="J1064" s="223">
        <f>SUM(H1064:I1064)</f>
        <v>66150</v>
      </c>
      <c r="K1064" s="223"/>
      <c r="L1064" s="223"/>
      <c r="M1064" s="223"/>
      <c r="N1064" s="223"/>
      <c r="O1064" s="223"/>
      <c r="P1064" s="223"/>
      <c r="Q1064" s="223"/>
      <c r="R1064" s="223"/>
      <c r="S1064" s="223"/>
    </row>
    <row r="1065">
      <c r="A1065" s="1"/>
      <c r="B1065" s="1"/>
      <c r="C1065" s="1"/>
      <c r="D1065" s="20"/>
      <c r="F1065" s="1"/>
      <c r="G1065" s="178"/>
      <c r="H1065" s="178"/>
      <c r="I1065" s="178"/>
      <c r="J1065" s="223"/>
      <c r="K1065" s="223"/>
      <c r="L1065" s="223"/>
      <c r="M1065" s="223"/>
      <c r="N1065" s="223"/>
      <c r="O1065" s="223"/>
      <c r="P1065" s="223"/>
      <c r="Q1065" s="223"/>
      <c r="R1065" s="223"/>
      <c r="S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 t="shared" ref="H1066:I1066" si="294">SUM(H1067:H1069)</f>
        <v>13500</v>
      </c>
      <c r="I1066" s="178">
        <f t="shared" si="294"/>
        <v>14850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 t="shared" ref="H1067:I1067" si="295">H571</f>
        <v>0</v>
      </c>
      <c r="I1067" s="178">
        <f t="shared" si="295"/>
        <v>0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 t="shared" ref="H1068:I1068" si="296">H605</f>
        <v>0</v>
      </c>
      <c r="I1068" s="178">
        <f t="shared" si="296"/>
        <v>0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 t="shared" ref="H1069:I1069" si="297">H624</f>
        <v>13500</v>
      </c>
      <c r="I1069" s="178">
        <f t="shared" si="297"/>
        <v>14850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78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 t="shared" ref="H1071:I1071" si="298">SUM(H1072:H1074)</f>
        <v>18000</v>
      </c>
      <c r="I1071" s="178">
        <f t="shared" si="298"/>
        <v>19800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 t="shared" ref="H1072:I1072" si="299">H646</f>
        <v>0</v>
      </c>
      <c r="I1072" s="178">
        <f t="shared" si="299"/>
        <v>0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 t="shared" ref="H1073:I1073" si="300">H679</f>
        <v>0</v>
      </c>
      <c r="I1073" s="178">
        <f t="shared" si="300"/>
        <v>0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 t="shared" ref="H1074:I1074" si="301">H698</f>
        <v>18000</v>
      </c>
      <c r="I1074" s="178">
        <f t="shared" si="301"/>
        <v>19800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78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 t="shared" ref="H1076:I1076" si="302">SUM(H1077:H1079)</f>
        <v>0</v>
      </c>
      <c r="I1076" s="178">
        <f t="shared" si="302"/>
        <v>0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 t="shared" ref="H1077:I1077" si="303">H720</f>
        <v>0</v>
      </c>
      <c r="I1077" s="178">
        <f t="shared" si="303"/>
        <v>0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 t="shared" ref="H1078:I1078" si="304">H754</f>
        <v>0</v>
      </c>
      <c r="I1078" s="178">
        <f t="shared" si="304"/>
        <v>0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 t="shared" ref="H1079:I1079" si="305">H774</f>
        <v>0</v>
      </c>
      <c r="I1079" s="178">
        <f t="shared" si="305"/>
        <v>0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78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 t="shared" ref="H1081:I1081" si="306">SUM(H1083,H1090,H1097,H1104,H1111,)</f>
        <v>0</v>
      </c>
      <c r="I1081" s="178">
        <f t="shared" si="306"/>
        <v>7966000</v>
      </c>
      <c r="J1081" s="223">
        <f>SUM(H1081:I1081)</f>
        <v>7966000</v>
      </c>
      <c r="K1081" s="223"/>
      <c r="L1081" s="223"/>
      <c r="M1081" s="223"/>
      <c r="N1081" s="223"/>
      <c r="O1081" s="223"/>
      <c r="P1081" s="223"/>
      <c r="Q1081" s="223"/>
      <c r="R1081" s="223"/>
      <c r="S1081" s="223"/>
    </row>
    <row r="1082">
      <c r="A1082" s="1"/>
      <c r="B1082" s="1"/>
      <c r="C1082" s="1"/>
      <c r="D1082" s="20"/>
      <c r="F1082" s="1"/>
      <c r="G1082" s="178"/>
      <c r="H1082" s="178"/>
      <c r="I1082" s="178"/>
      <c r="J1082" s="223"/>
      <c r="K1082" s="223"/>
      <c r="L1082" s="223"/>
      <c r="M1082" s="223"/>
      <c r="N1082" s="223"/>
      <c r="O1082" s="223"/>
      <c r="P1082" s="223"/>
      <c r="Q1082" s="223"/>
      <c r="R1082" s="223"/>
      <c r="S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 t="shared" ref="H1083:I1083" si="307">SUM(H1084:H1088)</f>
        <v>0</v>
      </c>
      <c r="I1083" s="178">
        <f t="shared" si="307"/>
        <v>0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 t="shared" ref="H1084:I1084" si="308">H827</f>
        <v>0</v>
      </c>
      <c r="I1084" s="179">
        <f t="shared" si="308"/>
        <v>0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 t="shared" ref="H1085:I1085" si="309">H830</f>
        <v>0</v>
      </c>
      <c r="I1085" s="179">
        <f t="shared" si="309"/>
        <v>0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 t="shared" ref="H1086:I1086" si="310">H833</f>
        <v>0</v>
      </c>
      <c r="I1086" s="179">
        <f t="shared" si="310"/>
        <v>0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 t="shared" ref="H1087:I1087" si="311">H836</f>
        <v>0</v>
      </c>
      <c r="I1087" s="179">
        <f t="shared" si="311"/>
        <v>0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 t="shared" ref="H1088:I1088" si="312">H839</f>
        <v>0</v>
      </c>
      <c r="I1088" s="179">
        <f t="shared" si="312"/>
        <v>0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78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 t="shared" ref="H1090:I1090" si="313">SUM(H1091:H1095)</f>
        <v>0</v>
      </c>
      <c r="I1090" s="178">
        <f t="shared" si="313"/>
        <v>0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 t="shared" ref="H1091:I1091" si="314">H872</f>
        <v>0</v>
      </c>
      <c r="I1091" s="179">
        <f t="shared" si="314"/>
        <v>0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 t="shared" ref="H1092:I1092" si="315">H875</f>
        <v>0</v>
      </c>
      <c r="I1092" s="179">
        <f t="shared" si="315"/>
        <v>0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 t="shared" ref="H1093:I1093" si="316">H878</f>
        <v>0</v>
      </c>
      <c r="I1093" s="179">
        <f t="shared" si="316"/>
        <v>0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 t="shared" ref="H1094:I1094" si="317">H881</f>
        <v>0</v>
      </c>
      <c r="I1094" s="179">
        <f t="shared" si="317"/>
        <v>0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 t="shared" ref="H1095:I1095" si="318">H884</f>
        <v>0</v>
      </c>
      <c r="I1095" s="179">
        <f t="shared" si="318"/>
        <v>0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 t="shared" ref="H1097:I1097" si="319">SUM(H1098:H1102)</f>
        <v>0</v>
      </c>
      <c r="I1097" s="178">
        <f t="shared" si="319"/>
        <v>4630000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 t="shared" ref="H1098:I1098" si="320">H917</f>
        <v>0</v>
      </c>
      <c r="I1098" s="180">
        <f t="shared" si="320"/>
        <v>1280000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 t="shared" ref="H1099:I1099" si="321">H920</f>
        <v>0</v>
      </c>
      <c r="I1099" s="170">
        <f t="shared" si="321"/>
        <v>890000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 t="shared" ref="H1100:I1100" si="322">H923</f>
        <v>0</v>
      </c>
      <c r="I1100" s="170">
        <f t="shared" si="322"/>
        <v>318000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 t="shared" ref="H1101:I1101" si="323">H926</f>
        <v>0</v>
      </c>
      <c r="I1101" s="170">
        <f t="shared" si="323"/>
        <v>2142000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 t="shared" ref="H1102:I1102" si="324">H929</f>
        <v>0</v>
      </c>
      <c r="I1102" s="170">
        <f t="shared" si="324"/>
        <v>0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 t="shared" ref="H1104:I1104" si="325">SUM(H1105:H1109)</f>
        <v>0</v>
      </c>
      <c r="I1104" s="178">
        <f t="shared" si="325"/>
        <v>2472000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 t="shared" ref="H1105:I1105" si="326">H963</f>
        <v>0</v>
      </c>
      <c r="I1105" s="170">
        <f t="shared" si="326"/>
        <v>1352000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 t="shared" ref="H1106:I1106" si="327">H966</f>
        <v>0</v>
      </c>
      <c r="I1106" s="170">
        <f t="shared" si="327"/>
        <v>1120000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 t="shared" ref="H1107:I1107" si="328">H969</f>
        <v>0</v>
      </c>
      <c r="I1107" s="170">
        <f t="shared" si="328"/>
        <v>0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 t="shared" ref="H1108:I1108" si="329">H972</f>
        <v>0</v>
      </c>
      <c r="I1108" s="170">
        <f t="shared" si="329"/>
        <v>0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 t="shared" ref="H1109:I1109" si="330">H975</f>
        <v>0</v>
      </c>
      <c r="I1109" s="170">
        <f t="shared" si="330"/>
        <v>0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 t="shared" ref="H1111:I1111" si="331">SUM(H1112:H1116)</f>
        <v>0</v>
      </c>
      <c r="I1111" s="178">
        <f t="shared" si="331"/>
        <v>864000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 t="shared" ref="H1112:I1112" si="332">H1008</f>
        <v>0</v>
      </c>
      <c r="I1112" s="170">
        <f t="shared" si="332"/>
        <v>576000</v>
      </c>
      <c r="J1112" s="223"/>
      <c r="K1112" s="223"/>
      <c r="L1112" s="223"/>
      <c r="M1112" s="223"/>
      <c r="N1112" s="223"/>
      <c r="O1112" s="223"/>
      <c r="P1112" s="223"/>
      <c r="Q1112" s="223"/>
      <c r="R1112" s="223"/>
      <c r="S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 t="shared" ref="H1113:I1113" si="333">H1011</f>
        <v>0</v>
      </c>
      <c r="I1113" s="170">
        <f t="shared" si="333"/>
        <v>288000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 t="shared" ref="H1114:I1114" si="334">H1014</f>
        <v>0</v>
      </c>
      <c r="I1114" s="170">
        <f t="shared" si="334"/>
        <v>0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 t="shared" ref="H1115:I1115" si="335">H1017</f>
        <v>0</v>
      </c>
      <c r="I1115" s="170">
        <f t="shared" si="335"/>
        <v>0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 t="shared" ref="H1116:I1116" si="336">H1020</f>
        <v>0</v>
      </c>
      <c r="I1116" s="170">
        <f t="shared" si="336"/>
        <v>0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</sheetData>
  <mergeCells count="1">
    <mergeCell ref="J1:J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 outlineLevelRow="1"/>
  <cols>
    <col customWidth="1" min="1" max="1" width="12.63"/>
    <col customWidth="1" min="2" max="2" width="3.25"/>
    <col customWidth="1" min="3" max="3" width="6.38"/>
    <col customWidth="1" min="4" max="5" width="3.25"/>
    <col customWidth="1" min="6" max="6" width="37.63"/>
    <col customWidth="1" min="7" max="7" width="10.13"/>
    <col customWidth="1" min="8" max="8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5" t="s">
        <v>1</v>
      </c>
      <c r="J1" s="6"/>
    </row>
    <row r="2">
      <c r="A2" s="1"/>
      <c r="B2" s="2"/>
      <c r="C2" s="7"/>
      <c r="D2" s="7"/>
      <c r="E2" s="7"/>
      <c r="F2" s="3" t="s">
        <v>2</v>
      </c>
      <c r="G2" s="8"/>
      <c r="H2" s="8" t="s">
        <v>434</v>
      </c>
      <c r="I2" s="10"/>
      <c r="J2" s="6"/>
    </row>
    <row r="3">
      <c r="A3" s="1"/>
      <c r="B3" s="1"/>
      <c r="C3" s="112"/>
      <c r="D3" s="112"/>
      <c r="E3" s="112"/>
      <c r="F3" s="112"/>
      <c r="G3" s="112"/>
      <c r="H3" s="112"/>
      <c r="I3" s="1"/>
      <c r="J3" s="1"/>
    </row>
    <row r="4">
      <c r="A4" s="1"/>
      <c r="B4" s="113"/>
      <c r="C4" s="113"/>
      <c r="D4" s="113"/>
      <c r="E4" s="113"/>
      <c r="F4" s="113"/>
      <c r="G4" s="113"/>
      <c r="H4" s="113"/>
      <c r="I4" s="124"/>
      <c r="J4" s="124"/>
    </row>
    <row r="5">
      <c r="A5" s="1"/>
      <c r="B5" s="1"/>
      <c r="C5" s="1"/>
      <c r="D5" s="1"/>
      <c r="E5" s="1"/>
      <c r="F5" s="1"/>
      <c r="G5" s="115"/>
      <c r="H5" s="115"/>
      <c r="I5" s="125"/>
      <c r="J5" s="125"/>
    </row>
    <row r="6">
      <c r="A6" s="1"/>
      <c r="B6" s="1"/>
      <c r="C6" s="1"/>
      <c r="D6" s="1"/>
      <c r="E6" s="1"/>
      <c r="F6" s="1"/>
      <c r="G6" s="115"/>
      <c r="H6" s="115"/>
      <c r="I6" s="123"/>
      <c r="J6" s="123"/>
    </row>
    <row r="7">
      <c r="A7" s="1"/>
      <c r="B7" s="116" t="s">
        <v>21</v>
      </c>
      <c r="C7" s="117"/>
      <c r="D7" s="117"/>
      <c r="E7" s="117"/>
      <c r="F7" s="117"/>
      <c r="G7" s="118"/>
      <c r="H7" s="118"/>
      <c r="I7" s="130"/>
      <c r="J7" s="130"/>
    </row>
    <row r="8">
      <c r="A8" s="1"/>
      <c r="B8" s="1"/>
      <c r="C8" s="1"/>
      <c r="D8" s="1" t="s">
        <v>22</v>
      </c>
      <c r="E8" s="1"/>
      <c r="F8" s="1"/>
      <c r="G8" s="119"/>
      <c r="H8" s="120">
        <f>'Marketing - 2026'!S6</f>
        <v>4337971.652</v>
      </c>
      <c r="I8" s="130"/>
      <c r="J8" s="130"/>
    </row>
    <row r="9">
      <c r="A9" s="1"/>
      <c r="B9" s="1"/>
      <c r="C9" s="1"/>
      <c r="D9" s="121" t="s">
        <v>23</v>
      </c>
      <c r="E9" s="1"/>
      <c r="F9" s="1"/>
      <c r="G9" s="122"/>
      <c r="H9" s="122">
        <f>'Marketing - 2026'!S9</f>
        <v>412.3246949</v>
      </c>
      <c r="I9" s="130"/>
      <c r="J9" s="130"/>
    </row>
    <row r="10">
      <c r="A10" s="1"/>
      <c r="B10" s="1"/>
      <c r="C10" s="1" t="s">
        <v>24</v>
      </c>
      <c r="D10" s="121" t="s">
        <v>25</v>
      </c>
      <c r="E10" s="1"/>
      <c r="F10" s="1"/>
      <c r="G10" s="123"/>
      <c r="H10" s="124">
        <f>H8/H9</f>
        <v>10520.76605</v>
      </c>
      <c r="I10" s="130"/>
      <c r="J10" s="130"/>
    </row>
    <row r="11">
      <c r="A11" s="1"/>
      <c r="B11" s="1"/>
      <c r="C11" s="1"/>
      <c r="D11" s="1"/>
      <c r="E11" s="13" t="s">
        <v>26</v>
      </c>
      <c r="F11" s="1"/>
      <c r="G11" s="124"/>
      <c r="H11" s="124">
        <f>H10-H13</f>
        <v>2105.766052</v>
      </c>
      <c r="I11" s="124"/>
      <c r="J11" s="124"/>
    </row>
    <row r="12">
      <c r="A12" s="1"/>
      <c r="B12" s="1"/>
      <c r="C12" s="1" t="s">
        <v>27</v>
      </c>
      <c r="D12" s="121" t="s">
        <v>28</v>
      </c>
      <c r="E12" s="1"/>
      <c r="F12" s="1"/>
      <c r="G12" s="125"/>
      <c r="H12" s="126">
        <v>0.8</v>
      </c>
      <c r="I12" s="125"/>
      <c r="J12" s="125"/>
    </row>
    <row r="13">
      <c r="A13" s="1"/>
      <c r="B13" s="1"/>
      <c r="C13" s="1"/>
      <c r="D13" s="1" t="s">
        <v>29</v>
      </c>
      <c r="E13" s="1"/>
      <c r="F13" s="127"/>
      <c r="G13" s="124"/>
      <c r="H13" s="124">
        <f>SUM(H19:H23)</f>
        <v>8415</v>
      </c>
      <c r="I13" s="123"/>
      <c r="J13" s="123"/>
    </row>
    <row r="14">
      <c r="A14" s="1"/>
      <c r="B14" s="1"/>
      <c r="C14" s="1"/>
      <c r="D14" s="1"/>
      <c r="E14" s="13" t="s">
        <v>30</v>
      </c>
      <c r="F14" s="1"/>
      <c r="G14" s="124"/>
      <c r="H14" s="129">
        <v>0.046</v>
      </c>
      <c r="I14" s="130"/>
      <c r="J14" s="130"/>
    </row>
    <row r="15">
      <c r="A15" s="1"/>
      <c r="B15" s="1"/>
      <c r="C15" s="1"/>
      <c r="D15" s="1"/>
      <c r="E15" s="13" t="s">
        <v>31</v>
      </c>
      <c r="F15" s="1"/>
      <c r="G15" s="124"/>
      <c r="H15" s="129">
        <v>0.0511</v>
      </c>
      <c r="I15" s="130"/>
      <c r="J15" s="130"/>
    </row>
    <row r="16">
      <c r="A16" s="1"/>
      <c r="B16" s="1"/>
      <c r="C16" s="1"/>
      <c r="D16" s="1"/>
      <c r="E16" s="13" t="s">
        <v>32</v>
      </c>
      <c r="F16" s="1"/>
      <c r="G16" s="124"/>
      <c r="H16" s="129">
        <v>0.2023</v>
      </c>
      <c r="I16" s="130"/>
      <c r="J16" s="130"/>
    </row>
    <row r="17">
      <c r="A17" s="1"/>
      <c r="B17" s="1"/>
      <c r="C17" s="1"/>
      <c r="D17" s="1"/>
      <c r="E17" s="13" t="s">
        <v>33</v>
      </c>
      <c r="F17" s="1"/>
      <c r="G17" s="124"/>
      <c r="H17" s="129">
        <v>0.476</v>
      </c>
      <c r="I17" s="130"/>
      <c r="J17" s="130"/>
    </row>
    <row r="18">
      <c r="A18" s="1"/>
      <c r="B18" s="1"/>
      <c r="C18" s="1"/>
      <c r="D18" s="1"/>
      <c r="E18" s="13" t="s">
        <v>34</v>
      </c>
      <c r="F18" s="1"/>
      <c r="G18" s="124"/>
      <c r="H18" s="129">
        <v>0.2246</v>
      </c>
      <c r="I18" s="130"/>
      <c r="J18" s="130"/>
    </row>
    <row r="19">
      <c r="A19" s="1"/>
      <c r="B19" s="1"/>
      <c r="C19" s="1"/>
      <c r="D19" s="1"/>
      <c r="E19" s="13" t="s">
        <v>35</v>
      </c>
      <c r="F19" s="1"/>
      <c r="G19" s="124"/>
      <c r="H19" s="131">
        <f t="shared" ref="H19:H23" si="1">ROUNDDOWN(($H$10*$H$12)*H14,0)</f>
        <v>387</v>
      </c>
      <c r="I19" s="130"/>
      <c r="J19" s="130"/>
    </row>
    <row r="20">
      <c r="A20" s="1"/>
      <c r="B20" s="1"/>
      <c r="C20" s="1"/>
      <c r="D20" s="1"/>
      <c r="E20" s="13" t="s">
        <v>36</v>
      </c>
      <c r="F20" s="1"/>
      <c r="G20" s="124"/>
      <c r="H20" s="131">
        <f t="shared" si="1"/>
        <v>430</v>
      </c>
      <c r="I20" s="130"/>
      <c r="J20" s="130"/>
    </row>
    <row r="21">
      <c r="A21" s="1"/>
      <c r="B21" s="1"/>
      <c r="C21" s="1"/>
      <c r="D21" s="1"/>
      <c r="E21" s="13" t="s">
        <v>37</v>
      </c>
      <c r="F21" s="1"/>
      <c r="G21" s="124"/>
      <c r="H21" s="131">
        <f t="shared" si="1"/>
        <v>1702</v>
      </c>
      <c r="I21" s="130"/>
      <c r="J21" s="130"/>
    </row>
    <row r="22">
      <c r="A22" s="1"/>
      <c r="B22" s="1"/>
      <c r="C22" s="1"/>
      <c r="D22" s="1"/>
      <c r="E22" s="13" t="s">
        <v>38</v>
      </c>
      <c r="F22" s="1"/>
      <c r="G22" s="124"/>
      <c r="H22" s="131">
        <f t="shared" si="1"/>
        <v>4006</v>
      </c>
      <c r="I22" s="130"/>
      <c r="J22" s="130"/>
    </row>
    <row r="23">
      <c r="A23" s="1"/>
      <c r="B23" s="1"/>
      <c r="C23" s="1"/>
      <c r="D23" s="1"/>
      <c r="E23" s="13" t="s">
        <v>39</v>
      </c>
      <c r="F23" s="1"/>
      <c r="G23" s="124"/>
      <c r="H23" s="131">
        <f t="shared" si="1"/>
        <v>1890</v>
      </c>
      <c r="I23" s="130"/>
      <c r="J23" s="130"/>
    </row>
    <row r="24">
      <c r="A24" s="1"/>
      <c r="B24" s="1"/>
      <c r="C24" s="1"/>
      <c r="D24" s="1" t="s">
        <v>40</v>
      </c>
      <c r="E24" s="13"/>
      <c r="F24" s="1"/>
      <c r="G24" s="132"/>
      <c r="H24" s="132">
        <f>H8/H13</f>
        <v>515.5046526</v>
      </c>
      <c r="I24" s="132"/>
      <c r="J24" s="132"/>
    </row>
    <row r="25">
      <c r="A25" s="1"/>
      <c r="B25" s="1"/>
      <c r="C25" s="1"/>
      <c r="D25" s="1"/>
      <c r="E25" s="1"/>
      <c r="F25" s="1"/>
      <c r="G25" s="115"/>
      <c r="H25" s="115"/>
      <c r="I25" s="115"/>
      <c r="J25" s="115"/>
    </row>
    <row r="26">
      <c r="A26" s="1"/>
      <c r="B26" s="1"/>
      <c r="C26" s="1"/>
      <c r="D26" s="1"/>
      <c r="E26" s="1"/>
      <c r="F26" s="1"/>
      <c r="G26" s="115"/>
      <c r="H26" s="115"/>
      <c r="I26" s="115"/>
      <c r="J26" s="115"/>
    </row>
    <row r="27">
      <c r="A27" s="1"/>
      <c r="B27" s="116" t="s">
        <v>41</v>
      </c>
      <c r="C27" s="117"/>
      <c r="D27" s="117"/>
      <c r="E27" s="117"/>
      <c r="F27" s="117"/>
      <c r="G27" s="118"/>
      <c r="H27" s="118"/>
      <c r="I27" s="1"/>
      <c r="J27" s="1"/>
    </row>
    <row r="28">
      <c r="A28" s="1"/>
      <c r="B28" s="1"/>
      <c r="C28" s="1"/>
      <c r="D28" s="1"/>
      <c r="E28" s="1"/>
      <c r="F28" s="1"/>
      <c r="G28" s="115"/>
      <c r="H28" s="115"/>
      <c r="I28" s="1"/>
      <c r="J28" s="1"/>
    </row>
    <row r="29">
      <c r="A29" s="1"/>
      <c r="B29" s="1"/>
      <c r="C29" s="1" t="s">
        <v>42</v>
      </c>
      <c r="D29" s="127"/>
      <c r="E29" s="1" t="s">
        <v>29</v>
      </c>
      <c r="F29" s="1"/>
      <c r="G29" s="115"/>
      <c r="H29" s="115">
        <f>H13</f>
        <v>8415</v>
      </c>
      <c r="I29" s="1"/>
      <c r="J29" s="1"/>
    </row>
    <row r="30">
      <c r="A30" s="1"/>
      <c r="B30" s="1"/>
      <c r="C30" s="1" t="s">
        <v>43</v>
      </c>
      <c r="D30" s="127"/>
      <c r="E30" s="1" t="s">
        <v>44</v>
      </c>
      <c r="F30" s="1"/>
      <c r="G30" s="126"/>
      <c r="H30" s="133">
        <f>IFERROR(H31/H29,"-")</f>
        <v>0.2925727867</v>
      </c>
      <c r="I30" s="1"/>
      <c r="J30" s="1"/>
    </row>
    <row r="31">
      <c r="A31" s="1"/>
      <c r="B31" s="1"/>
      <c r="C31" s="1"/>
      <c r="D31" s="127"/>
      <c r="E31" s="1" t="s">
        <v>45</v>
      </c>
      <c r="F31" s="1"/>
      <c r="G31" s="115"/>
      <c r="H31" s="115">
        <f>SUM(H36,H41,H46,H51,H56)</f>
        <v>2462</v>
      </c>
      <c r="I31" s="1"/>
      <c r="J31" s="1"/>
    </row>
    <row r="32">
      <c r="A32" s="1"/>
      <c r="B32" s="1"/>
      <c r="C32" s="1"/>
      <c r="D32" s="1"/>
      <c r="E32" s="1"/>
      <c r="F32" s="1"/>
      <c r="G32" s="135"/>
      <c r="H32" s="135"/>
      <c r="I32" s="1"/>
      <c r="J32" s="1"/>
    </row>
    <row r="33">
      <c r="A33" s="1"/>
      <c r="B33" s="1"/>
      <c r="C33" s="1"/>
      <c r="D33" s="136" t="s">
        <v>46</v>
      </c>
      <c r="E33" s="1"/>
      <c r="F33" s="1"/>
      <c r="G33" s="115"/>
      <c r="H33" s="115"/>
      <c r="I33" s="1"/>
      <c r="J33" s="1"/>
    </row>
    <row r="34">
      <c r="A34" s="1"/>
      <c r="B34" s="1"/>
      <c r="C34" s="1" t="s">
        <v>42</v>
      </c>
      <c r="D34" s="127"/>
      <c r="E34" s="1" t="s">
        <v>29</v>
      </c>
      <c r="F34" s="1"/>
      <c r="G34" s="115"/>
      <c r="H34" s="115">
        <f>H19</f>
        <v>387</v>
      </c>
      <c r="I34" s="1"/>
      <c r="J34" s="1"/>
    </row>
    <row r="35">
      <c r="A35" s="1"/>
      <c r="B35" s="1"/>
      <c r="C35" s="1" t="s">
        <v>43</v>
      </c>
      <c r="D35" s="127"/>
      <c r="E35" s="1" t="s">
        <v>44</v>
      </c>
      <c r="F35" s="1"/>
      <c r="G35" s="126"/>
      <c r="H35" s="126">
        <v>0.2</v>
      </c>
      <c r="I35" s="1"/>
      <c r="J35" s="1"/>
    </row>
    <row r="36">
      <c r="A36" s="1"/>
      <c r="B36" s="1"/>
      <c r="C36" s="1"/>
      <c r="D36" s="127"/>
      <c r="E36" s="1" t="s">
        <v>45</v>
      </c>
      <c r="F36" s="1"/>
      <c r="G36" s="115"/>
      <c r="H36" s="115">
        <f>ROUNDDOWN(H34*H35,0)</f>
        <v>77</v>
      </c>
      <c r="I36" s="1"/>
      <c r="J36" s="1"/>
    </row>
    <row r="37">
      <c r="A37" s="1"/>
      <c r="B37" s="1"/>
      <c r="C37" s="1"/>
      <c r="D37" s="1"/>
      <c r="E37" s="1"/>
      <c r="F37" s="1"/>
      <c r="G37" s="115"/>
      <c r="H37" s="115"/>
      <c r="I37" s="1"/>
      <c r="J37" s="1"/>
    </row>
    <row r="38">
      <c r="A38" s="1"/>
      <c r="B38" s="1"/>
      <c r="C38" s="1"/>
      <c r="D38" s="137" t="s">
        <v>47</v>
      </c>
      <c r="E38" s="1"/>
      <c r="F38" s="1"/>
      <c r="G38" s="115"/>
      <c r="H38" s="115"/>
      <c r="I38" s="1"/>
      <c r="J38" s="1"/>
    </row>
    <row r="39">
      <c r="A39" s="1"/>
      <c r="B39" s="1"/>
      <c r="C39" s="127"/>
      <c r="D39" s="127"/>
      <c r="E39" s="1" t="s">
        <v>29</v>
      </c>
      <c r="F39" s="1"/>
      <c r="G39" s="115"/>
      <c r="H39" s="115">
        <f>H20</f>
        <v>430</v>
      </c>
      <c r="I39" s="1"/>
      <c r="J39" s="1"/>
    </row>
    <row r="40">
      <c r="A40" s="1"/>
      <c r="B40" s="1"/>
      <c r="C40" s="1" t="s">
        <v>42</v>
      </c>
      <c r="D40" s="127"/>
      <c r="E40" s="1" t="s">
        <v>44</v>
      </c>
      <c r="F40" s="1"/>
      <c r="G40" s="126"/>
      <c r="H40" s="126">
        <v>0.25</v>
      </c>
      <c r="I40" s="1"/>
      <c r="J40" s="1"/>
    </row>
    <row r="41">
      <c r="A41" s="1"/>
      <c r="B41" s="1"/>
      <c r="C41" s="1"/>
      <c r="D41" s="127"/>
      <c r="E41" s="1" t="s">
        <v>45</v>
      </c>
      <c r="F41" s="1"/>
      <c r="G41" s="115"/>
      <c r="H41" s="115">
        <f>ROUNDDOWN(H39*H40,0)</f>
        <v>107</v>
      </c>
      <c r="I41" s="1"/>
      <c r="J41" s="1"/>
    </row>
    <row r="42">
      <c r="A42" s="1"/>
      <c r="B42" s="1"/>
      <c r="C42" s="1"/>
      <c r="D42" s="1"/>
      <c r="E42" s="1"/>
      <c r="F42" s="1"/>
      <c r="G42" s="115"/>
      <c r="H42" s="115"/>
      <c r="I42" s="1"/>
      <c r="J42" s="1"/>
    </row>
    <row r="43">
      <c r="A43" s="1"/>
      <c r="B43" s="1"/>
      <c r="C43" s="1"/>
      <c r="D43" s="137" t="s">
        <v>48</v>
      </c>
      <c r="E43" s="1"/>
      <c r="F43" s="1"/>
      <c r="G43" s="115"/>
      <c r="H43" s="115"/>
      <c r="I43" s="1"/>
      <c r="J43" s="1"/>
    </row>
    <row r="44">
      <c r="A44" s="1"/>
      <c r="B44" s="1"/>
      <c r="C44" s="1" t="s">
        <v>42</v>
      </c>
      <c r="D44" s="127"/>
      <c r="E44" s="1" t="s">
        <v>29</v>
      </c>
      <c r="F44" s="1"/>
      <c r="G44" s="115"/>
      <c r="H44" s="115">
        <f>H21</f>
        <v>1702</v>
      </c>
      <c r="I44" s="1"/>
      <c r="J44" s="1"/>
    </row>
    <row r="45">
      <c r="A45" s="1"/>
      <c r="B45" s="1"/>
      <c r="C45" s="1" t="s">
        <v>43</v>
      </c>
      <c r="D45" s="127"/>
      <c r="E45" s="1" t="s">
        <v>44</v>
      </c>
      <c r="F45" s="1"/>
      <c r="G45" s="126"/>
      <c r="H45" s="126">
        <v>0.3</v>
      </c>
      <c r="I45" s="1"/>
      <c r="J45" s="1"/>
    </row>
    <row r="46">
      <c r="A46" s="1"/>
      <c r="B46" s="1"/>
      <c r="C46" s="1"/>
      <c r="D46" s="127"/>
      <c r="E46" s="1" t="s">
        <v>45</v>
      </c>
      <c r="F46" s="1"/>
      <c r="G46" s="115"/>
      <c r="H46" s="115">
        <f>ROUNDDOWN(H44*H45,0)</f>
        <v>510</v>
      </c>
      <c r="I46" s="1"/>
      <c r="J46" s="1"/>
    </row>
    <row r="47">
      <c r="A47" s="1"/>
      <c r="B47" s="1"/>
      <c r="C47" s="1"/>
      <c r="D47" s="1"/>
      <c r="E47" s="1"/>
      <c r="F47" s="1"/>
      <c r="G47" s="115"/>
      <c r="H47" s="115"/>
      <c r="I47" s="1"/>
      <c r="J47" s="1"/>
    </row>
    <row r="48">
      <c r="A48" s="1"/>
      <c r="B48" s="1"/>
      <c r="C48" s="1"/>
      <c r="D48" s="137" t="s">
        <v>49</v>
      </c>
      <c r="E48" s="1"/>
      <c r="F48" s="1"/>
      <c r="G48" s="115"/>
      <c r="H48" s="115"/>
      <c r="I48" s="1"/>
      <c r="J48" s="1"/>
    </row>
    <row r="49">
      <c r="A49" s="1"/>
      <c r="B49" s="1"/>
      <c r="C49" s="1" t="s">
        <v>42</v>
      </c>
      <c r="D49" s="127"/>
      <c r="E49" s="1" t="str">
        <f>E34</f>
        <v># MQLs</v>
      </c>
      <c r="F49" s="1"/>
      <c r="G49" s="115"/>
      <c r="H49" s="115">
        <f>H22</f>
        <v>4006</v>
      </c>
      <c r="I49" s="1"/>
      <c r="J49" s="1"/>
    </row>
    <row r="50">
      <c r="A50" s="1"/>
      <c r="B50" s="1"/>
      <c r="C50" s="1" t="s">
        <v>43</v>
      </c>
      <c r="D50" s="127"/>
      <c r="E50" s="1" t="s">
        <v>44</v>
      </c>
      <c r="F50" s="1"/>
      <c r="G50" s="126"/>
      <c r="H50" s="126">
        <v>0.3</v>
      </c>
      <c r="I50" s="1"/>
      <c r="J50" s="1"/>
    </row>
    <row r="51">
      <c r="A51" s="1"/>
      <c r="B51" s="1"/>
      <c r="C51" s="1"/>
      <c r="D51" s="127"/>
      <c r="E51" s="1" t="s">
        <v>45</v>
      </c>
      <c r="F51" s="1"/>
      <c r="G51" s="115"/>
      <c r="H51" s="115">
        <f>ROUNDDOWN(H49*H50,0)</f>
        <v>1201</v>
      </c>
      <c r="I51" s="1"/>
      <c r="J51" s="1"/>
    </row>
    <row r="52">
      <c r="A52" s="1"/>
      <c r="B52" s="1"/>
      <c r="C52" s="1"/>
      <c r="D52" s="1"/>
      <c r="E52" s="1"/>
      <c r="F52" s="1"/>
      <c r="G52" s="115"/>
      <c r="H52" s="115"/>
      <c r="I52" s="1"/>
      <c r="J52" s="1"/>
    </row>
    <row r="53">
      <c r="A53" s="1"/>
      <c r="B53" s="1"/>
      <c r="C53" s="1"/>
      <c r="D53" s="137" t="s">
        <v>50</v>
      </c>
      <c r="E53" s="1"/>
      <c r="F53" s="1"/>
      <c r="G53" s="115"/>
      <c r="H53" s="115"/>
      <c r="I53" s="1"/>
      <c r="J53" s="1"/>
    </row>
    <row r="54">
      <c r="A54" s="1"/>
      <c r="B54" s="1"/>
      <c r="C54" s="1" t="s">
        <v>42</v>
      </c>
      <c r="D54" s="127"/>
      <c r="E54" s="1" t="str">
        <f>E39</f>
        <v># MQLs</v>
      </c>
      <c r="F54" s="1"/>
      <c r="G54" s="115"/>
      <c r="H54" s="115">
        <f>H23</f>
        <v>1890</v>
      </c>
      <c r="I54" s="1"/>
      <c r="J54" s="1"/>
    </row>
    <row r="55">
      <c r="A55" s="1"/>
      <c r="B55" s="1"/>
      <c r="C55" s="1" t="s">
        <v>43</v>
      </c>
      <c r="D55" s="127"/>
      <c r="E55" s="1" t="s">
        <v>44</v>
      </c>
      <c r="F55" s="1"/>
      <c r="G55" s="126"/>
      <c r="H55" s="126">
        <v>0.3</v>
      </c>
      <c r="I55" s="1"/>
      <c r="J55" s="1"/>
    </row>
    <row r="56">
      <c r="A56" s="1"/>
      <c r="B56" s="1"/>
      <c r="C56" s="1"/>
      <c r="D56" s="127"/>
      <c r="E56" s="1" t="s">
        <v>45</v>
      </c>
      <c r="F56" s="1"/>
      <c r="G56" s="115"/>
      <c r="H56" s="115">
        <f>ROUNDDOWN(H54*H55,0)</f>
        <v>567</v>
      </c>
      <c r="I56" s="1"/>
      <c r="J56" s="1"/>
    </row>
    <row r="57">
      <c r="A57" s="1"/>
      <c r="B57" s="1"/>
      <c r="C57" s="1"/>
      <c r="D57" s="1"/>
      <c r="E57" s="1"/>
      <c r="F57" s="1"/>
      <c r="G57" s="115"/>
      <c r="H57" s="115"/>
      <c r="I57" s="1"/>
      <c r="J57" s="1"/>
    </row>
    <row r="58">
      <c r="A58" s="1"/>
      <c r="B58" s="1"/>
      <c r="C58" s="1"/>
      <c r="D58" s="1"/>
      <c r="E58" s="1"/>
      <c r="F58" s="1"/>
      <c r="G58" s="115"/>
      <c r="H58" s="115"/>
      <c r="I58" s="1"/>
      <c r="J58" s="1"/>
    </row>
    <row r="59">
      <c r="A59" s="1"/>
      <c r="B59" s="116" t="s">
        <v>51</v>
      </c>
      <c r="C59" s="117"/>
      <c r="D59" s="117"/>
      <c r="E59" s="117"/>
      <c r="F59" s="117"/>
      <c r="G59" s="118"/>
      <c r="H59" s="118"/>
      <c r="I59" s="1"/>
      <c r="J59" s="1"/>
    </row>
    <row r="60">
      <c r="A60" s="1"/>
      <c r="B60" s="1"/>
      <c r="C60" s="1"/>
      <c r="D60" s="1"/>
      <c r="E60" s="1"/>
      <c r="F60" s="1"/>
      <c r="G60" s="115"/>
      <c r="H60" s="115"/>
      <c r="I60" s="1"/>
      <c r="J60" s="1"/>
    </row>
    <row r="61">
      <c r="A61" s="1"/>
      <c r="B61" s="1"/>
      <c r="C61" s="1" t="s">
        <v>52</v>
      </c>
      <c r="D61" s="127"/>
      <c r="E61" s="1" t="s">
        <v>45</v>
      </c>
      <c r="F61" s="1"/>
      <c r="G61" s="115"/>
      <c r="H61" s="115">
        <f>SUM(H36,H41,H46,H51,H56,)</f>
        <v>2462</v>
      </c>
      <c r="I61" s="1"/>
      <c r="J61" s="1"/>
    </row>
    <row r="62">
      <c r="A62" s="1"/>
      <c r="B62" s="1"/>
      <c r="C62" s="1" t="s">
        <v>53</v>
      </c>
      <c r="D62" s="127"/>
      <c r="E62" s="1" t="s">
        <v>54</v>
      </c>
      <c r="F62" s="1"/>
      <c r="G62" s="138"/>
      <c r="H62" s="138">
        <f>IFERROR(H63/H61,"-")</f>
        <v>1.073822096</v>
      </c>
      <c r="I62" s="1"/>
      <c r="J62" s="1"/>
    </row>
    <row r="63">
      <c r="A63" s="1"/>
      <c r="B63" s="1"/>
      <c r="C63" s="1"/>
      <c r="D63" s="127"/>
      <c r="E63" s="1" t="s">
        <v>55</v>
      </c>
      <c r="F63" s="1"/>
      <c r="G63" s="115"/>
      <c r="H63" s="115">
        <f>SUM(H68,H75,H82,H89,H96)</f>
        <v>2643.75</v>
      </c>
      <c r="I63" s="1"/>
      <c r="J63" s="1"/>
    </row>
    <row r="64">
      <c r="A64" s="1"/>
      <c r="B64" s="1"/>
      <c r="C64" s="1"/>
      <c r="D64" s="1"/>
      <c r="E64" s="1"/>
      <c r="F64" s="1"/>
      <c r="G64" s="115"/>
      <c r="H64" s="115"/>
      <c r="I64" s="1"/>
      <c r="J64" s="1"/>
    </row>
    <row r="65">
      <c r="A65" s="1"/>
      <c r="B65" s="1"/>
      <c r="C65" s="127"/>
      <c r="D65" s="136" t="s">
        <v>46</v>
      </c>
      <c r="E65" s="127"/>
      <c r="F65" s="1"/>
      <c r="G65" s="115"/>
      <c r="H65" s="115"/>
      <c r="I65" s="1"/>
      <c r="J65" s="1"/>
    </row>
    <row r="66">
      <c r="A66" s="1"/>
      <c r="B66" s="1"/>
      <c r="C66" s="1" t="s">
        <v>52</v>
      </c>
      <c r="D66" s="127"/>
      <c r="E66" s="1" t="s">
        <v>45</v>
      </c>
      <c r="F66" s="1"/>
      <c r="G66" s="115"/>
      <c r="H66" s="115">
        <f>H36</f>
        <v>77</v>
      </c>
      <c r="I66" s="1"/>
      <c r="J66" s="1"/>
    </row>
    <row r="67">
      <c r="A67" s="1"/>
      <c r="B67" s="1"/>
      <c r="C67" s="1" t="s">
        <v>53</v>
      </c>
      <c r="D67" s="127"/>
      <c r="E67" s="1" t="s">
        <v>54</v>
      </c>
      <c r="F67" s="1"/>
      <c r="G67" s="126"/>
      <c r="H67" s="126">
        <v>0.86</v>
      </c>
      <c r="I67" s="1"/>
      <c r="J67" s="1"/>
    </row>
    <row r="68">
      <c r="A68" s="1"/>
      <c r="B68" s="1"/>
      <c r="C68" s="1"/>
      <c r="D68" s="127"/>
      <c r="E68" s="1" t="s">
        <v>55</v>
      </c>
      <c r="F68" s="1"/>
      <c r="G68" s="115"/>
      <c r="H68" s="115">
        <f>SUM(H69:H70)</f>
        <v>82.5</v>
      </c>
      <c r="I68" s="1"/>
      <c r="J68" s="1"/>
    </row>
    <row r="69">
      <c r="A69" s="1"/>
      <c r="B69" s="1"/>
      <c r="C69" s="1"/>
      <c r="D69" s="127"/>
      <c r="E69" s="1"/>
      <c r="F69" s="121" t="s">
        <v>56</v>
      </c>
      <c r="G69" s="115"/>
      <c r="H69" s="115">
        <f>ROUNDDOWN(H66*H67,0)</f>
        <v>66</v>
      </c>
      <c r="I69" s="1"/>
      <c r="J69" s="1"/>
    </row>
    <row r="70">
      <c r="A70" s="1"/>
      <c r="B70" s="1"/>
      <c r="C70" s="1"/>
      <c r="D70" s="127"/>
      <c r="E70" s="1"/>
      <c r="F70" s="121" t="s">
        <v>57</v>
      </c>
      <c r="G70" s="115"/>
      <c r="H70" s="139">
        <f>H69*25%</f>
        <v>16.5</v>
      </c>
      <c r="I70" s="1"/>
      <c r="J70" s="1"/>
    </row>
    <row r="71">
      <c r="A71" s="1"/>
      <c r="B71" s="1"/>
      <c r="C71" s="1"/>
      <c r="D71" s="1"/>
      <c r="E71" s="1"/>
      <c r="F71" s="1"/>
      <c r="G71" s="115"/>
      <c r="H71" s="115"/>
      <c r="I71" s="1"/>
      <c r="J71" s="1"/>
    </row>
    <row r="72">
      <c r="A72" s="1"/>
      <c r="B72" s="1"/>
      <c r="C72" s="127"/>
      <c r="D72" s="137" t="s">
        <v>47</v>
      </c>
      <c r="E72" s="127"/>
      <c r="F72" s="1"/>
      <c r="G72" s="115"/>
      <c r="H72" s="115"/>
      <c r="I72" s="1"/>
      <c r="J72" s="1"/>
    </row>
    <row r="73">
      <c r="A73" s="1"/>
      <c r="B73" s="1"/>
      <c r="C73" s="1" t="s">
        <v>52</v>
      </c>
      <c r="D73" s="127"/>
      <c r="E73" s="1" t="s">
        <v>45</v>
      </c>
      <c r="F73" s="1"/>
      <c r="G73" s="115"/>
      <c r="H73" s="115">
        <f>H41</f>
        <v>107</v>
      </c>
      <c r="I73" s="1"/>
      <c r="J73" s="1"/>
    </row>
    <row r="74">
      <c r="A74" s="1"/>
      <c r="B74" s="1"/>
      <c r="C74" s="1" t="s">
        <v>53</v>
      </c>
      <c r="D74" s="127"/>
      <c r="E74" s="1" t="s">
        <v>54</v>
      </c>
      <c r="F74" s="1"/>
      <c r="G74" s="126"/>
      <c r="H74" s="126">
        <v>0.86</v>
      </c>
      <c r="I74" s="1"/>
      <c r="J74" s="1"/>
    </row>
    <row r="75">
      <c r="A75" s="1"/>
      <c r="B75" s="1"/>
      <c r="C75" s="1"/>
      <c r="D75" s="127"/>
      <c r="E75" s="1" t="s">
        <v>55</v>
      </c>
      <c r="F75" s="1"/>
      <c r="G75" s="115"/>
      <c r="H75" s="115">
        <f>SUM(H76:H77)</f>
        <v>115</v>
      </c>
      <c r="I75" s="1"/>
      <c r="J75" s="1"/>
    </row>
    <row r="76">
      <c r="A76" s="1"/>
      <c r="B76" s="1"/>
      <c r="C76" s="1"/>
      <c r="D76" s="1"/>
      <c r="E76" s="1"/>
      <c r="F76" s="121" t="s">
        <v>56</v>
      </c>
      <c r="G76" s="115"/>
      <c r="H76" s="115">
        <f>ROUNDDOWN(H73*H74,0)</f>
        <v>92</v>
      </c>
      <c r="I76" s="1"/>
      <c r="J76" s="1"/>
    </row>
    <row r="77">
      <c r="A77" s="1"/>
      <c r="B77" s="1"/>
      <c r="C77" s="1"/>
      <c r="D77" s="1"/>
      <c r="E77" s="1"/>
      <c r="F77" s="121" t="s">
        <v>57</v>
      </c>
      <c r="G77" s="115"/>
      <c r="H77" s="139">
        <f>H76*25%</f>
        <v>23</v>
      </c>
      <c r="I77" s="1"/>
      <c r="J77" s="1"/>
    </row>
    <row r="78">
      <c r="A78" s="1"/>
      <c r="B78" s="1"/>
      <c r="C78" s="1"/>
      <c r="D78" s="1"/>
      <c r="E78" s="1"/>
      <c r="F78" s="1"/>
      <c r="G78" s="115"/>
      <c r="H78" s="115"/>
      <c r="I78" s="1"/>
      <c r="J78" s="1"/>
    </row>
    <row r="79">
      <c r="A79" s="1"/>
      <c r="B79" s="1"/>
      <c r="C79" s="127"/>
      <c r="D79" s="137" t="s">
        <v>48</v>
      </c>
      <c r="E79" s="127"/>
      <c r="F79" s="1"/>
      <c r="G79" s="115"/>
      <c r="H79" s="115"/>
      <c r="I79" s="1"/>
      <c r="J79" s="1"/>
    </row>
    <row r="80">
      <c r="A80" s="1"/>
      <c r="B80" s="1"/>
      <c r="C80" s="1" t="s">
        <v>52</v>
      </c>
      <c r="D80" s="127"/>
      <c r="E80" s="1" t="s">
        <v>45</v>
      </c>
      <c r="F80" s="1"/>
      <c r="G80" s="115"/>
      <c r="H80" s="115">
        <f>H46</f>
        <v>510</v>
      </c>
      <c r="I80" s="1"/>
      <c r="J80" s="1"/>
    </row>
    <row r="81">
      <c r="A81" s="1"/>
      <c r="B81" s="1"/>
      <c r="C81" s="1" t="s">
        <v>53</v>
      </c>
      <c r="D81" s="127"/>
      <c r="E81" s="1" t="s">
        <v>54</v>
      </c>
      <c r="F81" s="1"/>
      <c r="G81" s="126"/>
      <c r="H81" s="126">
        <v>0.86</v>
      </c>
      <c r="I81" s="1"/>
      <c r="J81" s="1"/>
    </row>
    <row r="82">
      <c r="A82" s="1"/>
      <c r="B82" s="1"/>
      <c r="C82" s="1"/>
      <c r="D82" s="127"/>
      <c r="E82" s="1" t="s">
        <v>55</v>
      </c>
      <c r="F82" s="1"/>
      <c r="G82" s="115"/>
      <c r="H82" s="115">
        <f>SUM(H83:H84)</f>
        <v>547.5</v>
      </c>
      <c r="I82" s="1"/>
      <c r="J82" s="1"/>
    </row>
    <row r="83">
      <c r="A83" s="1"/>
      <c r="B83" s="1"/>
      <c r="C83" s="1"/>
      <c r="D83" s="1"/>
      <c r="E83" s="1"/>
      <c r="F83" s="121" t="s">
        <v>56</v>
      </c>
      <c r="G83" s="115"/>
      <c r="H83" s="115">
        <f>ROUNDDOWN(H80*H81,0)</f>
        <v>438</v>
      </c>
      <c r="I83" s="1"/>
      <c r="J83" s="1"/>
    </row>
    <row r="84">
      <c r="A84" s="1"/>
      <c r="B84" s="1"/>
      <c r="C84" s="1"/>
      <c r="D84" s="1"/>
      <c r="E84" s="1"/>
      <c r="F84" s="121" t="s">
        <v>57</v>
      </c>
      <c r="G84" s="115"/>
      <c r="H84" s="139">
        <f>H83*25%</f>
        <v>109.5</v>
      </c>
      <c r="I84" s="1"/>
      <c r="J84" s="1"/>
    </row>
    <row r="85">
      <c r="A85" s="1"/>
      <c r="B85" s="1"/>
      <c r="C85" s="1"/>
      <c r="D85" s="1"/>
      <c r="E85" s="1"/>
      <c r="F85" s="1"/>
      <c r="G85" s="115"/>
      <c r="H85" s="115"/>
      <c r="I85" s="1"/>
      <c r="J85" s="1"/>
    </row>
    <row r="86">
      <c r="A86" s="1"/>
      <c r="B86" s="1"/>
      <c r="C86" s="127"/>
      <c r="D86" s="137" t="s">
        <v>49</v>
      </c>
      <c r="E86" s="127"/>
      <c r="F86" s="1"/>
      <c r="G86" s="115"/>
      <c r="H86" s="115"/>
      <c r="I86" s="1"/>
      <c r="J86" s="1"/>
    </row>
    <row r="87">
      <c r="A87" s="1"/>
      <c r="B87" s="1"/>
      <c r="C87" s="1" t="s">
        <v>52</v>
      </c>
      <c r="D87" s="127"/>
      <c r="E87" s="1" t="s">
        <v>45</v>
      </c>
      <c r="F87" s="1"/>
      <c r="G87" s="115"/>
      <c r="H87" s="115">
        <f>H51</f>
        <v>1201</v>
      </c>
      <c r="I87" s="1"/>
      <c r="J87" s="1"/>
    </row>
    <row r="88">
      <c r="A88" s="1"/>
      <c r="B88" s="1"/>
      <c r="C88" s="1" t="s">
        <v>53</v>
      </c>
      <c r="D88" s="127"/>
      <c r="E88" s="1" t="s">
        <v>54</v>
      </c>
      <c r="F88" s="1"/>
      <c r="G88" s="126"/>
      <c r="H88" s="126">
        <v>0.86</v>
      </c>
      <c r="I88" s="1"/>
      <c r="J88" s="1"/>
    </row>
    <row r="89">
      <c r="A89" s="1"/>
      <c r="B89" s="1"/>
      <c r="C89" s="1"/>
      <c r="D89" s="127"/>
      <c r="E89" s="1" t="s">
        <v>55</v>
      </c>
      <c r="F89" s="1"/>
      <c r="G89" s="115"/>
      <c r="H89" s="115">
        <f>SUM(H90:H91)</f>
        <v>1290</v>
      </c>
      <c r="I89" s="1"/>
      <c r="J89" s="1"/>
    </row>
    <row r="90">
      <c r="A90" s="1"/>
      <c r="B90" s="1"/>
      <c r="C90" s="1"/>
      <c r="D90" s="1"/>
      <c r="E90" s="1"/>
      <c r="F90" s="121" t="s">
        <v>56</v>
      </c>
      <c r="G90" s="115"/>
      <c r="H90" s="115">
        <f>ROUNDDOWN(H87*H88,0)</f>
        <v>1032</v>
      </c>
      <c r="I90" s="1"/>
      <c r="J90" s="1"/>
    </row>
    <row r="91">
      <c r="A91" s="1"/>
      <c r="B91" s="1"/>
      <c r="C91" s="1"/>
      <c r="D91" s="1"/>
      <c r="E91" s="1"/>
      <c r="F91" s="121" t="s">
        <v>57</v>
      </c>
      <c r="G91" s="115"/>
      <c r="H91" s="139">
        <f>H90*25%</f>
        <v>258</v>
      </c>
      <c r="I91" s="1"/>
      <c r="J91" s="1"/>
    </row>
    <row r="92">
      <c r="A92" s="1"/>
      <c r="B92" s="1"/>
      <c r="C92" s="1"/>
      <c r="D92" s="1"/>
      <c r="E92" s="1"/>
      <c r="F92" s="1"/>
      <c r="G92" s="115"/>
      <c r="H92" s="115"/>
      <c r="I92" s="1"/>
      <c r="J92" s="1"/>
    </row>
    <row r="93">
      <c r="A93" s="1"/>
      <c r="B93" s="1"/>
      <c r="C93" s="127"/>
      <c r="D93" s="137" t="s">
        <v>50</v>
      </c>
      <c r="E93" s="127"/>
      <c r="F93" s="1"/>
      <c r="G93" s="115"/>
      <c r="H93" s="115"/>
      <c r="I93" s="1"/>
      <c r="J93" s="1"/>
    </row>
    <row r="94">
      <c r="A94" s="1"/>
      <c r="B94" s="1"/>
      <c r="C94" s="1" t="s">
        <v>52</v>
      </c>
      <c r="D94" s="127"/>
      <c r="E94" s="1" t="s">
        <v>45</v>
      </c>
      <c r="F94" s="1"/>
      <c r="G94" s="115"/>
      <c r="H94" s="115">
        <f>H56</f>
        <v>567</v>
      </c>
      <c r="I94" s="1"/>
      <c r="J94" s="1"/>
    </row>
    <row r="95">
      <c r="A95" s="1"/>
      <c r="B95" s="1"/>
      <c r="C95" s="1" t="s">
        <v>53</v>
      </c>
      <c r="D95" s="127"/>
      <c r="E95" s="1" t="s">
        <v>54</v>
      </c>
      <c r="F95" s="1"/>
      <c r="G95" s="126"/>
      <c r="H95" s="126">
        <v>0.86</v>
      </c>
      <c r="I95" s="1"/>
      <c r="J95" s="1"/>
    </row>
    <row r="96">
      <c r="A96" s="1"/>
      <c r="B96" s="1"/>
      <c r="C96" s="1"/>
      <c r="D96" s="127"/>
      <c r="E96" s="1" t="s">
        <v>55</v>
      </c>
      <c r="F96" s="1"/>
      <c r="G96" s="115"/>
      <c r="H96" s="115">
        <f>SUM(H97:H98)</f>
        <v>608.75</v>
      </c>
      <c r="I96" s="1"/>
      <c r="J96" s="1"/>
    </row>
    <row r="97">
      <c r="A97" s="1"/>
      <c r="B97" s="1"/>
      <c r="C97" s="1"/>
      <c r="D97" s="1"/>
      <c r="E97" s="1"/>
      <c r="F97" s="121" t="s">
        <v>56</v>
      </c>
      <c r="G97" s="115"/>
      <c r="H97" s="115">
        <f>ROUNDDOWN(H94*H95,0)</f>
        <v>487</v>
      </c>
      <c r="I97" s="1"/>
      <c r="J97" s="1"/>
    </row>
    <row r="98">
      <c r="A98" s="1"/>
      <c r="B98" s="1"/>
      <c r="C98" s="1"/>
      <c r="D98" s="1"/>
      <c r="E98" s="1"/>
      <c r="F98" s="121" t="s">
        <v>57</v>
      </c>
      <c r="G98" s="115"/>
      <c r="H98" s="139">
        <f>H97*25%</f>
        <v>121.75</v>
      </c>
      <c r="I98" s="1"/>
      <c r="J98" s="1"/>
    </row>
    <row r="99">
      <c r="A99" s="1"/>
      <c r="B99" s="1"/>
      <c r="C99" s="1"/>
      <c r="D99" s="1"/>
      <c r="E99" s="1"/>
      <c r="F99" s="1"/>
      <c r="G99" s="115"/>
      <c r="H99" s="115"/>
      <c r="I99" s="1"/>
      <c r="J99" s="1"/>
    </row>
    <row r="100">
      <c r="A100" s="1"/>
      <c r="B100" s="1"/>
      <c r="C100" s="1"/>
      <c r="D100" s="1"/>
      <c r="E100" s="1"/>
      <c r="F100" s="1"/>
      <c r="G100" s="115"/>
      <c r="H100" s="115"/>
      <c r="I100" s="1"/>
      <c r="J100" s="1"/>
    </row>
    <row r="101">
      <c r="A101" s="1"/>
      <c r="B101" s="116" t="s">
        <v>58</v>
      </c>
      <c r="C101" s="117"/>
      <c r="D101" s="117"/>
      <c r="E101" s="117"/>
      <c r="F101" s="117"/>
      <c r="G101" s="118"/>
      <c r="H101" s="118"/>
      <c r="I101" s="1"/>
      <c r="J101" s="1"/>
    </row>
    <row r="102">
      <c r="A102" s="1"/>
      <c r="B102" s="1"/>
      <c r="C102" s="1"/>
      <c r="D102" s="1"/>
      <c r="E102" s="1"/>
      <c r="F102" s="1"/>
      <c r="G102" s="115"/>
      <c r="H102" s="115"/>
      <c r="I102" s="1"/>
      <c r="J102" s="1"/>
    </row>
    <row r="103">
      <c r="A103" s="1"/>
      <c r="B103" s="1"/>
      <c r="C103" s="121" t="s">
        <v>59</v>
      </c>
      <c r="D103" s="16"/>
      <c r="E103" s="121" t="s">
        <v>55</v>
      </c>
      <c r="F103" s="16"/>
      <c r="G103" s="140"/>
      <c r="H103" s="131">
        <f>SUM(H96,H89,H82,H75,H68)</f>
        <v>2643.75</v>
      </c>
      <c r="I103" s="1"/>
      <c r="J103" s="1"/>
    </row>
    <row r="104">
      <c r="A104" s="1"/>
      <c r="B104" s="1"/>
      <c r="C104" s="121" t="s">
        <v>60</v>
      </c>
      <c r="D104" s="16"/>
      <c r="E104" s="121" t="s">
        <v>61</v>
      </c>
      <c r="F104" s="16"/>
      <c r="G104" s="141"/>
      <c r="H104" s="142">
        <f>IFERROR(H106/H103,"-")</f>
        <v>0.3003309693</v>
      </c>
      <c r="I104" s="1"/>
      <c r="J104" s="1"/>
    </row>
    <row r="105">
      <c r="A105" s="1"/>
      <c r="B105" s="1"/>
      <c r="C105" s="15"/>
      <c r="D105" s="16"/>
      <c r="E105" s="121" t="s">
        <v>62</v>
      </c>
      <c r="F105" s="16"/>
      <c r="G105" s="141"/>
      <c r="H105" s="142">
        <f>IFERROR(H106/H13,"-")</f>
        <v>0.09435531788</v>
      </c>
      <c r="I105" s="1"/>
      <c r="J105" s="1"/>
    </row>
    <row r="106">
      <c r="A106" s="1"/>
      <c r="B106" s="1"/>
      <c r="C106" s="16"/>
      <c r="D106" s="16"/>
      <c r="E106" s="121" t="s">
        <v>63</v>
      </c>
      <c r="F106" s="16"/>
      <c r="G106" s="140"/>
      <c r="H106" s="131">
        <f>SUM(H114,H143,H173,H203,H232)</f>
        <v>794</v>
      </c>
      <c r="I106" s="1"/>
      <c r="J106" s="1"/>
    </row>
    <row r="107">
      <c r="A107" s="1"/>
      <c r="B107" s="1"/>
      <c r="C107" s="16"/>
      <c r="D107" s="16"/>
      <c r="E107" s="121" t="s">
        <v>64</v>
      </c>
      <c r="F107" s="16"/>
      <c r="G107" s="140"/>
      <c r="H107" s="131">
        <f>IFERROR(H108/H106,"-")</f>
        <v>46253.52645</v>
      </c>
      <c r="I107" s="1"/>
      <c r="J107" s="1"/>
    </row>
    <row r="108">
      <c r="A108" s="1"/>
      <c r="B108" s="1"/>
      <c r="C108" s="16"/>
      <c r="D108" s="16"/>
      <c r="E108" s="121" t="s">
        <v>65</v>
      </c>
      <c r="F108" s="16"/>
      <c r="G108" s="140"/>
      <c r="H108" s="131">
        <f>SUM(H116,H145,H175,H205,H234)</f>
        <v>36725300</v>
      </c>
      <c r="I108" s="1"/>
      <c r="J108" s="1"/>
    </row>
    <row r="109">
      <c r="A109" s="13"/>
      <c r="B109" s="1"/>
      <c r="C109" s="16"/>
      <c r="D109" s="16"/>
      <c r="E109" s="16"/>
      <c r="F109" s="16"/>
      <c r="G109" s="140"/>
      <c r="H109" s="140"/>
      <c r="I109" s="1"/>
      <c r="J109" s="1"/>
    </row>
    <row r="110">
      <c r="A110" s="1"/>
      <c r="B110" s="1"/>
      <c r="C110" s="16"/>
      <c r="D110" s="144" t="s">
        <v>46</v>
      </c>
      <c r="E110" s="16"/>
      <c r="F110" s="16"/>
      <c r="G110" s="141"/>
      <c r="H110" s="141"/>
      <c r="I110" s="1"/>
      <c r="J110" s="1"/>
    </row>
    <row r="111">
      <c r="A111" s="1"/>
      <c r="B111" s="1"/>
      <c r="C111" s="121" t="s">
        <v>59</v>
      </c>
      <c r="D111" s="16"/>
      <c r="E111" s="121" t="s">
        <v>55</v>
      </c>
      <c r="F111" s="16"/>
      <c r="G111" s="140"/>
      <c r="H111" s="131">
        <f>H68</f>
        <v>82.5</v>
      </c>
      <c r="I111" s="1"/>
      <c r="J111" s="1"/>
    </row>
    <row r="112">
      <c r="A112" s="1"/>
      <c r="B112" s="1"/>
      <c r="C112" s="121" t="s">
        <v>60</v>
      </c>
      <c r="D112" s="16"/>
      <c r="E112" s="121" t="s">
        <v>61</v>
      </c>
      <c r="F112" s="16"/>
      <c r="G112" s="141"/>
      <c r="H112" s="145">
        <v>0.3</v>
      </c>
      <c r="I112" s="1"/>
      <c r="J112" s="1"/>
    </row>
    <row r="113">
      <c r="A113" s="1"/>
      <c r="B113" s="1"/>
      <c r="C113" s="15"/>
      <c r="D113" s="16"/>
      <c r="E113" s="121" t="s">
        <v>62</v>
      </c>
      <c r="F113" s="16"/>
      <c r="G113" s="141"/>
      <c r="H113" s="142">
        <f>H114/H19</f>
        <v>0.0645994832</v>
      </c>
      <c r="I113" s="1"/>
      <c r="J113" s="1"/>
    </row>
    <row r="114">
      <c r="A114" s="1"/>
      <c r="B114" s="1"/>
      <c r="C114" s="16"/>
      <c r="D114" s="16"/>
      <c r="E114" s="121" t="s">
        <v>63</v>
      </c>
      <c r="F114" s="16"/>
      <c r="G114" s="146"/>
      <c r="H114" s="147">
        <f>ROUND(H111*H112,0)</f>
        <v>25</v>
      </c>
      <c r="I114" s="1"/>
      <c r="J114" s="1"/>
    </row>
    <row r="115">
      <c r="A115" s="1"/>
      <c r="B115" s="1"/>
      <c r="C115" s="16"/>
      <c r="D115" s="16"/>
      <c r="E115" s="121" t="s">
        <v>64</v>
      </c>
      <c r="F115" s="16"/>
      <c r="G115" s="19"/>
      <c r="H115" s="149">
        <f>H116/H114</f>
        <v>122792</v>
      </c>
      <c r="I115" s="1"/>
      <c r="J115" s="1"/>
    </row>
    <row r="116">
      <c r="A116" s="1"/>
      <c r="B116" s="1"/>
      <c r="C116" s="16"/>
      <c r="D116" s="16"/>
      <c r="E116" s="121" t="s">
        <v>65</v>
      </c>
      <c r="F116" s="16"/>
      <c r="G116" s="19"/>
      <c r="H116" s="149">
        <f>SUM(H129,H131,H133,H135)</f>
        <v>3069800</v>
      </c>
      <c r="I116" s="1"/>
      <c r="J116" s="1"/>
    </row>
    <row r="117" outlineLevel="1">
      <c r="A117" s="1"/>
      <c r="B117" s="1"/>
      <c r="C117" s="16"/>
      <c r="D117" s="16"/>
      <c r="E117" s="16"/>
      <c r="F117" s="121" t="s">
        <v>66</v>
      </c>
      <c r="G117" s="151"/>
      <c r="H117" s="152">
        <v>0.6</v>
      </c>
      <c r="I117" s="1"/>
      <c r="J117" s="1"/>
    </row>
    <row r="118" outlineLevel="1">
      <c r="A118" s="1"/>
      <c r="B118" s="1"/>
      <c r="C118" s="16"/>
      <c r="D118" s="16"/>
      <c r="E118" s="16"/>
      <c r="F118" s="121" t="s">
        <v>67</v>
      </c>
      <c r="G118" s="151"/>
      <c r="H118" s="152">
        <v>0.1</v>
      </c>
      <c r="I118" s="1"/>
      <c r="J118" s="1"/>
    </row>
    <row r="119" outlineLevel="1">
      <c r="A119" s="1"/>
      <c r="B119" s="1"/>
      <c r="C119" s="16"/>
      <c r="D119" s="16"/>
      <c r="E119" s="16"/>
      <c r="F119" s="121" t="s">
        <v>68</v>
      </c>
      <c r="G119" s="151"/>
      <c r="H119" s="154">
        <v>0.0</v>
      </c>
      <c r="I119" s="1"/>
      <c r="J119" s="1"/>
    </row>
    <row r="120" outlineLevel="1">
      <c r="A120" s="1"/>
      <c r="B120" s="1"/>
      <c r="C120" s="16"/>
      <c r="D120" s="16"/>
      <c r="E120" s="16"/>
      <c r="F120" s="121" t="s">
        <v>69</v>
      </c>
      <c r="G120" s="151"/>
      <c r="H120" s="154">
        <v>0.2</v>
      </c>
      <c r="I120" s="1"/>
      <c r="J120" s="1"/>
    </row>
    <row r="121" outlineLevel="1">
      <c r="A121" s="1"/>
      <c r="B121" s="1"/>
      <c r="C121" s="16"/>
      <c r="D121" s="16"/>
      <c r="E121" s="16"/>
      <c r="F121" s="121" t="s">
        <v>70</v>
      </c>
      <c r="G121" s="151"/>
      <c r="H121" s="152">
        <v>0.1</v>
      </c>
      <c r="I121" s="1"/>
      <c r="J121" s="1"/>
    </row>
    <row r="122" outlineLevel="1">
      <c r="A122" s="1"/>
      <c r="B122" s="1"/>
      <c r="C122" s="16"/>
      <c r="D122" s="16"/>
      <c r="E122" s="16"/>
      <c r="F122" s="121" t="s">
        <v>71</v>
      </c>
      <c r="G122" s="19"/>
      <c r="H122" s="158">
        <v>150000.0</v>
      </c>
      <c r="I122" s="1"/>
      <c r="J122" s="1"/>
    </row>
    <row r="123" outlineLevel="1">
      <c r="A123" s="1"/>
      <c r="B123" s="1"/>
      <c r="C123" s="16"/>
      <c r="D123" s="16"/>
      <c r="E123" s="16"/>
      <c r="F123" s="121" t="s">
        <v>72</v>
      </c>
      <c r="G123" s="19"/>
      <c r="H123" s="156">
        <v>31600.0</v>
      </c>
      <c r="I123" s="1"/>
      <c r="J123" s="1"/>
    </row>
    <row r="124" outlineLevel="1">
      <c r="A124" s="1"/>
      <c r="B124" s="1"/>
      <c r="C124" s="16"/>
      <c r="D124" s="16"/>
      <c r="E124" s="16"/>
      <c r="F124" s="121" t="s">
        <v>73</v>
      </c>
      <c r="G124" s="19"/>
      <c r="H124" s="158">
        <v>0.0</v>
      </c>
      <c r="I124" s="1"/>
      <c r="J124" s="1"/>
    </row>
    <row r="125" outlineLevel="1">
      <c r="A125" s="1"/>
      <c r="B125" s="1"/>
      <c r="C125" s="16"/>
      <c r="D125" s="16"/>
      <c r="E125" s="16"/>
      <c r="F125" s="121" t="s">
        <v>74</v>
      </c>
      <c r="G125" s="19"/>
      <c r="H125" s="156">
        <f>14500*10</f>
        <v>145000</v>
      </c>
      <c r="I125" s="1"/>
      <c r="J125" s="1"/>
    </row>
    <row r="126" outlineLevel="1">
      <c r="A126" s="1"/>
      <c r="B126" s="1"/>
      <c r="C126" s="16"/>
      <c r="D126" s="16"/>
      <c r="E126" s="16"/>
      <c r="F126" s="121" t="s">
        <v>75</v>
      </c>
      <c r="G126" s="19"/>
      <c r="H126" s="156">
        <v>0.0</v>
      </c>
      <c r="I126" s="1"/>
      <c r="J126" s="1"/>
    </row>
    <row r="127" outlineLevel="1">
      <c r="A127" s="1"/>
      <c r="B127" s="1"/>
      <c r="C127" s="16"/>
      <c r="D127" s="16"/>
      <c r="E127" s="16"/>
      <c r="F127" s="160" t="s">
        <v>76</v>
      </c>
      <c r="G127" s="15"/>
      <c r="H127" s="161">
        <f>IFERROR(__xludf.DUMMYFUNCTION("MATCH(
  MIN(FILTER(H122:H126,H122:H126&gt;0)),
  H122:H126,
  0
)
"),2.0)</f>
        <v>2</v>
      </c>
      <c r="I127" s="1"/>
      <c r="J127" s="1"/>
    </row>
    <row r="128" outlineLevel="1">
      <c r="A128" s="1"/>
      <c r="B128" s="1"/>
      <c r="C128" s="16"/>
      <c r="D128" s="16"/>
      <c r="E128" s="16"/>
      <c r="F128" s="121" t="s">
        <v>77</v>
      </c>
      <c r="G128" s="146"/>
      <c r="H128" s="147">
        <f>ROUNDDOWN(H114*H117,0)
 + IF(H127=1,
      H114 - SUM(
        ROUNDDOWN(H114*H117,0),
        ROUNDDOWN(H114*H118,0),
        ROUNDDOWN(H114*H119,0),
        ROUNDDOWN(H114*H120,0),
        ROUNDDOWN(H114*H121,0),
      ),
      0
   )
</f>
        <v>15</v>
      </c>
      <c r="I128" s="1"/>
      <c r="J128" s="1"/>
    </row>
    <row r="129" outlineLevel="1">
      <c r="A129" s="1"/>
      <c r="B129" s="1"/>
      <c r="C129" s="16"/>
      <c r="D129" s="16"/>
      <c r="E129" s="16"/>
      <c r="F129" s="121" t="s">
        <v>78</v>
      </c>
      <c r="G129" s="19"/>
      <c r="H129" s="149">
        <f>(H128*H122)</f>
        <v>2250000</v>
      </c>
      <c r="I129" s="1"/>
      <c r="J129" s="1"/>
    </row>
    <row r="130" outlineLevel="1">
      <c r="A130" s="1"/>
      <c r="B130" s="1"/>
      <c r="C130" s="16"/>
      <c r="D130" s="16"/>
      <c r="E130" s="16"/>
      <c r="F130" s="121" t="s">
        <v>79</v>
      </c>
      <c r="G130" s="146"/>
      <c r="H130" s="147">
        <f>ROUNDDOWN(H114*H118,0)
 + IF(H127=2,
      H114 - SUM(
        ROUNDDOWN(H114*H117,0),
        ROUNDDOWN(H114*H118,0),
        ROUNDDOWN(H114*H119,0),
        ROUNDDOWN(H114*H120,0),
        ROUNDDOWN(H114*H121,0),
      ),
      0
   )
</f>
        <v>3</v>
      </c>
      <c r="I130" s="1"/>
      <c r="J130" s="1"/>
    </row>
    <row r="131" outlineLevel="1">
      <c r="A131" s="1"/>
      <c r="B131" s="1"/>
      <c r="C131" s="16"/>
      <c r="D131" s="16"/>
      <c r="E131" s="16"/>
      <c r="F131" s="121" t="s">
        <v>80</v>
      </c>
      <c r="G131" s="19"/>
      <c r="H131" s="149">
        <f>(H123*H130)</f>
        <v>94800</v>
      </c>
      <c r="I131" s="1"/>
      <c r="J131" s="1"/>
    </row>
    <row r="132" outlineLevel="1">
      <c r="A132" s="1"/>
      <c r="B132" s="1"/>
      <c r="C132" s="16"/>
      <c r="D132" s="16"/>
      <c r="E132" s="16"/>
      <c r="F132" s="121" t="s">
        <v>81</v>
      </c>
      <c r="G132" s="146"/>
      <c r="H132" s="147">
        <f>ROUNDDOWN(H114*H119,0)
 + IF(H127=3,
      H114 - SUM(
        ROUNDDOWN(H114*H117,0),
        ROUNDDOWN(H114*H118,0),
        ROUNDDOWN(H114*H119,0),
        ROUNDDOWN(H114*H120,0)
      ),
      0
   )
</f>
        <v>0</v>
      </c>
      <c r="I132" s="1"/>
      <c r="J132" s="1"/>
    </row>
    <row r="133" outlineLevel="1">
      <c r="A133" s="1"/>
      <c r="B133" s="1"/>
      <c r="C133" s="16"/>
      <c r="D133" s="16"/>
      <c r="E133" s="16"/>
      <c r="F133" s="121" t="s">
        <v>82</v>
      </c>
      <c r="G133" s="19"/>
      <c r="H133" s="149">
        <f>(H124*H132)</f>
        <v>0</v>
      </c>
      <c r="I133" s="1"/>
      <c r="J133" s="1"/>
    </row>
    <row r="134" outlineLevel="1">
      <c r="A134" s="1"/>
      <c r="B134" s="1"/>
      <c r="C134" s="16"/>
      <c r="D134" s="16"/>
      <c r="E134" s="16"/>
      <c r="F134" s="121" t="s">
        <v>83</v>
      </c>
      <c r="G134" s="146"/>
      <c r="H134" s="147">
        <f>ROUNDDOWN(H114*H120,0)
 + IF(H127=4,
      H114 - SUM(
        ROUNDDOWN(H114*H117,0),
        ROUNDDOWN(H114*H118,0),
        ROUNDDOWN(H114*H119,0),
        ROUNDDOWN(H114*H120,0),ROUNDDOWN(H114*H121,0),
      ),
      0
   )
</f>
        <v>5</v>
      </c>
      <c r="I134" s="1"/>
      <c r="J134" s="1"/>
    </row>
    <row r="135" outlineLevel="1">
      <c r="A135" s="1"/>
      <c r="B135" s="1"/>
      <c r="C135" s="16"/>
      <c r="D135" s="16"/>
      <c r="E135" s="16"/>
      <c r="F135" s="121" t="s">
        <v>84</v>
      </c>
      <c r="G135" s="19"/>
      <c r="H135" s="149">
        <f>(H125*H134)</f>
        <v>725000</v>
      </c>
      <c r="I135" s="1"/>
      <c r="J135" s="1"/>
    </row>
    <row r="136" outlineLevel="1">
      <c r="A136" s="1"/>
      <c r="B136" s="1"/>
      <c r="C136" s="16"/>
      <c r="D136" s="16"/>
      <c r="E136" s="16"/>
      <c r="F136" s="121" t="s">
        <v>85</v>
      </c>
      <c r="G136" s="146"/>
      <c r="H136" s="147">
        <f>ROUNDDOWN(H114*H121,0)
 + IF(H127=5,
      H114 - SUM(
        ROUNDDOWN(H114*H117,0),
        ROUNDDOWN(H114*H118,0),
        ROUNDDOWN(H114*H119,0),
        ROUNDDOWN(H114*H120,0),
        ROUNDDOWN(H114*H121,0),
      ),
      0
   )
</f>
        <v>2</v>
      </c>
      <c r="I136" s="1"/>
      <c r="J136" s="1"/>
    </row>
    <row r="137" outlineLevel="1">
      <c r="A137" s="1"/>
      <c r="B137" s="1"/>
      <c r="C137" s="16"/>
      <c r="D137" s="16"/>
      <c r="E137" s="16"/>
      <c r="F137" s="121" t="s">
        <v>86</v>
      </c>
      <c r="G137" s="19"/>
      <c r="H137" s="149">
        <f>(H126*H136)</f>
        <v>0</v>
      </c>
      <c r="I137" s="1"/>
      <c r="J137" s="1"/>
    </row>
    <row r="138">
      <c r="A138" s="1"/>
      <c r="B138" s="1"/>
      <c r="C138" s="16"/>
      <c r="D138" s="16"/>
      <c r="E138" s="16"/>
      <c r="F138" s="16"/>
      <c r="G138" s="146"/>
      <c r="H138" s="146"/>
      <c r="I138" s="1"/>
      <c r="J138" s="1"/>
    </row>
    <row r="139">
      <c r="A139" s="1"/>
      <c r="B139" s="1"/>
      <c r="C139" s="16"/>
      <c r="D139" s="144" t="s">
        <v>47</v>
      </c>
      <c r="E139" s="16"/>
      <c r="F139" s="16"/>
      <c r="G139" s="141"/>
      <c r="H139" s="141"/>
      <c r="I139" s="1"/>
      <c r="J139" s="1"/>
    </row>
    <row r="140">
      <c r="A140" s="1"/>
      <c r="B140" s="1"/>
      <c r="C140" s="121" t="s">
        <v>59</v>
      </c>
      <c r="D140" s="16"/>
      <c r="E140" s="121" t="s">
        <v>55</v>
      </c>
      <c r="F140" s="16"/>
      <c r="G140" s="146"/>
      <c r="H140" s="147">
        <f>H75</f>
        <v>115</v>
      </c>
      <c r="I140" s="1"/>
      <c r="J140" s="1"/>
    </row>
    <row r="141">
      <c r="A141" s="1"/>
      <c r="B141" s="1"/>
      <c r="C141" s="121" t="s">
        <v>60</v>
      </c>
      <c r="D141" s="16"/>
      <c r="E141" s="121" t="s">
        <v>61</v>
      </c>
      <c r="F141" s="16"/>
      <c r="G141" s="141"/>
      <c r="H141" s="145">
        <v>0.3</v>
      </c>
      <c r="I141" s="1"/>
      <c r="J141" s="1"/>
    </row>
    <row r="142">
      <c r="A142" s="1"/>
      <c r="B142" s="1"/>
      <c r="C142" s="15"/>
      <c r="D142" s="16"/>
      <c r="E142" s="121" t="s">
        <v>62</v>
      </c>
      <c r="F142" s="16"/>
      <c r="G142" s="141"/>
      <c r="H142" s="142">
        <f>H143/H20</f>
        <v>0.08139534884</v>
      </c>
      <c r="I142" s="1"/>
      <c r="J142" s="1"/>
    </row>
    <row r="143">
      <c r="A143" s="1"/>
      <c r="B143" s="1"/>
      <c r="C143" s="16"/>
      <c r="D143" s="16"/>
      <c r="E143" s="121" t="s">
        <v>63</v>
      </c>
      <c r="F143" s="16"/>
      <c r="G143" s="146"/>
      <c r="H143" s="147">
        <f>ROUND(H140*H141,0)</f>
        <v>35</v>
      </c>
      <c r="I143" s="1"/>
      <c r="J143" s="1"/>
    </row>
    <row r="144">
      <c r="A144" s="1"/>
      <c r="B144" s="1"/>
      <c r="C144" s="16"/>
      <c r="D144" s="16"/>
      <c r="E144" s="121" t="s">
        <v>64</v>
      </c>
      <c r="F144" s="16"/>
      <c r="G144" s="19"/>
      <c r="H144" s="149">
        <f>H145/H143</f>
        <v>93857.14286</v>
      </c>
      <c r="I144" s="1"/>
      <c r="J144" s="1"/>
    </row>
    <row r="145">
      <c r="A145" s="1"/>
      <c r="B145" s="1"/>
      <c r="C145" s="16"/>
      <c r="D145" s="16"/>
      <c r="E145" s="121" t="s">
        <v>65</v>
      </c>
      <c r="F145" s="16"/>
      <c r="G145" s="19"/>
      <c r="H145" s="149">
        <f>SUM(H158,H160,H162,H164)</f>
        <v>3285000</v>
      </c>
      <c r="I145" s="1"/>
      <c r="J145" s="1"/>
    </row>
    <row r="146" outlineLevel="1">
      <c r="A146" s="1"/>
      <c r="B146" s="1"/>
      <c r="C146" s="16"/>
      <c r="D146" s="16"/>
      <c r="E146" s="16"/>
      <c r="F146" s="121" t="s">
        <v>66</v>
      </c>
      <c r="G146" s="151"/>
      <c r="H146" s="152">
        <v>0.6</v>
      </c>
      <c r="I146" s="1"/>
      <c r="J146" s="1"/>
    </row>
    <row r="147" outlineLevel="1">
      <c r="A147" s="1"/>
      <c r="B147" s="1"/>
      <c r="C147" s="16"/>
      <c r="D147" s="16"/>
      <c r="E147" s="16"/>
      <c r="F147" s="121" t="s">
        <v>67</v>
      </c>
      <c r="G147" s="151"/>
      <c r="H147" s="152">
        <v>0.1</v>
      </c>
      <c r="I147" s="1"/>
      <c r="J147" s="1"/>
    </row>
    <row r="148" outlineLevel="1">
      <c r="A148" s="1"/>
      <c r="B148" s="1"/>
      <c r="C148" s="16"/>
      <c r="D148" s="16"/>
      <c r="E148" s="16"/>
      <c r="F148" s="121" t="s">
        <v>68</v>
      </c>
      <c r="G148" s="151"/>
      <c r="H148" s="154">
        <v>0.0</v>
      </c>
      <c r="I148" s="1"/>
      <c r="J148" s="1"/>
    </row>
    <row r="149" outlineLevel="1">
      <c r="A149" s="1"/>
      <c r="B149" s="1"/>
      <c r="C149" s="16"/>
      <c r="D149" s="16"/>
      <c r="E149" s="16"/>
      <c r="F149" s="121" t="s">
        <v>69</v>
      </c>
      <c r="G149" s="151"/>
      <c r="H149" s="154">
        <v>0.2</v>
      </c>
      <c r="I149" s="1"/>
      <c r="J149" s="1"/>
    </row>
    <row r="150" outlineLevel="1">
      <c r="A150" s="1"/>
      <c r="B150" s="1"/>
      <c r="C150" s="16"/>
      <c r="D150" s="16"/>
      <c r="E150" s="16"/>
      <c r="F150" s="121" t="s">
        <v>70</v>
      </c>
      <c r="G150" s="151"/>
      <c r="H150" s="152">
        <v>0.1</v>
      </c>
      <c r="I150" s="1"/>
      <c r="J150" s="1"/>
    </row>
    <row r="151" outlineLevel="1">
      <c r="A151" s="1"/>
      <c r="B151" s="1"/>
      <c r="C151" s="16"/>
      <c r="D151" s="16"/>
      <c r="E151" s="16"/>
      <c r="F151" s="121" t="s">
        <v>71</v>
      </c>
      <c r="G151" s="19"/>
      <c r="H151" s="158">
        <v>120000.0</v>
      </c>
      <c r="I151" s="1"/>
      <c r="J151" s="1"/>
    </row>
    <row r="152" outlineLevel="1">
      <c r="A152" s="1"/>
      <c r="B152" s="1"/>
      <c r="C152" s="16"/>
      <c r="D152" s="16"/>
      <c r="E152" s="16"/>
      <c r="F152" s="121" t="s">
        <v>72</v>
      </c>
      <c r="G152" s="19"/>
      <c r="H152" s="156">
        <v>18000.0</v>
      </c>
      <c r="I152" s="1"/>
      <c r="J152" s="1"/>
    </row>
    <row r="153" outlineLevel="1">
      <c r="A153" s="1"/>
      <c r="B153" s="1"/>
      <c r="C153" s="16"/>
      <c r="D153" s="16"/>
      <c r="E153" s="16"/>
      <c r="F153" s="121" t="s">
        <v>73</v>
      </c>
      <c r="G153" s="19"/>
      <c r="H153" s="158">
        <v>0.0</v>
      </c>
      <c r="I153" s="1"/>
      <c r="J153" s="1"/>
    </row>
    <row r="154" outlineLevel="1">
      <c r="A154" s="1"/>
      <c r="B154" s="1"/>
      <c r="C154" s="16"/>
      <c r="D154" s="16"/>
      <c r="E154" s="16"/>
      <c r="F154" s="121" t="s">
        <v>74</v>
      </c>
      <c r="G154" s="19"/>
      <c r="H154" s="156">
        <f>11000*9</f>
        <v>99000</v>
      </c>
      <c r="I154" s="1"/>
      <c r="J154" s="1"/>
    </row>
    <row r="155" outlineLevel="1">
      <c r="A155" s="1"/>
      <c r="B155" s="1"/>
      <c r="C155" s="16"/>
      <c r="D155" s="16"/>
      <c r="E155" s="16"/>
      <c r="F155" s="121" t="s">
        <v>75</v>
      </c>
      <c r="G155" s="19"/>
      <c r="H155" s="156">
        <v>0.0</v>
      </c>
      <c r="I155" s="1"/>
      <c r="J155" s="1"/>
    </row>
    <row r="156" outlineLevel="1">
      <c r="A156" s="1"/>
      <c r="B156" s="1"/>
      <c r="C156" s="16"/>
      <c r="D156" s="16"/>
      <c r="E156" s="16"/>
      <c r="F156" s="160" t="s">
        <v>76</v>
      </c>
      <c r="G156" s="15"/>
      <c r="H156" s="161">
        <f>IFERROR(__xludf.DUMMYFUNCTION("MATCH(
  MIN(FILTER(H151:H155,H151:H155&gt;0)),
  H151:H155,
  0
)
"),2.0)</f>
        <v>2</v>
      </c>
      <c r="I156" s="1"/>
      <c r="J156" s="1"/>
    </row>
    <row r="157" outlineLevel="1">
      <c r="A157" s="1"/>
      <c r="B157" s="1"/>
      <c r="C157" s="16"/>
      <c r="D157" s="16"/>
      <c r="E157" s="16"/>
      <c r="F157" s="121" t="s">
        <v>77</v>
      </c>
      <c r="G157" s="146"/>
      <c r="H157" s="147">
        <f>ROUNDDOWN(H143*H146,0)
 + IF(H156=1,
      H143 - SUM(
        ROUNDDOWN(H143*H146,0),
        ROUNDDOWN(H143*H147,0),
        ROUNDDOWN(H143*H148,0),
        ROUNDDOWN(H143*H149,0),
        ROUNDDOWN(H143*H150,0),
      ),
      0
   )
</f>
        <v>21</v>
      </c>
      <c r="I157" s="1"/>
      <c r="J157" s="1"/>
    </row>
    <row r="158" outlineLevel="1">
      <c r="A158" s="1"/>
      <c r="B158" s="1"/>
      <c r="C158" s="16"/>
      <c r="D158" s="16"/>
      <c r="E158" s="16"/>
      <c r="F158" s="121" t="s">
        <v>78</v>
      </c>
      <c r="G158" s="19"/>
      <c r="H158" s="149">
        <f>(H157*H151)</f>
        <v>2520000</v>
      </c>
      <c r="I158" s="1"/>
      <c r="J158" s="1"/>
    </row>
    <row r="159" outlineLevel="1">
      <c r="A159" s="1"/>
      <c r="B159" s="1"/>
      <c r="C159" s="16"/>
      <c r="D159" s="16"/>
      <c r="E159" s="16"/>
      <c r="F159" s="121" t="s">
        <v>79</v>
      </c>
      <c r="G159" s="146"/>
      <c r="H159" s="147">
        <f>ROUNDDOWN(H143*H147,0)
 + IF(H156=2,
      H143 - SUM(
        ROUNDDOWN(H143*H146,0),
        ROUNDDOWN(H143*H147,0),
        ROUNDDOWN(H143*H148,0),
        ROUNDDOWN(H143*H149,0),
        ROUNDDOWN(H143*H150,0),
      ),
      0
   )
</f>
        <v>4</v>
      </c>
      <c r="I159" s="1"/>
      <c r="J159" s="1"/>
    </row>
    <row r="160" outlineLevel="1">
      <c r="A160" s="1"/>
      <c r="B160" s="1"/>
      <c r="C160" s="16"/>
      <c r="D160" s="16"/>
      <c r="E160" s="16"/>
      <c r="F160" s="121" t="s">
        <v>80</v>
      </c>
      <c r="G160" s="19"/>
      <c r="H160" s="149">
        <f>(H152*H159)</f>
        <v>72000</v>
      </c>
      <c r="I160" s="1"/>
      <c r="J160" s="1"/>
    </row>
    <row r="161" outlineLevel="1">
      <c r="A161" s="1"/>
      <c r="B161" s="1"/>
      <c r="C161" s="16"/>
      <c r="D161" s="16"/>
      <c r="E161" s="16"/>
      <c r="F161" s="121" t="s">
        <v>81</v>
      </c>
      <c r="G161" s="146"/>
      <c r="H161" s="147">
        <f>ROUNDDOWN(H143*H148,0)
 + IF(H156=3,
      H143 - SUM(
        ROUNDDOWN(H143*H146,0),
        ROUNDDOWN(H143*H147,0),
        ROUNDDOWN(H143*H148,0),
        ROUNDDOWN(H143*H149,0)
      ),
      0
   )
</f>
        <v>0</v>
      </c>
      <c r="I161" s="1"/>
      <c r="J161" s="1"/>
    </row>
    <row r="162" outlineLevel="1">
      <c r="A162" s="1"/>
      <c r="B162" s="1"/>
      <c r="C162" s="16"/>
      <c r="D162" s="16"/>
      <c r="E162" s="16"/>
      <c r="F162" s="121" t="s">
        <v>82</v>
      </c>
      <c r="G162" s="19"/>
      <c r="H162" s="149">
        <f>(H153*H161)</f>
        <v>0</v>
      </c>
      <c r="I162" s="1"/>
      <c r="J162" s="1"/>
    </row>
    <row r="163" outlineLevel="1">
      <c r="A163" s="1"/>
      <c r="B163" s="1"/>
      <c r="C163" s="16"/>
      <c r="D163" s="16"/>
      <c r="E163" s="16"/>
      <c r="F163" s="121" t="s">
        <v>83</v>
      </c>
      <c r="G163" s="146"/>
      <c r="H163" s="147">
        <f>ROUNDDOWN(H143*H149,0)
 + IF(H156=4,
      H143 - SUM(
        ROUNDDOWN(H143*H146,0),
        ROUNDDOWN(H143*H147,0),
        ROUNDDOWN(H143*H148,0),
        ROUNDDOWN(H143*H149,0),ROUNDDOWN(H143*H150,0),
      ),
      0
   )
</f>
        <v>7</v>
      </c>
      <c r="I163" s="1"/>
      <c r="J163" s="1"/>
    </row>
    <row r="164" outlineLevel="1">
      <c r="A164" s="1"/>
      <c r="B164" s="1"/>
      <c r="C164" s="16"/>
      <c r="D164" s="16"/>
      <c r="E164" s="16"/>
      <c r="F164" s="121" t="s">
        <v>84</v>
      </c>
      <c r="G164" s="19"/>
      <c r="H164" s="149">
        <f>(H154*H163)</f>
        <v>693000</v>
      </c>
      <c r="I164" s="1"/>
      <c r="J164" s="1"/>
    </row>
    <row r="165" outlineLevel="1">
      <c r="A165" s="1"/>
      <c r="B165" s="1"/>
      <c r="C165" s="16"/>
      <c r="D165" s="16"/>
      <c r="E165" s="16"/>
      <c r="F165" s="121" t="s">
        <v>85</v>
      </c>
      <c r="G165" s="146"/>
      <c r="H165" s="147">
        <f>ROUNDDOWN(H143*H150,0)
 + IF(H156=5,
      H143 - SUM(
        ROUNDDOWN(H143*H146,0),
        ROUNDDOWN(H143*H147,0),
        ROUNDDOWN(H143*H148,0),
        ROUNDDOWN(H143*H149,0),
        ROUNDDOWN(H143*H150,0),
      ),
      0
   )
</f>
        <v>3</v>
      </c>
      <c r="I165" s="1"/>
      <c r="J165" s="1"/>
    </row>
    <row r="166" outlineLevel="1">
      <c r="A166" s="1"/>
      <c r="B166" s="1"/>
      <c r="C166" s="16"/>
      <c r="D166" s="16"/>
      <c r="E166" s="16"/>
      <c r="F166" s="121" t="s">
        <v>86</v>
      </c>
      <c r="G166" s="19"/>
      <c r="H166" s="149">
        <f>(H155*H165)</f>
        <v>0</v>
      </c>
      <c r="I166" s="1"/>
      <c r="J166" s="1"/>
    </row>
    <row r="167" outlineLevel="1">
      <c r="A167" s="1"/>
      <c r="B167" s="1"/>
      <c r="C167" s="16"/>
      <c r="D167" s="16"/>
      <c r="E167" s="16"/>
      <c r="F167" s="15"/>
      <c r="G167" s="19"/>
      <c r="H167" s="19"/>
      <c r="I167" s="1"/>
      <c r="J167" s="1"/>
    </row>
    <row r="168">
      <c r="A168" s="1"/>
      <c r="B168" s="1"/>
      <c r="C168" s="16"/>
      <c r="D168" s="16"/>
      <c r="E168" s="16"/>
      <c r="F168" s="16"/>
      <c r="G168" s="141"/>
      <c r="H168" s="141"/>
      <c r="I168" s="1"/>
      <c r="J168" s="1"/>
    </row>
    <row r="169">
      <c r="A169" s="1"/>
      <c r="B169" s="1"/>
      <c r="C169" s="16"/>
      <c r="D169" s="144" t="s">
        <v>48</v>
      </c>
      <c r="E169" s="16"/>
      <c r="F169" s="16"/>
      <c r="G169" s="141"/>
      <c r="H169" s="141"/>
      <c r="I169" s="1"/>
      <c r="J169" s="1"/>
    </row>
    <row r="170">
      <c r="A170" s="1"/>
      <c r="B170" s="1"/>
      <c r="C170" s="121" t="s">
        <v>59</v>
      </c>
      <c r="D170" s="16"/>
      <c r="E170" s="121" t="s">
        <v>55</v>
      </c>
      <c r="F170" s="16"/>
      <c r="G170" s="146"/>
      <c r="H170" s="147">
        <f>H82</f>
        <v>547.5</v>
      </c>
      <c r="I170" s="1"/>
      <c r="J170" s="1"/>
    </row>
    <row r="171">
      <c r="A171" s="1"/>
      <c r="B171" s="1"/>
      <c r="C171" s="121" t="s">
        <v>60</v>
      </c>
      <c r="D171" s="16"/>
      <c r="E171" s="121" t="s">
        <v>61</v>
      </c>
      <c r="F171" s="16"/>
      <c r="G171" s="141"/>
      <c r="H171" s="145">
        <v>0.3</v>
      </c>
      <c r="I171" s="1"/>
      <c r="J171" s="1"/>
    </row>
    <row r="172">
      <c r="A172" s="1"/>
      <c r="B172" s="1"/>
      <c r="C172" s="15"/>
      <c r="D172" s="16"/>
      <c r="E172" s="121" t="s">
        <v>62</v>
      </c>
      <c r="F172" s="16"/>
      <c r="G172" s="141"/>
      <c r="H172" s="142">
        <f>H173/H21</f>
        <v>0.09635722679</v>
      </c>
      <c r="I172" s="1"/>
      <c r="J172" s="1"/>
    </row>
    <row r="173">
      <c r="A173" s="1"/>
      <c r="B173" s="1"/>
      <c r="C173" s="16"/>
      <c r="D173" s="16"/>
      <c r="E173" s="121" t="s">
        <v>63</v>
      </c>
      <c r="F173" s="16"/>
      <c r="G173" s="165"/>
      <c r="H173" s="147">
        <f>ROUND(H170*H171,0)</f>
        <v>164</v>
      </c>
      <c r="I173" s="1"/>
      <c r="J173" s="1"/>
    </row>
    <row r="174">
      <c r="A174" s="1"/>
      <c r="B174" s="1"/>
      <c r="C174" s="16"/>
      <c r="D174" s="16"/>
      <c r="E174" s="121" t="s">
        <v>64</v>
      </c>
      <c r="F174" s="16"/>
      <c r="G174" s="19"/>
      <c r="H174" s="149">
        <f>H175/H173</f>
        <v>75951.21951</v>
      </c>
      <c r="I174" s="1"/>
      <c r="J174" s="1"/>
    </row>
    <row r="175">
      <c r="A175" s="1"/>
      <c r="B175" s="1"/>
      <c r="C175" s="16"/>
      <c r="D175" s="16"/>
      <c r="E175" s="121" t="s">
        <v>65</v>
      </c>
      <c r="F175" s="16"/>
      <c r="G175" s="19"/>
      <c r="H175" s="149">
        <f>SUM(H188,H190,H192,H194)</f>
        <v>12456000</v>
      </c>
      <c r="I175" s="1"/>
      <c r="J175" s="1"/>
    </row>
    <row r="176" outlineLevel="1">
      <c r="A176" s="1"/>
      <c r="B176" s="1"/>
      <c r="C176" s="16"/>
      <c r="D176" s="16"/>
      <c r="E176" s="16"/>
      <c r="F176" s="121" t="s">
        <v>66</v>
      </c>
      <c r="G176" s="151"/>
      <c r="H176" s="152">
        <v>0.6</v>
      </c>
      <c r="I176" s="1"/>
      <c r="J176" s="1"/>
    </row>
    <row r="177" outlineLevel="1">
      <c r="A177" s="1"/>
      <c r="B177" s="1"/>
      <c r="C177" s="16"/>
      <c r="D177" s="16"/>
      <c r="E177" s="16"/>
      <c r="F177" s="121" t="s">
        <v>67</v>
      </c>
      <c r="G177" s="151"/>
      <c r="H177" s="152">
        <v>0.1</v>
      </c>
      <c r="I177" s="1"/>
      <c r="J177" s="1"/>
    </row>
    <row r="178" outlineLevel="1">
      <c r="A178" s="1"/>
      <c r="B178" s="1"/>
      <c r="C178" s="16"/>
      <c r="D178" s="16"/>
      <c r="E178" s="16"/>
      <c r="F178" s="121" t="s">
        <v>68</v>
      </c>
      <c r="G178" s="151"/>
      <c r="H178" s="154">
        <v>0.0</v>
      </c>
      <c r="I178" s="1"/>
      <c r="J178" s="1"/>
    </row>
    <row r="179" outlineLevel="1">
      <c r="A179" s="1"/>
      <c r="B179" s="1"/>
      <c r="C179" s="16"/>
      <c r="D179" s="16"/>
      <c r="E179" s="16"/>
      <c r="F179" s="121" t="s">
        <v>69</v>
      </c>
      <c r="G179" s="151"/>
      <c r="H179" s="154">
        <v>0.3</v>
      </c>
      <c r="I179" s="1"/>
      <c r="J179" s="1"/>
    </row>
    <row r="180" outlineLevel="1">
      <c r="A180" s="1"/>
      <c r="B180" s="1"/>
      <c r="C180" s="16"/>
      <c r="D180" s="16"/>
      <c r="E180" s="16"/>
      <c r="F180" s="121" t="s">
        <v>70</v>
      </c>
      <c r="G180" s="151"/>
      <c r="H180" s="152">
        <v>0.0</v>
      </c>
      <c r="I180" s="1"/>
      <c r="J180" s="1"/>
    </row>
    <row r="181" outlineLevel="1">
      <c r="A181" s="1"/>
      <c r="B181" s="1"/>
      <c r="C181" s="16"/>
      <c r="D181" s="16"/>
      <c r="E181" s="16"/>
      <c r="F181" s="121" t="s">
        <v>71</v>
      </c>
      <c r="G181" s="19"/>
      <c r="H181" s="158">
        <v>100000.0</v>
      </c>
      <c r="I181" s="1"/>
      <c r="J181" s="1"/>
    </row>
    <row r="182" outlineLevel="1">
      <c r="A182" s="1"/>
      <c r="B182" s="1"/>
      <c r="C182" s="16"/>
      <c r="D182" s="16"/>
      <c r="E182" s="16"/>
      <c r="F182" s="121" t="s">
        <v>72</v>
      </c>
      <c r="G182" s="19"/>
      <c r="H182" s="156">
        <v>15000.0</v>
      </c>
      <c r="I182" s="1"/>
      <c r="J182" s="1"/>
    </row>
    <row r="183" outlineLevel="1">
      <c r="A183" s="1"/>
      <c r="B183" s="1"/>
      <c r="C183" s="16"/>
      <c r="D183" s="16"/>
      <c r="E183" s="16"/>
      <c r="F183" s="121" t="s">
        <v>73</v>
      </c>
      <c r="G183" s="19"/>
      <c r="H183" s="158">
        <v>0.0</v>
      </c>
      <c r="I183" s="1"/>
      <c r="J183" s="1"/>
    </row>
    <row r="184" outlineLevel="1">
      <c r="A184" s="1"/>
      <c r="B184" s="1"/>
      <c r="C184" s="16"/>
      <c r="D184" s="16"/>
      <c r="E184" s="16"/>
      <c r="F184" s="121" t="s">
        <v>74</v>
      </c>
      <c r="G184" s="19"/>
      <c r="H184" s="156">
        <f>7000*7</f>
        <v>49000</v>
      </c>
      <c r="I184" s="1"/>
      <c r="J184" s="1"/>
    </row>
    <row r="185" outlineLevel="1">
      <c r="A185" s="1"/>
      <c r="B185" s="1"/>
      <c r="C185" s="16"/>
      <c r="D185" s="16"/>
      <c r="E185" s="16"/>
      <c r="F185" s="121" t="s">
        <v>75</v>
      </c>
      <c r="G185" s="19"/>
      <c r="H185" s="156">
        <v>0.0</v>
      </c>
      <c r="I185" s="1"/>
      <c r="J185" s="1"/>
    </row>
    <row r="186" outlineLevel="1">
      <c r="A186" s="1"/>
      <c r="B186" s="1"/>
      <c r="C186" s="16"/>
      <c r="D186" s="16"/>
      <c r="E186" s="16"/>
      <c r="F186" s="160" t="s">
        <v>76</v>
      </c>
      <c r="G186" s="15"/>
      <c r="H186" s="161">
        <f>IFERROR(__xludf.DUMMYFUNCTION("MATCH(
  MIN(FILTER(H181:H185,H181:H185&gt;0)),
  H181:H185,
  0
)
"),2.0)</f>
        <v>2</v>
      </c>
      <c r="I186" s="1"/>
      <c r="J186" s="1"/>
    </row>
    <row r="187" outlineLevel="1">
      <c r="A187" s="1"/>
      <c r="B187" s="1"/>
      <c r="C187" s="16"/>
      <c r="D187" s="16"/>
      <c r="E187" s="16"/>
      <c r="F187" s="121" t="s">
        <v>77</v>
      </c>
      <c r="G187" s="146"/>
      <c r="H187" s="147">
        <f>ROUNDDOWN(H173*H176,0)
 + IF(H186=1,
      H173 - SUM(
        ROUNDDOWN(H173*H176,0),
        ROUNDDOWN(H173*H177,0),
        ROUNDDOWN(H173*H178,0),
        ROUNDDOWN(H173*H179,0),
        ROUNDDOWN(H173*H180,0),
      ),
      0
   )
</f>
        <v>98</v>
      </c>
      <c r="I187" s="1"/>
      <c r="J187" s="1"/>
    </row>
    <row r="188" outlineLevel="1">
      <c r="A188" s="1"/>
      <c r="B188" s="1"/>
      <c r="C188" s="16"/>
      <c r="D188" s="16"/>
      <c r="E188" s="16"/>
      <c r="F188" s="121" t="s">
        <v>78</v>
      </c>
      <c r="G188" s="19"/>
      <c r="H188" s="149">
        <f>(H187*H181)</f>
        <v>9800000</v>
      </c>
      <c r="I188" s="1"/>
      <c r="J188" s="1"/>
    </row>
    <row r="189" outlineLevel="1">
      <c r="A189" s="1"/>
      <c r="B189" s="1"/>
      <c r="C189" s="16"/>
      <c r="D189" s="16"/>
      <c r="E189" s="16"/>
      <c r="F189" s="121" t="s">
        <v>79</v>
      </c>
      <c r="G189" s="146"/>
      <c r="H189" s="147">
        <f>ROUNDDOWN(H173*H177,0)
 + IF(H186=2,
      H173 - SUM(
        ROUNDDOWN(H173*H176,0),
        ROUNDDOWN(H173*H177,0),
        ROUNDDOWN(H173*H178,0),
        ROUNDDOWN(H173*H179,0),
        ROUNDDOWN(H173*H180,0),
      ),
      0
   )
</f>
        <v>17</v>
      </c>
      <c r="I189" s="1"/>
      <c r="J189" s="1"/>
    </row>
    <row r="190" outlineLevel="1">
      <c r="A190" s="1"/>
      <c r="B190" s="1"/>
      <c r="C190" s="16"/>
      <c r="D190" s="16"/>
      <c r="E190" s="16"/>
      <c r="F190" s="121" t="s">
        <v>80</v>
      </c>
      <c r="G190" s="19"/>
      <c r="H190" s="149">
        <f>(H182*H189)</f>
        <v>255000</v>
      </c>
      <c r="I190" s="1"/>
      <c r="J190" s="1"/>
    </row>
    <row r="191" outlineLevel="1">
      <c r="A191" s="1"/>
      <c r="B191" s="1"/>
      <c r="C191" s="16"/>
      <c r="D191" s="16"/>
      <c r="E191" s="16"/>
      <c r="F191" s="121" t="s">
        <v>81</v>
      </c>
      <c r="G191" s="146"/>
      <c r="H191" s="147">
        <f>ROUNDDOWN(H173*H178,0)
 + IF(H186=3,
      H173 - SUM(
        ROUNDDOWN(H173*H176,0),
        ROUNDDOWN(H173*H177,0),
        ROUNDDOWN(H173*H178,0),
        ROUNDDOWN(H173*H179,0)
      ),
      0
   )
</f>
        <v>0</v>
      </c>
      <c r="I191" s="1"/>
      <c r="J191" s="1"/>
    </row>
    <row r="192" outlineLevel="1">
      <c r="A192" s="1"/>
      <c r="B192" s="1"/>
      <c r="C192" s="16"/>
      <c r="D192" s="16"/>
      <c r="E192" s="16"/>
      <c r="F192" s="121" t="s">
        <v>82</v>
      </c>
      <c r="G192" s="19"/>
      <c r="H192" s="149">
        <f>(H183*H191)</f>
        <v>0</v>
      </c>
      <c r="I192" s="1"/>
      <c r="J192" s="1"/>
    </row>
    <row r="193" outlineLevel="1">
      <c r="A193" s="1"/>
      <c r="B193" s="1"/>
      <c r="C193" s="16"/>
      <c r="D193" s="16"/>
      <c r="E193" s="16"/>
      <c r="F193" s="121" t="s">
        <v>83</v>
      </c>
      <c r="G193" s="146"/>
      <c r="H193" s="147">
        <f>ROUNDDOWN(H173*H179,0)
 + IF(H186=4,
      H173 - SUM(
        ROUNDDOWN(H173*H176,0),
        ROUNDDOWN(H173*H177,0),
        ROUNDDOWN(H173*H178,0),
        ROUNDDOWN(H173*H179,0),ROUNDDOWN(H173*H180,0),
      ),
      0
   )
</f>
        <v>49</v>
      </c>
      <c r="I193" s="1"/>
      <c r="J193" s="1"/>
    </row>
    <row r="194" outlineLevel="1">
      <c r="A194" s="1"/>
      <c r="B194" s="1"/>
      <c r="C194" s="16"/>
      <c r="D194" s="16"/>
      <c r="E194" s="16"/>
      <c r="F194" s="121" t="s">
        <v>84</v>
      </c>
      <c r="G194" s="19"/>
      <c r="H194" s="149">
        <f>(H184*H193)</f>
        <v>2401000</v>
      </c>
      <c r="I194" s="1"/>
      <c r="J194" s="1"/>
    </row>
    <row r="195" outlineLevel="1">
      <c r="A195" s="1"/>
      <c r="B195" s="1"/>
      <c r="C195" s="16"/>
      <c r="D195" s="16"/>
      <c r="E195" s="16"/>
      <c r="F195" s="121" t="s">
        <v>85</v>
      </c>
      <c r="G195" s="146"/>
      <c r="H195" s="147">
        <f>ROUNDDOWN(H173*H180,0)
 + IF(H186=5,
      H173 - SUM(
        ROUNDDOWN(H173*H176,0),
        ROUNDDOWN(H173*H177,0),
        ROUNDDOWN(H173*H178,0),
        ROUNDDOWN(H173*H179,0),
        ROUNDDOWN(H173*H180,0),
      ),
      0
   )
</f>
        <v>0</v>
      </c>
      <c r="I195" s="1"/>
      <c r="J195" s="1"/>
    </row>
    <row r="196" outlineLevel="1">
      <c r="A196" s="1"/>
      <c r="B196" s="1"/>
      <c r="C196" s="16"/>
      <c r="D196" s="16"/>
      <c r="E196" s="16"/>
      <c r="F196" s="121" t="s">
        <v>86</v>
      </c>
      <c r="G196" s="19"/>
      <c r="H196" s="149">
        <f>(H185*H195)</f>
        <v>0</v>
      </c>
      <c r="I196" s="1"/>
      <c r="J196" s="1"/>
    </row>
    <row r="197" outlineLevel="1">
      <c r="A197" s="1"/>
      <c r="B197" s="1"/>
      <c r="C197" s="16"/>
      <c r="D197" s="16"/>
      <c r="E197" s="16"/>
      <c r="F197" s="15"/>
      <c r="G197" s="19"/>
      <c r="H197" s="19"/>
      <c r="I197" s="1"/>
      <c r="J197" s="1"/>
    </row>
    <row r="198">
      <c r="A198" s="1"/>
      <c r="B198" s="1"/>
      <c r="C198" s="16"/>
      <c r="D198" s="16"/>
      <c r="E198" s="16"/>
      <c r="F198" s="16"/>
      <c r="G198" s="141"/>
      <c r="H198" s="141"/>
      <c r="I198" s="1"/>
      <c r="J198" s="1"/>
    </row>
    <row r="199">
      <c r="A199" s="1"/>
      <c r="B199" s="1"/>
      <c r="C199" s="16"/>
      <c r="D199" s="144" t="s">
        <v>49</v>
      </c>
      <c r="E199" s="16"/>
      <c r="F199" s="16"/>
      <c r="G199" s="141"/>
      <c r="H199" s="141"/>
      <c r="I199" s="1"/>
      <c r="J199" s="1"/>
    </row>
    <row r="200">
      <c r="A200" s="1"/>
      <c r="B200" s="1"/>
      <c r="C200" s="121" t="s">
        <v>59</v>
      </c>
      <c r="D200" s="16"/>
      <c r="E200" s="121" t="s">
        <v>55</v>
      </c>
      <c r="F200" s="16"/>
      <c r="G200" s="146"/>
      <c r="H200" s="147">
        <f>H89</f>
        <v>1290</v>
      </c>
      <c r="I200" s="1"/>
      <c r="J200" s="1"/>
    </row>
    <row r="201">
      <c r="A201" s="1"/>
      <c r="B201" s="1"/>
      <c r="C201" s="121" t="s">
        <v>60</v>
      </c>
      <c r="D201" s="16"/>
      <c r="E201" s="121" t="s">
        <v>61</v>
      </c>
      <c r="F201" s="16"/>
      <c r="G201" s="151"/>
      <c r="H201" s="167">
        <v>0.3</v>
      </c>
      <c r="I201" s="1"/>
      <c r="J201" s="1"/>
    </row>
    <row r="202">
      <c r="A202" s="1"/>
      <c r="B202" s="1"/>
      <c r="C202" s="15"/>
      <c r="D202" s="16"/>
      <c r="E202" s="121" t="s">
        <v>62</v>
      </c>
      <c r="F202" s="16"/>
      <c r="G202" s="141"/>
      <c r="H202" s="142">
        <f>H203/H22</f>
        <v>0.09660509236</v>
      </c>
      <c r="I202" s="1"/>
      <c r="J202" s="1"/>
    </row>
    <row r="203">
      <c r="A203" s="1"/>
      <c r="B203" s="1"/>
      <c r="C203" s="16"/>
      <c r="D203" s="16"/>
      <c r="E203" s="121" t="s">
        <v>63</v>
      </c>
      <c r="F203" s="16"/>
      <c r="G203" s="146"/>
      <c r="H203" s="147">
        <f>ROUND(H200*H201,0)</f>
        <v>387</v>
      </c>
      <c r="I203" s="1"/>
      <c r="J203" s="1"/>
    </row>
    <row r="204">
      <c r="A204" s="1"/>
      <c r="B204" s="1"/>
      <c r="C204" s="16"/>
      <c r="D204" s="16"/>
      <c r="E204" s="121" t="s">
        <v>64</v>
      </c>
      <c r="F204" s="16"/>
      <c r="G204" s="19"/>
      <c r="H204" s="149">
        <f>H205/H203</f>
        <v>34255.81395</v>
      </c>
      <c r="I204" s="1"/>
      <c r="J204" s="1"/>
    </row>
    <row r="205">
      <c r="A205" s="1"/>
      <c r="B205" s="1"/>
      <c r="C205" s="16"/>
      <c r="D205" s="16"/>
      <c r="E205" s="121" t="s">
        <v>65</v>
      </c>
      <c r="F205" s="16"/>
      <c r="G205" s="19"/>
      <c r="H205" s="149">
        <f>SUM(H218,H220,H222,H224)</f>
        <v>13257000</v>
      </c>
      <c r="I205" s="1"/>
      <c r="J205" s="1"/>
    </row>
    <row r="206" outlineLevel="1">
      <c r="A206" s="1"/>
      <c r="B206" s="1"/>
      <c r="C206" s="16"/>
      <c r="D206" s="16"/>
      <c r="E206" s="16"/>
      <c r="F206" s="121" t="s">
        <v>66</v>
      </c>
      <c r="G206" s="151"/>
      <c r="H206" s="152">
        <v>0.8</v>
      </c>
      <c r="I206" s="1"/>
      <c r="J206" s="1"/>
    </row>
    <row r="207" outlineLevel="1">
      <c r="A207" s="1"/>
      <c r="B207" s="1"/>
      <c r="C207" s="16"/>
      <c r="D207" s="16"/>
      <c r="E207" s="16"/>
      <c r="F207" s="121" t="s">
        <v>67</v>
      </c>
      <c r="G207" s="151"/>
      <c r="H207" s="152">
        <v>0.2</v>
      </c>
      <c r="I207" s="1"/>
      <c r="J207" s="1"/>
    </row>
    <row r="208" outlineLevel="1">
      <c r="A208" s="1"/>
      <c r="B208" s="1"/>
      <c r="C208" s="16"/>
      <c r="D208" s="16"/>
      <c r="E208" s="16"/>
      <c r="F208" s="121" t="s">
        <v>68</v>
      </c>
      <c r="G208" s="151"/>
      <c r="H208" s="152">
        <v>0.0</v>
      </c>
      <c r="I208" s="1"/>
      <c r="J208" s="1"/>
    </row>
    <row r="209" outlineLevel="1">
      <c r="A209" s="1"/>
      <c r="B209" s="1"/>
      <c r="C209" s="16"/>
      <c r="D209" s="16"/>
      <c r="E209" s="16"/>
      <c r="F209" s="121" t="s">
        <v>69</v>
      </c>
      <c r="G209" s="151"/>
      <c r="H209" s="152">
        <v>0.0</v>
      </c>
      <c r="I209" s="1"/>
      <c r="J209" s="1"/>
    </row>
    <row r="210" outlineLevel="1">
      <c r="A210" s="1"/>
      <c r="B210" s="1"/>
      <c r="C210" s="16"/>
      <c r="D210" s="16"/>
      <c r="E210" s="16"/>
      <c r="F210" s="121" t="s">
        <v>70</v>
      </c>
      <c r="G210" s="151"/>
      <c r="H210" s="152">
        <v>0.0</v>
      </c>
      <c r="I210" s="1"/>
      <c r="J210" s="1"/>
    </row>
    <row r="211" outlineLevel="1">
      <c r="A211" s="1"/>
      <c r="B211" s="1"/>
      <c r="C211" s="16"/>
      <c r="D211" s="16"/>
      <c r="E211" s="16"/>
      <c r="F211" s="121" t="s">
        <v>71</v>
      </c>
      <c r="G211" s="19"/>
      <c r="H211" s="158">
        <v>40000.0</v>
      </c>
      <c r="I211" s="1"/>
      <c r="J211" s="1"/>
    </row>
    <row r="212" outlineLevel="1">
      <c r="A212" s="1"/>
      <c r="B212" s="1"/>
      <c r="C212" s="16"/>
      <c r="D212" s="16"/>
      <c r="E212" s="16"/>
      <c r="F212" s="121" t="s">
        <v>72</v>
      </c>
      <c r="G212" s="19"/>
      <c r="H212" s="156">
        <v>11500.0</v>
      </c>
      <c r="I212" s="1"/>
      <c r="J212" s="1"/>
    </row>
    <row r="213" outlineLevel="1">
      <c r="A213" s="1"/>
      <c r="B213" s="1"/>
      <c r="C213" s="16"/>
      <c r="D213" s="16"/>
      <c r="E213" s="16"/>
      <c r="F213" s="121" t="s">
        <v>73</v>
      </c>
      <c r="G213" s="19"/>
      <c r="H213" s="156">
        <v>0.0</v>
      </c>
      <c r="I213" s="1"/>
      <c r="J213" s="1"/>
    </row>
    <row r="214" outlineLevel="1">
      <c r="A214" s="1"/>
      <c r="B214" s="1"/>
      <c r="C214" s="16"/>
      <c r="D214" s="16"/>
      <c r="E214" s="16"/>
      <c r="F214" s="121" t="s">
        <v>74</v>
      </c>
      <c r="G214" s="19"/>
      <c r="H214" s="156">
        <v>0.0</v>
      </c>
      <c r="I214" s="1"/>
      <c r="J214" s="1"/>
    </row>
    <row r="215" outlineLevel="1">
      <c r="A215" s="1"/>
      <c r="B215" s="1"/>
      <c r="C215" s="16"/>
      <c r="D215" s="16"/>
      <c r="E215" s="16"/>
      <c r="F215" s="121" t="s">
        <v>75</v>
      </c>
      <c r="G215" s="19"/>
      <c r="H215" s="156">
        <v>0.0</v>
      </c>
      <c r="I215" s="1"/>
      <c r="J215" s="1"/>
    </row>
    <row r="216" outlineLevel="1">
      <c r="A216" s="1"/>
      <c r="B216" s="1"/>
      <c r="C216" s="16"/>
      <c r="D216" s="16"/>
      <c r="E216" s="16"/>
      <c r="F216" s="160" t="s">
        <v>76</v>
      </c>
      <c r="G216" s="15"/>
      <c r="H216" s="161">
        <f>IFERROR(__xludf.DUMMYFUNCTION("MATCH(
  MIN(FILTER(H211:H215,H211:H215&gt;0)),
  H211:H215,
  0
)
"),2.0)</f>
        <v>2</v>
      </c>
      <c r="I216" s="1"/>
      <c r="J216" s="1"/>
    </row>
    <row r="217" outlineLevel="1">
      <c r="A217" s="1"/>
      <c r="B217" s="1"/>
      <c r="C217" s="16"/>
      <c r="D217" s="16"/>
      <c r="E217" s="16"/>
      <c r="F217" s="121" t="s">
        <v>77</v>
      </c>
      <c r="G217" s="146"/>
      <c r="H217" s="147">
        <f>ROUNDDOWN(H203*H206,0)
 + IF(H216=1,
      H203 - SUM(
        ROUNDDOWN(H203*H206,0),
        ROUNDDOWN(H203*H207,0),
        ROUNDDOWN(H203*H208,0),
        ROUNDDOWN(H203*H209,0),
        ROUNDDOWN(H203*H210,0),
      ),
      0
   )
</f>
        <v>309</v>
      </c>
      <c r="I217" s="1"/>
      <c r="J217" s="1"/>
    </row>
    <row r="218" outlineLevel="1">
      <c r="A218" s="1"/>
      <c r="B218" s="1"/>
      <c r="C218" s="16"/>
      <c r="D218" s="16"/>
      <c r="E218" s="16"/>
      <c r="F218" s="121" t="s">
        <v>78</v>
      </c>
      <c r="G218" s="19"/>
      <c r="H218" s="149">
        <f>(H217*H211)</f>
        <v>12360000</v>
      </c>
      <c r="I218" s="1"/>
      <c r="J218" s="1"/>
    </row>
    <row r="219" outlineLevel="1">
      <c r="A219" s="1"/>
      <c r="B219" s="1"/>
      <c r="C219" s="16"/>
      <c r="D219" s="16"/>
      <c r="E219" s="16"/>
      <c r="F219" s="121" t="s">
        <v>79</v>
      </c>
      <c r="G219" s="146"/>
      <c r="H219" s="147">
        <f>ROUNDDOWN(H203*H207,0)
 + IF(H216=2,
      H203 - SUM(
        ROUNDDOWN(H203*H206,0),
        ROUNDDOWN(H203*H207,0),
        ROUNDDOWN(H203*H208,0),
        ROUNDDOWN(H203*H209,0),
        ROUNDDOWN(H203*H210,0),
      ),
      0
   )
</f>
        <v>78</v>
      </c>
      <c r="I219" s="1"/>
      <c r="J219" s="1"/>
    </row>
    <row r="220" outlineLevel="1">
      <c r="A220" s="1"/>
      <c r="B220" s="1"/>
      <c r="C220" s="16"/>
      <c r="D220" s="16"/>
      <c r="E220" s="16"/>
      <c r="F220" s="121" t="s">
        <v>80</v>
      </c>
      <c r="G220" s="19"/>
      <c r="H220" s="149">
        <f>(H212*H219)</f>
        <v>897000</v>
      </c>
      <c r="I220" s="1"/>
      <c r="J220" s="1"/>
    </row>
    <row r="221" outlineLevel="1">
      <c r="A221" s="1"/>
      <c r="B221" s="1"/>
      <c r="C221" s="16"/>
      <c r="D221" s="16"/>
      <c r="E221" s="16"/>
      <c r="F221" s="121" t="s">
        <v>81</v>
      </c>
      <c r="G221" s="146"/>
      <c r="H221" s="147">
        <f>ROUNDDOWN(H203*H208,0)
 + IF(H216=3,
      H203 - SUM(
        ROUNDDOWN(H203*H206,0),
        ROUNDDOWN(H203*H207,0),
        ROUNDDOWN(H203*H208,0),
        ROUNDDOWN(H203*H209,0)
      ),
      0
   )
</f>
        <v>0</v>
      </c>
      <c r="I221" s="1"/>
      <c r="J221" s="1"/>
    </row>
    <row r="222" outlineLevel="1">
      <c r="A222" s="1"/>
      <c r="B222" s="1"/>
      <c r="C222" s="16"/>
      <c r="D222" s="16"/>
      <c r="E222" s="16"/>
      <c r="F222" s="121" t="s">
        <v>82</v>
      </c>
      <c r="G222" s="19"/>
      <c r="H222" s="149">
        <f>(H213*H221)</f>
        <v>0</v>
      </c>
      <c r="I222" s="1"/>
      <c r="J222" s="1"/>
    </row>
    <row r="223" outlineLevel="1">
      <c r="A223" s="1"/>
      <c r="B223" s="1"/>
      <c r="C223" s="16"/>
      <c r="D223" s="16"/>
      <c r="E223" s="16"/>
      <c r="F223" s="121" t="s">
        <v>83</v>
      </c>
      <c r="G223" s="146"/>
      <c r="H223" s="147">
        <f>ROUNDDOWN(H203*H209,0)
 + IF(H216=4,
      H203 - SUM(
        ROUNDDOWN(H203*H206,0),
        ROUNDDOWN(H203*H207,0),
        ROUNDDOWN(H203*H208,0),
        ROUNDDOWN(H203*H209,0),ROUNDDOWN(H203*H210,0),
      ),
      0
   )
</f>
        <v>0</v>
      </c>
      <c r="I223" s="1"/>
      <c r="J223" s="1"/>
    </row>
    <row r="224" outlineLevel="1">
      <c r="A224" s="1"/>
      <c r="B224" s="1"/>
      <c r="C224" s="16"/>
      <c r="D224" s="16"/>
      <c r="E224" s="16"/>
      <c r="F224" s="121" t="s">
        <v>84</v>
      </c>
      <c r="G224" s="19"/>
      <c r="H224" s="149">
        <f>(H214*H223)</f>
        <v>0</v>
      </c>
      <c r="I224" s="1"/>
      <c r="J224" s="1"/>
    </row>
    <row r="225" outlineLevel="1">
      <c r="A225" s="1"/>
      <c r="B225" s="1"/>
      <c r="C225" s="16"/>
      <c r="D225" s="16"/>
      <c r="E225" s="16"/>
      <c r="F225" s="121" t="s">
        <v>85</v>
      </c>
      <c r="G225" s="146"/>
      <c r="H225" s="147">
        <f>ROUNDDOWN(H203*H210,0)
 + IF(H216=5,
      H203 - SUM(
        ROUNDDOWN(H203*H206,0),
        ROUNDDOWN(H203*H207,0),
        ROUNDDOWN(H203*H208,0),
        ROUNDDOWN(H203*H209,0),
        ROUNDDOWN(H203*H210,0),
      ),
      0
   )
</f>
        <v>0</v>
      </c>
      <c r="I225" s="1"/>
      <c r="J225" s="1"/>
    </row>
    <row r="226" outlineLevel="1">
      <c r="A226" s="1"/>
      <c r="B226" s="1"/>
      <c r="C226" s="16"/>
      <c r="D226" s="16"/>
      <c r="E226" s="16"/>
      <c r="F226" s="121" t="s">
        <v>86</v>
      </c>
      <c r="G226" s="19"/>
      <c r="H226" s="149">
        <f>(H215*H225)</f>
        <v>0</v>
      </c>
      <c r="I226" s="1"/>
      <c r="J226" s="1"/>
    </row>
    <row r="227">
      <c r="A227" s="1"/>
      <c r="B227" s="1"/>
      <c r="C227" s="16"/>
      <c r="D227" s="16"/>
      <c r="E227" s="16"/>
      <c r="F227" s="16"/>
      <c r="G227" s="140"/>
      <c r="H227" s="140"/>
      <c r="I227" s="1"/>
      <c r="J227" s="1"/>
    </row>
    <row r="228">
      <c r="A228" s="1"/>
      <c r="B228" s="1"/>
      <c r="C228" s="16"/>
      <c r="D228" s="144" t="s">
        <v>50</v>
      </c>
      <c r="E228" s="16"/>
      <c r="F228" s="16"/>
      <c r="G228" s="141"/>
      <c r="H228" s="141"/>
      <c r="I228" s="1"/>
      <c r="J228" s="1"/>
    </row>
    <row r="229">
      <c r="A229" s="1"/>
      <c r="B229" s="1"/>
      <c r="C229" s="121" t="s">
        <v>59</v>
      </c>
      <c r="D229" s="16"/>
      <c r="E229" s="121" t="s">
        <v>55</v>
      </c>
      <c r="F229" s="16"/>
      <c r="G229" s="146"/>
      <c r="H229" s="147">
        <f>H96</f>
        <v>608.75</v>
      </c>
      <c r="I229" s="1"/>
      <c r="J229" s="1"/>
    </row>
    <row r="230">
      <c r="A230" s="1"/>
      <c r="B230" s="1"/>
      <c r="C230" s="121" t="s">
        <v>60</v>
      </c>
      <c r="D230" s="16"/>
      <c r="E230" s="121" t="s">
        <v>61</v>
      </c>
      <c r="F230" s="16"/>
      <c r="G230" s="141"/>
      <c r="H230" s="145">
        <v>0.3</v>
      </c>
      <c r="I230" s="1"/>
      <c r="J230" s="1"/>
    </row>
    <row r="231">
      <c r="A231" s="1"/>
      <c r="B231" s="1"/>
      <c r="C231" s="15"/>
      <c r="D231" s="16"/>
      <c r="E231" s="121" t="s">
        <v>62</v>
      </c>
      <c r="F231" s="16"/>
      <c r="G231" s="141"/>
      <c r="H231" s="142">
        <f>H232/H23</f>
        <v>0.09682539683</v>
      </c>
      <c r="I231" s="1"/>
      <c r="J231" s="1"/>
    </row>
    <row r="232">
      <c r="A232" s="1"/>
      <c r="B232" s="1"/>
      <c r="C232" s="16"/>
      <c r="D232" s="16"/>
      <c r="E232" s="121" t="s">
        <v>63</v>
      </c>
      <c r="F232" s="16"/>
      <c r="G232" s="146"/>
      <c r="H232" s="147">
        <f>ROUND(H229*H230,0)</f>
        <v>183</v>
      </c>
      <c r="I232" s="1"/>
      <c r="J232" s="1"/>
    </row>
    <row r="233">
      <c r="A233" s="1"/>
      <c r="B233" s="1"/>
      <c r="C233" s="16"/>
      <c r="D233" s="16"/>
      <c r="E233" s="121" t="s">
        <v>64</v>
      </c>
      <c r="F233" s="16"/>
      <c r="G233" s="19"/>
      <c r="H233" s="149">
        <f>H234/H232</f>
        <v>25450.81967</v>
      </c>
      <c r="I233" s="1"/>
      <c r="J233" s="1"/>
    </row>
    <row r="234">
      <c r="A234" s="1"/>
      <c r="B234" s="1"/>
      <c r="C234" s="16"/>
      <c r="D234" s="16"/>
      <c r="E234" s="121" t="s">
        <v>65</v>
      </c>
      <c r="F234" s="16"/>
      <c r="G234" s="19"/>
      <c r="H234" s="149">
        <f>SUM(H247,H249,H251,H253)</f>
        <v>4657500</v>
      </c>
      <c r="I234" s="1"/>
      <c r="J234" s="1"/>
    </row>
    <row r="235" outlineLevel="1">
      <c r="A235" s="1"/>
      <c r="B235" s="1"/>
      <c r="C235" s="16"/>
      <c r="D235" s="16"/>
      <c r="E235" s="16"/>
      <c r="F235" s="121" t="s">
        <v>66</v>
      </c>
      <c r="G235" s="151"/>
      <c r="H235" s="152">
        <v>0.8</v>
      </c>
      <c r="I235" s="1"/>
      <c r="J235" s="1"/>
    </row>
    <row r="236" outlineLevel="1">
      <c r="A236" s="1"/>
      <c r="B236" s="1"/>
      <c r="C236" s="16"/>
      <c r="D236" s="16"/>
      <c r="E236" s="16"/>
      <c r="F236" s="121" t="s">
        <v>67</v>
      </c>
      <c r="G236" s="151"/>
      <c r="H236" s="152">
        <v>0.2</v>
      </c>
      <c r="I236" s="1"/>
      <c r="J236" s="1"/>
    </row>
    <row r="237" outlineLevel="1">
      <c r="A237" s="1"/>
      <c r="B237" s="1"/>
      <c r="C237" s="16"/>
      <c r="D237" s="16"/>
      <c r="E237" s="16"/>
      <c r="F237" s="121" t="s">
        <v>68</v>
      </c>
      <c r="G237" s="151"/>
      <c r="H237" s="152">
        <v>0.0</v>
      </c>
      <c r="I237" s="1"/>
      <c r="J237" s="1"/>
    </row>
    <row r="238" outlineLevel="1">
      <c r="A238" s="1"/>
      <c r="B238" s="1"/>
      <c r="C238" s="16"/>
      <c r="D238" s="16"/>
      <c r="E238" s="16"/>
      <c r="F238" s="121" t="s">
        <v>69</v>
      </c>
      <c r="G238" s="151"/>
      <c r="H238" s="152">
        <v>0.0</v>
      </c>
      <c r="I238" s="1"/>
      <c r="J238" s="1"/>
    </row>
    <row r="239" outlineLevel="1">
      <c r="A239" s="1"/>
      <c r="B239" s="1"/>
      <c r="C239" s="16"/>
      <c r="D239" s="16"/>
      <c r="E239" s="16"/>
      <c r="F239" s="121" t="s">
        <v>70</v>
      </c>
      <c r="G239" s="151"/>
      <c r="H239" s="152">
        <v>0.0</v>
      </c>
      <c r="I239" s="1"/>
      <c r="J239" s="1"/>
    </row>
    <row r="240" outlineLevel="1">
      <c r="A240" s="1"/>
      <c r="B240" s="1"/>
      <c r="C240" s="16"/>
      <c r="D240" s="16"/>
      <c r="E240" s="16"/>
      <c r="F240" s="121" t="s">
        <v>71</v>
      </c>
      <c r="G240" s="19"/>
      <c r="H240" s="158">
        <v>30000.0</v>
      </c>
      <c r="I240" s="1"/>
      <c r="J240" s="1"/>
    </row>
    <row r="241" outlineLevel="1">
      <c r="A241" s="1"/>
      <c r="B241" s="1"/>
      <c r="C241" s="16"/>
      <c r="D241" s="16"/>
      <c r="E241" s="16"/>
      <c r="F241" s="121" t="s">
        <v>72</v>
      </c>
      <c r="G241" s="19"/>
      <c r="H241" s="156">
        <v>7500.0</v>
      </c>
      <c r="I241" s="1"/>
      <c r="J241" s="1"/>
    </row>
    <row r="242" outlineLevel="1">
      <c r="A242" s="1"/>
      <c r="B242" s="1"/>
      <c r="C242" s="16"/>
      <c r="D242" s="16"/>
      <c r="E242" s="16"/>
      <c r="F242" s="121" t="s">
        <v>73</v>
      </c>
      <c r="G242" s="19"/>
      <c r="H242" s="156">
        <v>0.0</v>
      </c>
      <c r="I242" s="1"/>
      <c r="J242" s="1"/>
    </row>
    <row r="243" outlineLevel="1">
      <c r="A243" s="1"/>
      <c r="B243" s="1"/>
      <c r="C243" s="16"/>
      <c r="D243" s="16"/>
      <c r="E243" s="16"/>
      <c r="F243" s="121" t="s">
        <v>74</v>
      </c>
      <c r="G243" s="19"/>
      <c r="H243" s="156">
        <v>0.0</v>
      </c>
      <c r="I243" s="1"/>
      <c r="J243" s="1"/>
    </row>
    <row r="244" outlineLevel="1">
      <c r="A244" s="1"/>
      <c r="B244" s="1"/>
      <c r="C244" s="16"/>
      <c r="D244" s="16"/>
      <c r="E244" s="16"/>
      <c r="F244" s="121" t="s">
        <v>75</v>
      </c>
      <c r="G244" s="19"/>
      <c r="H244" s="156">
        <v>0.0</v>
      </c>
      <c r="I244" s="1"/>
      <c r="J244" s="1"/>
    </row>
    <row r="245" outlineLevel="1">
      <c r="A245" s="1"/>
      <c r="B245" s="1"/>
      <c r="C245" s="16"/>
      <c r="D245" s="16"/>
      <c r="E245" s="16"/>
      <c r="F245" s="160" t="s">
        <v>76</v>
      </c>
      <c r="G245" s="15"/>
      <c r="H245" s="161">
        <f>IFERROR(__xludf.DUMMYFUNCTION("MATCH(
  MIN(FILTER(H240:H244,H240:H244&gt;0)),
  H240:H244,
  0
)
"),2.0)</f>
        <v>2</v>
      </c>
      <c r="I245" s="1"/>
      <c r="J245" s="1"/>
    </row>
    <row r="246" outlineLevel="1">
      <c r="A246" s="1"/>
      <c r="B246" s="1"/>
      <c r="C246" s="16"/>
      <c r="D246" s="16"/>
      <c r="E246" s="16"/>
      <c r="F246" s="121" t="s">
        <v>77</v>
      </c>
      <c r="G246" s="146"/>
      <c r="H246" s="147">
        <f>ROUNDDOWN(H232*H235,0)
 + IF(H245=1,
      H232 - SUM(
        ROUNDDOWN(H232*H235,0),
        ROUNDDOWN(H232*H236,0),
        ROUNDDOWN(H232*H237,0),
        ROUNDDOWN(H232*H238,0),
        ROUNDDOWN(H232*H239,0),
      ),
      0
   )
</f>
        <v>146</v>
      </c>
      <c r="I246" s="1"/>
      <c r="J246" s="1"/>
    </row>
    <row r="247" outlineLevel="1">
      <c r="A247" s="1"/>
      <c r="B247" s="1"/>
      <c r="C247" s="16"/>
      <c r="D247" s="16"/>
      <c r="E247" s="16"/>
      <c r="F247" s="121" t="s">
        <v>78</v>
      </c>
      <c r="G247" s="19"/>
      <c r="H247" s="149">
        <f>(H246*H240)</f>
        <v>4380000</v>
      </c>
      <c r="I247" s="1"/>
      <c r="J247" s="1"/>
    </row>
    <row r="248" outlineLevel="1">
      <c r="A248" s="1"/>
      <c r="B248" s="1"/>
      <c r="C248" s="16"/>
      <c r="D248" s="16"/>
      <c r="E248" s="16"/>
      <c r="F248" s="121" t="s">
        <v>79</v>
      </c>
      <c r="G248" s="146"/>
      <c r="H248" s="147">
        <f>ROUNDDOWN(H232*H236,0)
 + IF(H245=2,
      H232 - SUM(
        ROUNDDOWN(H232*H235,0),
        ROUNDDOWN(H232*H236,0),
        ROUNDDOWN(H232*H237,0),
        ROUNDDOWN(H232*H238,0),
        ROUNDDOWN(H232*H239,0),
      ),
      0
   )
</f>
        <v>37</v>
      </c>
      <c r="I248" s="1"/>
      <c r="J248" s="1"/>
    </row>
    <row r="249" outlineLevel="1">
      <c r="A249" s="1"/>
      <c r="B249" s="1"/>
      <c r="C249" s="16"/>
      <c r="D249" s="16"/>
      <c r="E249" s="16"/>
      <c r="F249" s="121" t="s">
        <v>80</v>
      </c>
      <c r="G249" s="19"/>
      <c r="H249" s="149">
        <f>(H241*H248)</f>
        <v>277500</v>
      </c>
      <c r="I249" s="1"/>
      <c r="J249" s="1"/>
    </row>
    <row r="250" outlineLevel="1">
      <c r="A250" s="1"/>
      <c r="B250" s="1"/>
      <c r="C250" s="16"/>
      <c r="D250" s="16"/>
      <c r="E250" s="16"/>
      <c r="F250" s="121" t="s">
        <v>81</v>
      </c>
      <c r="G250" s="146"/>
      <c r="H250" s="147">
        <f>ROUNDDOWN(H232*H237,0)
 + IF(H245=3,
      H232 - SUM(
        ROUNDDOWN(H232*H235,0),
        ROUNDDOWN(H232*H236,0),
        ROUNDDOWN(H232*H237,0),
        ROUNDDOWN(H232*H238,0)
      ),
      0
   )
</f>
        <v>0</v>
      </c>
      <c r="I250" s="1"/>
      <c r="J250" s="1"/>
    </row>
    <row r="251" outlineLevel="1">
      <c r="A251" s="1"/>
      <c r="B251" s="1"/>
      <c r="C251" s="16"/>
      <c r="D251" s="16"/>
      <c r="E251" s="16"/>
      <c r="F251" s="121" t="s">
        <v>82</v>
      </c>
      <c r="G251" s="19"/>
      <c r="H251" s="149">
        <f>(H242*H250)</f>
        <v>0</v>
      </c>
      <c r="I251" s="1"/>
      <c r="J251" s="1"/>
    </row>
    <row r="252" outlineLevel="1">
      <c r="A252" s="1"/>
      <c r="B252" s="1"/>
      <c r="C252" s="16"/>
      <c r="D252" s="16"/>
      <c r="E252" s="16"/>
      <c r="F252" s="121" t="s">
        <v>83</v>
      </c>
      <c r="G252" s="146"/>
      <c r="H252" s="147">
        <f>ROUNDDOWN(H232*H238,0)
 + IF(H245=4,
      H232 - SUM(
        ROUNDDOWN(H232*H235,0),
        ROUNDDOWN(H232*H236,0),
        ROUNDDOWN(H232*H237,0),
        ROUNDDOWN(H232*H238,0),ROUNDDOWN(H232*H239,0),
      ),
      0
   )
</f>
        <v>0</v>
      </c>
      <c r="I252" s="1"/>
      <c r="J252" s="1"/>
    </row>
    <row r="253" outlineLevel="1">
      <c r="A253" s="1"/>
      <c r="B253" s="1"/>
      <c r="C253" s="16"/>
      <c r="D253" s="16"/>
      <c r="E253" s="16"/>
      <c r="F253" s="121" t="s">
        <v>84</v>
      </c>
      <c r="G253" s="19"/>
      <c r="H253" s="149">
        <f>(H243*H252)</f>
        <v>0</v>
      </c>
      <c r="I253" s="1"/>
      <c r="J253" s="1"/>
    </row>
    <row r="254" outlineLevel="1">
      <c r="A254" s="1"/>
      <c r="B254" s="1"/>
      <c r="C254" s="16"/>
      <c r="D254" s="16"/>
      <c r="E254" s="16"/>
      <c r="F254" s="121" t="s">
        <v>85</v>
      </c>
      <c r="G254" s="146"/>
      <c r="H254" s="147">
        <f>ROUNDDOWN(H232*H239,0)
 + IF(H245=5,
      H232 - SUM(
        ROUNDDOWN(H232*H235,0),
        ROUNDDOWN(H232*H236,0),
        ROUNDDOWN(H232*H237,0),
        ROUNDDOWN(H232*H238,0),
        ROUNDDOWN(H232*H239,0),
      ),
      0
   )
</f>
        <v>0</v>
      </c>
      <c r="I254" s="1"/>
      <c r="J254" s="1"/>
    </row>
    <row r="255" outlineLevel="1">
      <c r="A255" s="1"/>
      <c r="B255" s="1"/>
      <c r="C255" s="16"/>
      <c r="D255" s="16"/>
      <c r="E255" s="16"/>
      <c r="F255" s="121" t="s">
        <v>86</v>
      </c>
      <c r="G255" s="19"/>
      <c r="H255" s="149">
        <f>(H244*H254)</f>
        <v>0</v>
      </c>
      <c r="I255" s="1"/>
      <c r="J255" s="1"/>
    </row>
    <row r="256">
      <c r="A256" s="1"/>
      <c r="B256" s="1"/>
      <c r="C256" s="1"/>
      <c r="D256" s="1"/>
      <c r="E256" s="1"/>
      <c r="F256" s="1"/>
      <c r="G256" s="163"/>
      <c r="H256" s="163"/>
      <c r="I256" s="1"/>
      <c r="J256" s="1"/>
    </row>
    <row r="257">
      <c r="A257" s="1"/>
      <c r="B257" s="1"/>
      <c r="C257" s="1"/>
      <c r="D257" s="1"/>
      <c r="E257" s="1"/>
      <c r="F257" s="1"/>
      <c r="G257" s="115"/>
      <c r="H257" s="115"/>
      <c r="I257" s="1"/>
      <c r="J257" s="1"/>
    </row>
    <row r="258">
      <c r="A258" s="1"/>
      <c r="B258" s="116" t="s">
        <v>5</v>
      </c>
      <c r="C258" s="117"/>
      <c r="D258" s="117"/>
      <c r="E258" s="117"/>
      <c r="F258" s="117"/>
      <c r="G258" s="118"/>
      <c r="H258" s="118"/>
      <c r="I258" s="1"/>
      <c r="J258" s="1"/>
    </row>
    <row r="259">
      <c r="A259" s="1"/>
      <c r="B259" s="1"/>
      <c r="C259" s="1" t="s">
        <v>87</v>
      </c>
      <c r="D259" s="127"/>
      <c r="E259" s="1" t="str">
        <f>E106</f>
        <v># WONs</v>
      </c>
      <c r="F259" s="1"/>
      <c r="G259" s="115"/>
      <c r="H259" s="115">
        <f>H106</f>
        <v>794</v>
      </c>
      <c r="I259" s="1"/>
      <c r="J259" s="1"/>
    </row>
    <row r="260">
      <c r="A260" s="1"/>
      <c r="B260" s="1"/>
      <c r="C260" s="1" t="s">
        <v>88</v>
      </c>
      <c r="D260" s="127"/>
      <c r="E260" s="13" t="s">
        <v>89</v>
      </c>
      <c r="F260" s="1"/>
      <c r="G260" s="168"/>
      <c r="H260" s="168">
        <f>H261/H259</f>
        <v>0.9269521411</v>
      </c>
      <c r="I260" s="1"/>
      <c r="J260" s="1"/>
    </row>
    <row r="261">
      <c r="A261" s="1"/>
      <c r="B261" s="1"/>
      <c r="C261" s="1"/>
      <c r="D261" s="127"/>
      <c r="E261" s="136" t="s">
        <v>90</v>
      </c>
      <c r="F261" s="1"/>
      <c r="G261" s="169"/>
      <c r="H261" s="169">
        <f>SUM(H270,H297,H324,H351,H378)</f>
        <v>736</v>
      </c>
      <c r="I261" s="1"/>
      <c r="J261" s="1"/>
    </row>
    <row r="262">
      <c r="A262" s="1"/>
      <c r="B262" s="1"/>
      <c r="C262" s="1"/>
      <c r="D262" s="127"/>
      <c r="E262" s="1"/>
      <c r="F262" s="1"/>
      <c r="G262" s="115"/>
      <c r="H262" s="115"/>
      <c r="I262" s="1"/>
      <c r="J262" s="1"/>
    </row>
    <row r="263">
      <c r="A263" s="1"/>
      <c r="B263" s="1"/>
      <c r="C263" s="1" t="s">
        <v>87</v>
      </c>
      <c r="D263" s="127"/>
      <c r="E263" s="1" t="str">
        <f>E108</f>
        <v># Revenue Won</v>
      </c>
      <c r="F263" s="1"/>
      <c r="G263" s="170"/>
      <c r="H263" s="170">
        <f>H108</f>
        <v>36725300</v>
      </c>
      <c r="I263" s="1"/>
      <c r="J263" s="1"/>
    </row>
    <row r="264">
      <c r="A264" s="1"/>
      <c r="B264" s="1"/>
      <c r="C264" s="1" t="s">
        <v>88</v>
      </c>
      <c r="D264" s="127"/>
      <c r="E264" s="1" t="s">
        <v>91</v>
      </c>
      <c r="F264" s="1"/>
      <c r="G264" s="168"/>
      <c r="H264" s="168">
        <f>H265/H263</f>
        <v>0.93</v>
      </c>
      <c r="I264" s="1"/>
      <c r="J264" s="1"/>
    </row>
    <row r="265">
      <c r="A265" s="1"/>
      <c r="B265" s="1"/>
      <c r="C265" s="1"/>
      <c r="D265" s="127"/>
      <c r="E265" s="136" t="s">
        <v>92</v>
      </c>
      <c r="F265" s="1"/>
      <c r="G265" s="150"/>
      <c r="H265" s="150">
        <f>SUM(H272,H299,H326,H353,H380)</f>
        <v>34154529</v>
      </c>
      <c r="I265" s="1"/>
      <c r="J265" s="1"/>
    </row>
    <row r="266">
      <c r="A266" s="1"/>
      <c r="B266" s="1"/>
      <c r="C266" s="1"/>
      <c r="D266" s="1"/>
      <c r="E266" s="1"/>
      <c r="F266" s="1"/>
      <c r="G266" s="115"/>
      <c r="H266" s="115"/>
      <c r="I266" s="1"/>
      <c r="J266" s="1"/>
    </row>
    <row r="267">
      <c r="A267" s="1"/>
      <c r="B267" s="1"/>
      <c r="C267" s="1"/>
      <c r="D267" s="136" t="s">
        <v>46</v>
      </c>
      <c r="E267" s="1"/>
      <c r="F267" s="1"/>
      <c r="G267" s="138"/>
      <c r="H267" s="138"/>
      <c r="I267" s="1"/>
      <c r="J267" s="1"/>
    </row>
    <row r="268">
      <c r="A268" s="1"/>
      <c r="B268" s="1"/>
      <c r="C268" s="1"/>
      <c r="D268" s="1"/>
      <c r="E268" s="13" t="str">
        <f>E114</f>
        <v># WONs</v>
      </c>
      <c r="F268" s="13"/>
      <c r="G268" s="13"/>
      <c r="H268" s="171">
        <f>H114</f>
        <v>25</v>
      </c>
      <c r="I268" s="1"/>
      <c r="J268" s="1"/>
    </row>
    <row r="269">
      <c r="A269" s="1"/>
      <c r="B269" s="1"/>
      <c r="C269" s="1"/>
      <c r="D269" s="1"/>
      <c r="E269" s="13" t="s">
        <v>93</v>
      </c>
      <c r="F269" s="1"/>
      <c r="G269" s="168"/>
      <c r="H269" s="168">
        <f>IFERROR(H270/H114,"-")</f>
        <v>0.88</v>
      </c>
      <c r="I269" s="1"/>
      <c r="J269" s="1"/>
    </row>
    <row r="270">
      <c r="A270" s="1"/>
      <c r="B270" s="1"/>
      <c r="C270" s="1"/>
      <c r="D270" s="1"/>
      <c r="E270" s="13" t="s">
        <v>94</v>
      </c>
      <c r="F270" s="1"/>
      <c r="G270" s="166"/>
      <c r="H270" s="166">
        <f>SUM(H283,H285,H287,H289)</f>
        <v>22</v>
      </c>
      <c r="I270" s="1"/>
      <c r="J270" s="1"/>
    </row>
    <row r="271">
      <c r="A271" s="1"/>
      <c r="B271" s="1"/>
      <c r="C271" s="1"/>
      <c r="D271" s="1"/>
      <c r="E271" s="13" t="s">
        <v>92</v>
      </c>
      <c r="F271" s="1"/>
      <c r="G271" s="168"/>
      <c r="H271" s="168">
        <f>IFERROR(H272/H116,"-")</f>
        <v>0.93</v>
      </c>
      <c r="I271" s="1"/>
      <c r="J271" s="1"/>
    </row>
    <row r="272" collapsed="1">
      <c r="A272" s="1"/>
      <c r="B272" s="1"/>
      <c r="C272" s="1"/>
      <c r="D272" s="1"/>
      <c r="E272" s="13" t="s">
        <v>95</v>
      </c>
      <c r="F272" s="1"/>
      <c r="G272" s="150"/>
      <c r="H272" s="150">
        <f>SUM(H284,H286,H288,H290)</f>
        <v>2854914</v>
      </c>
      <c r="I272" s="1"/>
      <c r="J272" s="1"/>
    </row>
    <row r="273" hidden="1" outlineLevel="1">
      <c r="A273" s="1"/>
      <c r="B273" s="1"/>
      <c r="C273" s="1"/>
      <c r="D273" s="1"/>
      <c r="E273" s="1"/>
      <c r="F273" s="13" t="s">
        <v>96</v>
      </c>
      <c r="G273" s="155"/>
      <c r="H273" s="155">
        <v>0.93</v>
      </c>
      <c r="I273" s="1"/>
      <c r="J273" s="1"/>
    </row>
    <row r="274" hidden="1" outlineLevel="1">
      <c r="A274" s="1"/>
      <c r="B274" s="1"/>
      <c r="C274" s="1"/>
      <c r="D274" s="1"/>
      <c r="E274" s="1"/>
      <c r="F274" s="13" t="s">
        <v>97</v>
      </c>
      <c r="G274" s="155"/>
      <c r="H274" s="155">
        <v>0.93</v>
      </c>
      <c r="I274" s="1"/>
      <c r="J274" s="1"/>
    </row>
    <row r="275" hidden="1" outlineLevel="1">
      <c r="A275" s="1"/>
      <c r="B275" s="1"/>
      <c r="C275" s="1"/>
      <c r="D275" s="1"/>
      <c r="E275" s="1"/>
      <c r="F275" s="13" t="s">
        <v>98</v>
      </c>
      <c r="G275" s="155"/>
      <c r="H275" s="155">
        <v>0.93</v>
      </c>
      <c r="I275" s="1"/>
      <c r="J275" s="1"/>
    </row>
    <row r="276" hidden="1" outlineLevel="1">
      <c r="A276" s="1"/>
      <c r="B276" s="1"/>
      <c r="C276" s="1"/>
      <c r="D276" s="1"/>
      <c r="E276" s="1"/>
      <c r="F276" s="13" t="s">
        <v>99</v>
      </c>
      <c r="G276" s="155"/>
      <c r="H276" s="155">
        <v>0.93</v>
      </c>
      <c r="I276" s="1"/>
      <c r="J276" s="1"/>
    </row>
    <row r="277" hidden="1" outlineLevel="1">
      <c r="A277" s="1"/>
      <c r="B277" s="1"/>
      <c r="C277" s="1"/>
      <c r="D277" s="1"/>
      <c r="E277" s="1"/>
      <c r="F277" s="13" t="s">
        <v>100</v>
      </c>
      <c r="G277" s="155"/>
      <c r="H277" s="155">
        <v>0.93</v>
      </c>
      <c r="I277" s="1"/>
      <c r="J277" s="1"/>
    </row>
    <row r="278" hidden="1" outlineLevel="1">
      <c r="A278" s="1"/>
      <c r="B278" s="1"/>
      <c r="C278" s="1"/>
      <c r="D278" s="1"/>
      <c r="E278" s="1"/>
      <c r="F278" s="13" t="s">
        <v>101</v>
      </c>
      <c r="G278" s="155"/>
      <c r="H278" s="155">
        <v>0.93</v>
      </c>
      <c r="I278" s="1"/>
      <c r="J278" s="1"/>
    </row>
    <row r="279" hidden="1" outlineLevel="1">
      <c r="A279" s="1"/>
      <c r="B279" s="1"/>
      <c r="C279" s="1"/>
      <c r="D279" s="1"/>
      <c r="E279" s="1"/>
      <c r="F279" s="13" t="s">
        <v>102</v>
      </c>
      <c r="G279" s="155"/>
      <c r="H279" s="155">
        <v>0.93</v>
      </c>
      <c r="I279" s="1"/>
      <c r="J279" s="1"/>
    </row>
    <row r="280" hidden="1" outlineLevel="1">
      <c r="A280" s="1"/>
      <c r="B280" s="1"/>
      <c r="C280" s="1"/>
      <c r="D280" s="1"/>
      <c r="E280" s="1"/>
      <c r="F280" s="13" t="s">
        <v>103</v>
      </c>
      <c r="G280" s="155"/>
      <c r="H280" s="155">
        <v>0.93</v>
      </c>
      <c r="I280" s="1"/>
      <c r="J280" s="1"/>
    </row>
    <row r="281" hidden="1" outlineLevel="1">
      <c r="A281" s="160"/>
      <c r="B281" s="160"/>
      <c r="C281" s="160"/>
      <c r="D281" s="160"/>
      <c r="E281" s="160"/>
      <c r="F281" s="172" t="s">
        <v>104</v>
      </c>
      <c r="G281" s="152"/>
      <c r="H281" s="152">
        <v>0.93</v>
      </c>
      <c r="I281" s="160"/>
      <c r="J281" s="160"/>
    </row>
    <row r="282" hidden="1" outlineLevel="1">
      <c r="A282" s="160"/>
      <c r="B282" s="160"/>
      <c r="C282" s="160"/>
      <c r="D282" s="160"/>
      <c r="E282" s="160"/>
      <c r="F282" s="172" t="s">
        <v>105</v>
      </c>
      <c r="G282" s="152"/>
      <c r="H282" s="152">
        <v>0.93</v>
      </c>
      <c r="I282" s="160"/>
      <c r="J282" s="160"/>
    </row>
    <row r="283" hidden="1" outlineLevel="1">
      <c r="A283" s="1"/>
      <c r="B283" s="1"/>
      <c r="C283" s="1"/>
      <c r="D283" s="1"/>
      <c r="E283" s="1"/>
      <c r="F283" s="13" t="s">
        <v>106</v>
      </c>
      <c r="G283" s="166"/>
      <c r="H283" s="166">
        <f t="shared" ref="H283:H292" si="2">ROUND(H128*H273,0)</f>
        <v>14</v>
      </c>
      <c r="I283" s="1"/>
      <c r="J283" s="1"/>
    </row>
    <row r="284" hidden="1" outlineLevel="1">
      <c r="A284" s="1"/>
      <c r="B284" s="1"/>
      <c r="C284" s="1"/>
      <c r="D284" s="1"/>
      <c r="E284" s="1"/>
      <c r="F284" s="13" t="s">
        <v>107</v>
      </c>
      <c r="G284" s="150"/>
      <c r="H284" s="150">
        <f t="shared" si="2"/>
        <v>2092500</v>
      </c>
      <c r="I284" s="1"/>
      <c r="J284" s="1"/>
    </row>
    <row r="285" hidden="1" outlineLevel="1">
      <c r="A285" s="1"/>
      <c r="B285" s="1"/>
      <c r="C285" s="1"/>
      <c r="D285" s="1"/>
      <c r="E285" s="1"/>
      <c r="F285" s="13" t="s">
        <v>108</v>
      </c>
      <c r="G285" s="166"/>
      <c r="H285" s="166">
        <f t="shared" si="2"/>
        <v>3</v>
      </c>
      <c r="I285" s="1"/>
      <c r="J285" s="1"/>
    </row>
    <row r="286" hidden="1" outlineLevel="1">
      <c r="A286" s="1"/>
      <c r="B286" s="1"/>
      <c r="C286" s="1"/>
      <c r="D286" s="1"/>
      <c r="E286" s="1"/>
      <c r="F286" s="13" t="s">
        <v>109</v>
      </c>
      <c r="G286" s="150"/>
      <c r="H286" s="150">
        <f t="shared" si="2"/>
        <v>88164</v>
      </c>
      <c r="I286" s="1"/>
      <c r="J286" s="1"/>
    </row>
    <row r="287" hidden="1" outlineLevel="1">
      <c r="A287" s="1"/>
      <c r="B287" s="1"/>
      <c r="C287" s="1"/>
      <c r="D287" s="1"/>
      <c r="E287" s="1"/>
      <c r="F287" s="13" t="s">
        <v>110</v>
      </c>
      <c r="G287" s="166"/>
      <c r="H287" s="166">
        <f t="shared" si="2"/>
        <v>0</v>
      </c>
      <c r="I287" s="1"/>
      <c r="J287" s="1"/>
    </row>
    <row r="288" hidden="1" outlineLevel="1">
      <c r="A288" s="1"/>
      <c r="B288" s="1"/>
      <c r="C288" s="1"/>
      <c r="D288" s="1"/>
      <c r="E288" s="1"/>
      <c r="F288" s="13" t="s">
        <v>111</v>
      </c>
      <c r="G288" s="150"/>
      <c r="H288" s="150">
        <f t="shared" si="2"/>
        <v>0</v>
      </c>
      <c r="I288" s="1"/>
      <c r="J288" s="1"/>
    </row>
    <row r="289" hidden="1" outlineLevel="1">
      <c r="A289" s="1"/>
      <c r="B289" s="1"/>
      <c r="C289" s="1"/>
      <c r="D289" s="1"/>
      <c r="E289" s="1"/>
      <c r="F289" s="13" t="s">
        <v>112</v>
      </c>
      <c r="G289" s="166"/>
      <c r="H289" s="166">
        <f t="shared" si="2"/>
        <v>5</v>
      </c>
      <c r="I289" s="1"/>
      <c r="J289" s="1"/>
    </row>
    <row r="290" hidden="1" outlineLevel="1">
      <c r="A290" s="1"/>
      <c r="B290" s="1"/>
      <c r="C290" s="1"/>
      <c r="D290" s="1"/>
      <c r="E290" s="1"/>
      <c r="F290" s="13" t="s">
        <v>113</v>
      </c>
      <c r="G290" s="150"/>
      <c r="H290" s="150">
        <f t="shared" si="2"/>
        <v>674250</v>
      </c>
      <c r="I290" s="1"/>
      <c r="J290" s="1"/>
    </row>
    <row r="291" hidden="1" outlineLevel="1">
      <c r="A291" s="1"/>
      <c r="B291" s="1"/>
      <c r="C291" s="1"/>
      <c r="D291" s="1"/>
      <c r="E291" s="1"/>
      <c r="F291" s="13" t="s">
        <v>114</v>
      </c>
      <c r="G291" s="166"/>
      <c r="H291" s="166">
        <f t="shared" si="2"/>
        <v>2</v>
      </c>
      <c r="I291" s="1"/>
      <c r="J291" s="1"/>
    </row>
    <row r="292" hidden="1" outlineLevel="1">
      <c r="A292" s="1"/>
      <c r="B292" s="1"/>
      <c r="C292" s="1"/>
      <c r="D292" s="1"/>
      <c r="E292" s="1"/>
      <c r="F292" s="13" t="s">
        <v>115</v>
      </c>
      <c r="G292" s="150"/>
      <c r="H292" s="150">
        <f t="shared" si="2"/>
        <v>0</v>
      </c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36" t="s">
        <v>47</v>
      </c>
      <c r="E294" s="1"/>
      <c r="F294" s="1"/>
      <c r="G294" s="138"/>
      <c r="H294" s="138"/>
      <c r="I294" s="1"/>
      <c r="J294" s="1"/>
    </row>
    <row r="295">
      <c r="A295" s="1"/>
      <c r="B295" s="1"/>
      <c r="C295" s="1"/>
      <c r="D295" s="1"/>
      <c r="E295" s="1" t="str">
        <f>E143</f>
        <v># WONs</v>
      </c>
      <c r="F295" s="1"/>
      <c r="G295" s="1"/>
      <c r="H295" s="163">
        <f>H143</f>
        <v>35</v>
      </c>
      <c r="I295" s="1"/>
      <c r="J295" s="1"/>
    </row>
    <row r="296">
      <c r="A296" s="1"/>
      <c r="B296" s="1"/>
      <c r="C296" s="1"/>
      <c r="D296" s="1"/>
      <c r="E296" s="13" t="s">
        <v>93</v>
      </c>
      <c r="F296" s="1"/>
      <c r="G296" s="168"/>
      <c r="H296" s="168">
        <f>H297/H143</f>
        <v>0.8857142857</v>
      </c>
      <c r="I296" s="1"/>
      <c r="J296" s="1"/>
    </row>
    <row r="297">
      <c r="A297" s="1"/>
      <c r="B297" s="1"/>
      <c r="C297" s="1"/>
      <c r="D297" s="1"/>
      <c r="E297" s="13" t="s">
        <v>94</v>
      </c>
      <c r="F297" s="1"/>
      <c r="G297" s="148"/>
      <c r="H297" s="148">
        <f>SUM(H310,H312,H314,H316)</f>
        <v>31</v>
      </c>
      <c r="I297" s="1"/>
      <c r="J297" s="1"/>
    </row>
    <row r="298">
      <c r="A298" s="1"/>
      <c r="B298" s="1"/>
      <c r="C298" s="1"/>
      <c r="D298" s="1"/>
      <c r="E298" s="13" t="s">
        <v>92</v>
      </c>
      <c r="F298" s="1"/>
      <c r="G298" s="168"/>
      <c r="H298" s="168">
        <f>H299/H145</f>
        <v>0.93</v>
      </c>
      <c r="I298" s="1"/>
      <c r="J298" s="1"/>
    </row>
    <row r="299" collapsed="1">
      <c r="A299" s="1"/>
      <c r="B299" s="1"/>
      <c r="C299" s="1"/>
      <c r="D299" s="1"/>
      <c r="E299" s="13" t="s">
        <v>95</v>
      </c>
      <c r="F299" s="1"/>
      <c r="G299" s="173"/>
      <c r="H299" s="173">
        <f>SUM(H311,H313,H315,H317)</f>
        <v>3055050</v>
      </c>
      <c r="I299" s="1"/>
      <c r="J299" s="1"/>
    </row>
    <row r="300" hidden="1" outlineLevel="1">
      <c r="A300" s="1"/>
      <c r="B300" s="1"/>
      <c r="C300" s="1"/>
      <c r="D300" s="1"/>
      <c r="E300" s="1"/>
      <c r="F300" s="13" t="s">
        <v>96</v>
      </c>
      <c r="G300" s="155"/>
      <c r="H300" s="155">
        <v>0.93</v>
      </c>
      <c r="I300" s="1"/>
      <c r="J300" s="1"/>
    </row>
    <row r="301" hidden="1" outlineLevel="1">
      <c r="A301" s="1"/>
      <c r="B301" s="1"/>
      <c r="C301" s="1"/>
      <c r="D301" s="1"/>
      <c r="E301" s="1"/>
      <c r="F301" s="13" t="s">
        <v>97</v>
      </c>
      <c r="G301" s="155"/>
      <c r="H301" s="155">
        <v>0.93</v>
      </c>
      <c r="I301" s="1"/>
      <c r="J301" s="1"/>
    </row>
    <row r="302" hidden="1" outlineLevel="1">
      <c r="A302" s="1"/>
      <c r="B302" s="1"/>
      <c r="C302" s="1"/>
      <c r="D302" s="1"/>
      <c r="E302" s="1"/>
      <c r="F302" s="13" t="s">
        <v>98</v>
      </c>
      <c r="G302" s="155"/>
      <c r="H302" s="155">
        <v>0.93</v>
      </c>
      <c r="I302" s="1"/>
      <c r="J302" s="1"/>
    </row>
    <row r="303" hidden="1" outlineLevel="1">
      <c r="A303" s="1"/>
      <c r="B303" s="1"/>
      <c r="C303" s="1"/>
      <c r="D303" s="1"/>
      <c r="E303" s="1"/>
      <c r="F303" s="13" t="s">
        <v>99</v>
      </c>
      <c r="G303" s="155"/>
      <c r="H303" s="155">
        <v>0.93</v>
      </c>
      <c r="I303" s="1"/>
      <c r="J303" s="1"/>
    </row>
    <row r="304" hidden="1" outlineLevel="1">
      <c r="A304" s="1"/>
      <c r="B304" s="1"/>
      <c r="C304" s="1"/>
      <c r="D304" s="1"/>
      <c r="E304" s="1"/>
      <c r="F304" s="13" t="s">
        <v>100</v>
      </c>
      <c r="G304" s="155"/>
      <c r="H304" s="155">
        <v>0.93</v>
      </c>
      <c r="I304" s="1"/>
      <c r="J304" s="1"/>
    </row>
    <row r="305" hidden="1" outlineLevel="1">
      <c r="A305" s="1"/>
      <c r="B305" s="1"/>
      <c r="C305" s="1"/>
      <c r="D305" s="1"/>
      <c r="E305" s="1"/>
      <c r="F305" s="13" t="s">
        <v>101</v>
      </c>
      <c r="G305" s="155"/>
      <c r="H305" s="155">
        <v>0.93</v>
      </c>
      <c r="I305" s="1"/>
      <c r="J305" s="1"/>
    </row>
    <row r="306" hidden="1" outlineLevel="1">
      <c r="A306" s="1"/>
      <c r="B306" s="1"/>
      <c r="C306" s="1"/>
      <c r="D306" s="1"/>
      <c r="E306" s="1"/>
      <c r="F306" s="13" t="s">
        <v>102</v>
      </c>
      <c r="G306" s="155"/>
      <c r="H306" s="155">
        <v>0.93</v>
      </c>
      <c r="I306" s="1"/>
      <c r="J306" s="1"/>
    </row>
    <row r="307" hidden="1" outlineLevel="1">
      <c r="A307" s="1"/>
      <c r="B307" s="1"/>
      <c r="C307" s="1"/>
      <c r="D307" s="1"/>
      <c r="E307" s="1"/>
      <c r="F307" s="13" t="s">
        <v>103</v>
      </c>
      <c r="G307" s="155"/>
      <c r="H307" s="155">
        <v>0.93</v>
      </c>
      <c r="I307" s="1"/>
      <c r="J307" s="1"/>
    </row>
    <row r="308" hidden="1" outlineLevel="1">
      <c r="A308" s="1"/>
      <c r="B308" s="1"/>
      <c r="C308" s="1"/>
      <c r="D308" s="1"/>
      <c r="E308" s="1"/>
      <c r="F308" s="13" t="s">
        <v>104</v>
      </c>
      <c r="G308" s="155"/>
      <c r="H308" s="155">
        <v>0.93</v>
      </c>
      <c r="I308" s="1"/>
      <c r="J308" s="1"/>
    </row>
    <row r="309" hidden="1" outlineLevel="1">
      <c r="A309" s="1"/>
      <c r="B309" s="1"/>
      <c r="C309" s="1"/>
      <c r="D309" s="1"/>
      <c r="E309" s="1"/>
      <c r="F309" s="13" t="s">
        <v>105</v>
      </c>
      <c r="G309" s="155"/>
      <c r="H309" s="155">
        <v>0.93</v>
      </c>
      <c r="I309" s="1"/>
      <c r="J309" s="1"/>
    </row>
    <row r="310" hidden="1" outlineLevel="1">
      <c r="A310" s="1"/>
      <c r="B310" s="1"/>
      <c r="C310" s="1"/>
      <c r="D310" s="1"/>
      <c r="E310" s="1"/>
      <c r="F310" s="13" t="s">
        <v>106</v>
      </c>
      <c r="G310" s="148"/>
      <c r="H310" s="148">
        <f t="shared" ref="H310:H319" si="3">ROUND(H157*H300,0)</f>
        <v>20</v>
      </c>
      <c r="I310" s="1"/>
      <c r="J310" s="1"/>
    </row>
    <row r="311" hidden="1" outlineLevel="1">
      <c r="A311" s="1"/>
      <c r="B311" s="1"/>
      <c r="C311" s="1"/>
      <c r="D311" s="1"/>
      <c r="E311" s="1"/>
      <c r="F311" s="13" t="s">
        <v>107</v>
      </c>
      <c r="G311" s="150"/>
      <c r="H311" s="150">
        <f t="shared" si="3"/>
        <v>2343600</v>
      </c>
      <c r="I311" s="1"/>
      <c r="J311" s="1"/>
    </row>
    <row r="312" hidden="1" outlineLevel="1">
      <c r="A312" s="1"/>
      <c r="B312" s="1"/>
      <c r="C312" s="1"/>
      <c r="D312" s="1"/>
      <c r="E312" s="1"/>
      <c r="F312" s="13" t="s">
        <v>108</v>
      </c>
      <c r="G312" s="148"/>
      <c r="H312" s="148">
        <f t="shared" si="3"/>
        <v>4</v>
      </c>
      <c r="I312" s="1"/>
      <c r="J312" s="1"/>
    </row>
    <row r="313" hidden="1" outlineLevel="1">
      <c r="A313" s="1"/>
      <c r="B313" s="1"/>
      <c r="C313" s="1"/>
      <c r="D313" s="1"/>
      <c r="E313" s="1"/>
      <c r="F313" s="13" t="s">
        <v>109</v>
      </c>
      <c r="G313" s="150"/>
      <c r="H313" s="150">
        <f t="shared" si="3"/>
        <v>66960</v>
      </c>
      <c r="I313" s="1"/>
      <c r="J313" s="1"/>
    </row>
    <row r="314" hidden="1" outlineLevel="1">
      <c r="A314" s="1"/>
      <c r="B314" s="1"/>
      <c r="C314" s="1"/>
      <c r="D314" s="1"/>
      <c r="E314" s="1"/>
      <c r="F314" s="13" t="s">
        <v>110</v>
      </c>
      <c r="G314" s="148"/>
      <c r="H314" s="148">
        <f t="shared" si="3"/>
        <v>0</v>
      </c>
      <c r="I314" s="1"/>
      <c r="J314" s="1"/>
    </row>
    <row r="315" hidden="1" outlineLevel="1">
      <c r="A315" s="1"/>
      <c r="B315" s="1"/>
      <c r="C315" s="1"/>
      <c r="D315" s="1"/>
      <c r="E315" s="1"/>
      <c r="F315" s="13" t="s">
        <v>111</v>
      </c>
      <c r="G315" s="150"/>
      <c r="H315" s="150">
        <f t="shared" si="3"/>
        <v>0</v>
      </c>
      <c r="I315" s="1"/>
      <c r="J315" s="1"/>
    </row>
    <row r="316" hidden="1" outlineLevel="1">
      <c r="A316" s="1"/>
      <c r="B316" s="1"/>
      <c r="C316" s="1"/>
      <c r="D316" s="1"/>
      <c r="E316" s="1"/>
      <c r="F316" s="13" t="s">
        <v>112</v>
      </c>
      <c r="G316" s="148"/>
      <c r="H316" s="148">
        <f t="shared" si="3"/>
        <v>7</v>
      </c>
      <c r="I316" s="1"/>
      <c r="J316" s="1"/>
    </row>
    <row r="317" hidden="1" outlineLevel="1">
      <c r="A317" s="1"/>
      <c r="B317" s="1"/>
      <c r="C317" s="1"/>
      <c r="D317" s="1"/>
      <c r="E317" s="1"/>
      <c r="F317" s="13" t="s">
        <v>113</v>
      </c>
      <c r="G317" s="150"/>
      <c r="H317" s="150">
        <f t="shared" si="3"/>
        <v>644490</v>
      </c>
      <c r="I317" s="1"/>
      <c r="J317" s="1"/>
    </row>
    <row r="318" hidden="1" outlineLevel="1">
      <c r="A318" s="1"/>
      <c r="B318" s="1"/>
      <c r="C318" s="1"/>
      <c r="D318" s="1"/>
      <c r="E318" s="1"/>
      <c r="F318" s="13" t="s">
        <v>114</v>
      </c>
      <c r="G318" s="166"/>
      <c r="H318" s="166">
        <f t="shared" si="3"/>
        <v>3</v>
      </c>
      <c r="I318" s="1"/>
      <c r="J318" s="1"/>
    </row>
    <row r="319" hidden="1" outlineLevel="1">
      <c r="A319" s="1"/>
      <c r="B319" s="1"/>
      <c r="C319" s="1"/>
      <c r="D319" s="1"/>
      <c r="E319" s="1"/>
      <c r="F319" s="13" t="s">
        <v>115</v>
      </c>
      <c r="G319" s="150"/>
      <c r="H319" s="150">
        <f t="shared" si="3"/>
        <v>0</v>
      </c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36" t="s">
        <v>48</v>
      </c>
      <c r="E321" s="1"/>
      <c r="F321" s="1"/>
      <c r="G321" s="138"/>
      <c r="H321" s="138"/>
      <c r="I321" s="1"/>
      <c r="J321" s="1"/>
    </row>
    <row r="322">
      <c r="A322" s="1"/>
      <c r="B322" s="1"/>
      <c r="C322" s="1"/>
      <c r="D322" s="1"/>
      <c r="E322" s="1" t="str">
        <f>E173</f>
        <v># WONs</v>
      </c>
      <c r="F322" s="1"/>
      <c r="G322" s="163"/>
      <c r="H322" s="163">
        <f>H173</f>
        <v>164</v>
      </c>
      <c r="I322" s="1"/>
      <c r="J322" s="1"/>
    </row>
    <row r="323">
      <c r="A323" s="1"/>
      <c r="B323" s="1"/>
      <c r="C323" s="1"/>
      <c r="D323" s="1"/>
      <c r="E323" s="13" t="s">
        <v>116</v>
      </c>
      <c r="F323" s="1"/>
      <c r="G323" s="168"/>
      <c r="H323" s="168">
        <f>H324/H173</f>
        <v>0.9329268293</v>
      </c>
      <c r="I323" s="1"/>
      <c r="J323" s="1"/>
    </row>
    <row r="324">
      <c r="A324" s="1"/>
      <c r="B324" s="1"/>
      <c r="C324" s="1"/>
      <c r="D324" s="1"/>
      <c r="E324" s="13" t="s">
        <v>117</v>
      </c>
      <c r="F324" s="1"/>
      <c r="G324" s="148"/>
      <c r="H324" s="148">
        <f>SUM(H337,H339,H341,H343)</f>
        <v>153</v>
      </c>
      <c r="I324" s="1"/>
      <c r="J324" s="1"/>
    </row>
    <row r="325">
      <c r="A325" s="1"/>
      <c r="B325" s="1"/>
      <c r="C325" s="1"/>
      <c r="D325" s="1"/>
      <c r="E325" s="13" t="s">
        <v>118</v>
      </c>
      <c r="F325" s="1"/>
      <c r="G325" s="168"/>
      <c r="H325" s="168">
        <f>H326/H175</f>
        <v>0.93</v>
      </c>
      <c r="I325" s="1"/>
      <c r="J325" s="1"/>
    </row>
    <row r="326" collapsed="1">
      <c r="A326" s="1"/>
      <c r="B326" s="1"/>
      <c r="C326" s="1"/>
      <c r="D326" s="1"/>
      <c r="E326" s="13" t="s">
        <v>119</v>
      </c>
      <c r="F326" s="1"/>
      <c r="G326" s="150"/>
      <c r="H326" s="150">
        <f>SUM(H338,H340,H342,H344)</f>
        <v>11584080</v>
      </c>
      <c r="I326" s="1"/>
      <c r="J326" s="1"/>
    </row>
    <row r="327" hidden="1" outlineLevel="1">
      <c r="A327" s="1"/>
      <c r="B327" s="1"/>
      <c r="C327" s="1"/>
      <c r="D327" s="1"/>
      <c r="E327" s="1"/>
      <c r="F327" s="13" t="s">
        <v>96</v>
      </c>
      <c r="G327" s="155"/>
      <c r="H327" s="155">
        <v>0.93</v>
      </c>
      <c r="I327" s="1"/>
      <c r="J327" s="1"/>
    </row>
    <row r="328" hidden="1" outlineLevel="1">
      <c r="A328" s="1"/>
      <c r="B328" s="1"/>
      <c r="C328" s="1"/>
      <c r="D328" s="1"/>
      <c r="E328" s="1"/>
      <c r="F328" s="13" t="s">
        <v>97</v>
      </c>
      <c r="G328" s="155"/>
      <c r="H328" s="155">
        <v>0.93</v>
      </c>
      <c r="I328" s="1"/>
      <c r="J328" s="1"/>
    </row>
    <row r="329" hidden="1" outlineLevel="1">
      <c r="A329" s="1"/>
      <c r="B329" s="1"/>
      <c r="C329" s="1"/>
      <c r="D329" s="1"/>
      <c r="E329" s="1"/>
      <c r="F329" s="13" t="s">
        <v>98</v>
      </c>
      <c r="G329" s="155"/>
      <c r="H329" s="155">
        <v>0.93</v>
      </c>
      <c r="I329" s="1"/>
      <c r="J329" s="1"/>
    </row>
    <row r="330" hidden="1" outlineLevel="1">
      <c r="A330" s="1"/>
      <c r="B330" s="1"/>
      <c r="C330" s="1"/>
      <c r="D330" s="1"/>
      <c r="E330" s="1"/>
      <c r="F330" s="13" t="s">
        <v>99</v>
      </c>
      <c r="G330" s="155"/>
      <c r="H330" s="155">
        <v>0.93</v>
      </c>
      <c r="I330" s="1"/>
      <c r="J330" s="1"/>
    </row>
    <row r="331" hidden="1" outlineLevel="1">
      <c r="A331" s="1"/>
      <c r="B331" s="1"/>
      <c r="C331" s="1"/>
      <c r="D331" s="1"/>
      <c r="E331" s="1"/>
      <c r="F331" s="13" t="s">
        <v>100</v>
      </c>
      <c r="G331" s="155"/>
      <c r="H331" s="155">
        <v>0.93</v>
      </c>
      <c r="I331" s="1"/>
      <c r="J331" s="1"/>
    </row>
    <row r="332" hidden="1" outlineLevel="1">
      <c r="A332" s="1"/>
      <c r="B332" s="1"/>
      <c r="C332" s="1"/>
      <c r="D332" s="1"/>
      <c r="E332" s="1"/>
      <c r="F332" s="13" t="s">
        <v>101</v>
      </c>
      <c r="G332" s="155"/>
      <c r="H332" s="155">
        <v>0.93</v>
      </c>
      <c r="I332" s="1"/>
      <c r="J332" s="1"/>
    </row>
    <row r="333" hidden="1" outlineLevel="1">
      <c r="A333" s="1"/>
      <c r="B333" s="1"/>
      <c r="C333" s="1"/>
      <c r="D333" s="1"/>
      <c r="E333" s="1"/>
      <c r="F333" s="13" t="s">
        <v>102</v>
      </c>
      <c r="G333" s="155"/>
      <c r="H333" s="155">
        <v>0.93</v>
      </c>
      <c r="I333" s="1"/>
      <c r="J333" s="1"/>
    </row>
    <row r="334" hidden="1" outlineLevel="1">
      <c r="A334" s="1"/>
      <c r="B334" s="1"/>
      <c r="C334" s="1"/>
      <c r="D334" s="1"/>
      <c r="E334" s="1"/>
      <c r="F334" s="13" t="s">
        <v>103</v>
      </c>
      <c r="G334" s="155"/>
      <c r="H334" s="155">
        <v>0.93</v>
      </c>
      <c r="I334" s="1"/>
      <c r="J334" s="1"/>
    </row>
    <row r="335" hidden="1" outlineLevel="1">
      <c r="A335" s="1"/>
      <c r="B335" s="1"/>
      <c r="C335" s="1"/>
      <c r="D335" s="1"/>
      <c r="E335" s="1"/>
      <c r="F335" s="13" t="s">
        <v>104</v>
      </c>
      <c r="G335" s="155"/>
      <c r="H335" s="155">
        <v>0.0</v>
      </c>
      <c r="I335" s="1"/>
      <c r="J335" s="1"/>
    </row>
    <row r="336" hidden="1" outlineLevel="1">
      <c r="A336" s="1"/>
      <c r="B336" s="1"/>
      <c r="C336" s="1"/>
      <c r="D336" s="1"/>
      <c r="E336" s="1"/>
      <c r="F336" s="13" t="s">
        <v>105</v>
      </c>
      <c r="G336" s="155"/>
      <c r="H336" s="155">
        <v>0.0</v>
      </c>
      <c r="I336" s="1"/>
      <c r="J336" s="1"/>
    </row>
    <row r="337" hidden="1" outlineLevel="1">
      <c r="A337" s="1"/>
      <c r="B337" s="1"/>
      <c r="C337" s="1"/>
      <c r="D337" s="1"/>
      <c r="E337" s="1"/>
      <c r="F337" s="13" t="s">
        <v>106</v>
      </c>
      <c r="G337" s="148"/>
      <c r="H337" s="148">
        <f t="shared" ref="H337:H346" si="4">ROUND(H187*H327,0)</f>
        <v>91</v>
      </c>
      <c r="I337" s="1"/>
      <c r="J337" s="1"/>
    </row>
    <row r="338" hidden="1" outlineLevel="1">
      <c r="A338" s="1"/>
      <c r="B338" s="1"/>
      <c r="C338" s="1"/>
      <c r="D338" s="1"/>
      <c r="E338" s="1"/>
      <c r="F338" s="13" t="s">
        <v>107</v>
      </c>
      <c r="G338" s="150"/>
      <c r="H338" s="150">
        <f t="shared" si="4"/>
        <v>9114000</v>
      </c>
      <c r="I338" s="1"/>
      <c r="J338" s="1"/>
    </row>
    <row r="339" hidden="1" outlineLevel="1">
      <c r="A339" s="1"/>
      <c r="B339" s="1"/>
      <c r="C339" s="1"/>
      <c r="D339" s="1"/>
      <c r="E339" s="1"/>
      <c r="F339" s="13" t="s">
        <v>108</v>
      </c>
      <c r="G339" s="148"/>
      <c r="H339" s="148">
        <f t="shared" si="4"/>
        <v>16</v>
      </c>
      <c r="I339" s="1"/>
      <c r="J339" s="1"/>
    </row>
    <row r="340" hidden="1" outlineLevel="1">
      <c r="A340" s="1"/>
      <c r="B340" s="1"/>
      <c r="C340" s="1"/>
      <c r="D340" s="1"/>
      <c r="E340" s="1"/>
      <c r="F340" s="13" t="s">
        <v>109</v>
      </c>
      <c r="G340" s="150"/>
      <c r="H340" s="150">
        <f t="shared" si="4"/>
        <v>237150</v>
      </c>
      <c r="I340" s="1"/>
      <c r="J340" s="1"/>
    </row>
    <row r="341" hidden="1" outlineLevel="1">
      <c r="A341" s="1"/>
      <c r="B341" s="1"/>
      <c r="C341" s="1"/>
      <c r="D341" s="1"/>
      <c r="E341" s="1"/>
      <c r="F341" s="13" t="s">
        <v>110</v>
      </c>
      <c r="G341" s="148"/>
      <c r="H341" s="148">
        <f t="shared" si="4"/>
        <v>0</v>
      </c>
      <c r="I341" s="1"/>
      <c r="J341" s="1"/>
    </row>
    <row r="342" hidden="1" outlineLevel="1">
      <c r="A342" s="1"/>
      <c r="B342" s="1"/>
      <c r="C342" s="1"/>
      <c r="D342" s="1"/>
      <c r="E342" s="1"/>
      <c r="F342" s="13" t="s">
        <v>111</v>
      </c>
      <c r="G342" s="150"/>
      <c r="H342" s="150">
        <f t="shared" si="4"/>
        <v>0</v>
      </c>
      <c r="I342" s="1"/>
      <c r="J342" s="1"/>
    </row>
    <row r="343" hidden="1" outlineLevel="1">
      <c r="A343" s="1"/>
      <c r="B343" s="1"/>
      <c r="C343" s="1"/>
      <c r="D343" s="1"/>
      <c r="E343" s="1"/>
      <c r="F343" s="13" t="s">
        <v>112</v>
      </c>
      <c r="G343" s="148"/>
      <c r="H343" s="148">
        <f t="shared" si="4"/>
        <v>46</v>
      </c>
      <c r="I343" s="1"/>
      <c r="J343" s="1"/>
    </row>
    <row r="344" hidden="1" outlineLevel="1">
      <c r="A344" s="1"/>
      <c r="B344" s="1"/>
      <c r="C344" s="1"/>
      <c r="D344" s="1"/>
      <c r="E344" s="1"/>
      <c r="F344" s="13" t="s">
        <v>113</v>
      </c>
      <c r="G344" s="150"/>
      <c r="H344" s="150">
        <f t="shared" si="4"/>
        <v>2232930</v>
      </c>
      <c r="I344" s="1"/>
      <c r="J344" s="1"/>
    </row>
    <row r="345" hidden="1" outlineLevel="1">
      <c r="A345" s="1"/>
      <c r="B345" s="1"/>
      <c r="C345" s="1"/>
      <c r="D345" s="1"/>
      <c r="E345" s="1"/>
      <c r="F345" s="13" t="s">
        <v>114</v>
      </c>
      <c r="G345" s="166"/>
      <c r="H345" s="166">
        <f t="shared" si="4"/>
        <v>0</v>
      </c>
      <c r="I345" s="1"/>
      <c r="J345" s="1"/>
    </row>
    <row r="346" hidden="1" outlineLevel="1">
      <c r="A346" s="1"/>
      <c r="B346" s="1"/>
      <c r="C346" s="1"/>
      <c r="D346" s="1"/>
      <c r="E346" s="1"/>
      <c r="F346" s="13" t="s">
        <v>115</v>
      </c>
      <c r="G346" s="150"/>
      <c r="H346" s="150">
        <f t="shared" si="4"/>
        <v>0</v>
      </c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36" t="s">
        <v>49</v>
      </c>
      <c r="E348" s="1"/>
      <c r="F348" s="1"/>
      <c r="G348" s="138"/>
      <c r="H348" s="138"/>
      <c r="I348" s="1"/>
      <c r="J348" s="1"/>
    </row>
    <row r="349">
      <c r="A349" s="1"/>
      <c r="B349" s="1"/>
      <c r="C349" s="1"/>
      <c r="D349" s="1"/>
      <c r="E349" s="1" t="str">
        <f>E203</f>
        <v># WONs</v>
      </c>
      <c r="F349" s="1"/>
      <c r="G349" s="1"/>
      <c r="H349" s="163">
        <f>H203</f>
        <v>387</v>
      </c>
      <c r="I349" s="1"/>
      <c r="J349" s="1"/>
    </row>
    <row r="350">
      <c r="A350" s="1"/>
      <c r="B350" s="1"/>
      <c r="C350" s="1"/>
      <c r="D350" s="1"/>
      <c r="E350" s="1" t="s">
        <v>120</v>
      </c>
      <c r="F350" s="1"/>
      <c r="G350" s="168"/>
      <c r="H350" s="168">
        <f>H351/H203</f>
        <v>0.9302325581</v>
      </c>
      <c r="I350" s="1"/>
      <c r="J350" s="1"/>
    </row>
    <row r="351">
      <c r="A351" s="1"/>
      <c r="B351" s="1"/>
      <c r="C351" s="1"/>
      <c r="D351" s="1"/>
      <c r="E351" s="1" t="s">
        <v>121</v>
      </c>
      <c r="F351" s="1"/>
      <c r="G351" s="148"/>
      <c r="H351" s="148">
        <f>SUM(H364,H366,H368,H370)</f>
        <v>360</v>
      </c>
      <c r="I351" s="1"/>
      <c r="J351" s="1"/>
    </row>
    <row r="352">
      <c r="A352" s="1"/>
      <c r="B352" s="1"/>
      <c r="C352" s="1"/>
      <c r="D352" s="1"/>
      <c r="E352" s="1" t="s">
        <v>122</v>
      </c>
      <c r="F352" s="1"/>
      <c r="G352" s="168"/>
      <c r="H352" s="168">
        <f>H353/H205</f>
        <v>0.93</v>
      </c>
      <c r="I352" s="1"/>
      <c r="J352" s="1"/>
    </row>
    <row r="353" collapsed="1">
      <c r="A353" s="1"/>
      <c r="B353" s="1"/>
      <c r="C353" s="1"/>
      <c r="D353" s="1"/>
      <c r="E353" s="1" t="s">
        <v>123</v>
      </c>
      <c r="F353" s="1"/>
      <c r="G353" s="150"/>
      <c r="H353" s="150">
        <f>SUM(H365,H367,H369,H371)</f>
        <v>12329010</v>
      </c>
      <c r="I353" s="1"/>
      <c r="J353" s="1"/>
    </row>
    <row r="354" hidden="1" outlineLevel="1">
      <c r="A354" s="1"/>
      <c r="B354" s="1"/>
      <c r="C354" s="1"/>
      <c r="D354" s="1"/>
      <c r="E354" s="1"/>
      <c r="F354" s="13" t="s">
        <v>96</v>
      </c>
      <c r="G354" s="155"/>
      <c r="H354" s="155">
        <v>0.93</v>
      </c>
      <c r="I354" s="1"/>
      <c r="J354" s="1"/>
    </row>
    <row r="355" hidden="1" outlineLevel="1">
      <c r="A355" s="1"/>
      <c r="B355" s="1"/>
      <c r="C355" s="1"/>
      <c r="D355" s="1"/>
      <c r="E355" s="1"/>
      <c r="F355" s="13" t="s">
        <v>97</v>
      </c>
      <c r="G355" s="155"/>
      <c r="H355" s="155">
        <v>0.93</v>
      </c>
      <c r="I355" s="1"/>
      <c r="J355" s="1"/>
    </row>
    <row r="356" hidden="1" outlineLevel="1">
      <c r="A356" s="1"/>
      <c r="B356" s="1"/>
      <c r="C356" s="1"/>
      <c r="D356" s="1"/>
      <c r="E356" s="1"/>
      <c r="F356" s="13" t="s">
        <v>98</v>
      </c>
      <c r="G356" s="155"/>
      <c r="H356" s="155">
        <v>0.93</v>
      </c>
      <c r="I356" s="1"/>
      <c r="J356" s="1"/>
    </row>
    <row r="357" hidden="1" outlineLevel="1">
      <c r="A357" s="1"/>
      <c r="B357" s="1"/>
      <c r="C357" s="1"/>
      <c r="D357" s="1"/>
      <c r="E357" s="1"/>
      <c r="F357" s="13" t="s">
        <v>99</v>
      </c>
      <c r="G357" s="155"/>
      <c r="H357" s="155">
        <v>0.93</v>
      </c>
      <c r="I357" s="1"/>
      <c r="J357" s="1"/>
    </row>
    <row r="358" hidden="1" outlineLevel="1">
      <c r="A358" s="1"/>
      <c r="B358" s="1"/>
      <c r="C358" s="1"/>
      <c r="D358" s="1"/>
      <c r="E358" s="1"/>
      <c r="F358" s="13" t="s">
        <v>100</v>
      </c>
      <c r="G358" s="153"/>
      <c r="H358" s="153">
        <v>0.0</v>
      </c>
      <c r="I358" s="1"/>
      <c r="J358" s="1"/>
    </row>
    <row r="359" hidden="1" outlineLevel="1">
      <c r="A359" s="1"/>
      <c r="B359" s="1"/>
      <c r="C359" s="1"/>
      <c r="D359" s="1"/>
      <c r="E359" s="1"/>
      <c r="F359" s="13" t="s">
        <v>101</v>
      </c>
      <c r="G359" s="153"/>
      <c r="H359" s="153">
        <v>0.0</v>
      </c>
      <c r="I359" s="1"/>
      <c r="J359" s="1"/>
    </row>
    <row r="360" hidden="1" outlineLevel="1">
      <c r="A360" s="1"/>
      <c r="B360" s="1"/>
      <c r="C360" s="1"/>
      <c r="D360" s="1"/>
      <c r="E360" s="1"/>
      <c r="F360" s="13" t="s">
        <v>102</v>
      </c>
      <c r="G360" s="153"/>
      <c r="H360" s="153">
        <v>0.0</v>
      </c>
      <c r="I360" s="1"/>
      <c r="J360" s="1"/>
    </row>
    <row r="361" hidden="1" outlineLevel="1">
      <c r="A361" s="1"/>
      <c r="B361" s="1"/>
      <c r="C361" s="1"/>
      <c r="D361" s="1"/>
      <c r="E361" s="1"/>
      <c r="F361" s="13" t="s">
        <v>103</v>
      </c>
      <c r="G361" s="153"/>
      <c r="H361" s="153">
        <v>0.0</v>
      </c>
      <c r="I361" s="1"/>
      <c r="J361" s="1"/>
    </row>
    <row r="362" hidden="1" outlineLevel="1">
      <c r="A362" s="1"/>
      <c r="B362" s="1"/>
      <c r="C362" s="1"/>
      <c r="D362" s="1"/>
      <c r="E362" s="1"/>
      <c r="F362" s="13" t="s">
        <v>104</v>
      </c>
      <c r="G362" s="155"/>
      <c r="H362" s="155">
        <v>0.0</v>
      </c>
      <c r="I362" s="1"/>
      <c r="J362" s="1"/>
    </row>
    <row r="363" hidden="1" outlineLevel="1">
      <c r="A363" s="1"/>
      <c r="B363" s="1"/>
      <c r="C363" s="1"/>
      <c r="D363" s="1"/>
      <c r="E363" s="1"/>
      <c r="F363" s="13" t="s">
        <v>105</v>
      </c>
      <c r="G363" s="155"/>
      <c r="H363" s="155">
        <v>0.0</v>
      </c>
      <c r="I363" s="1"/>
      <c r="J363" s="1"/>
    </row>
    <row r="364" hidden="1" outlineLevel="1">
      <c r="A364" s="1"/>
      <c r="B364" s="1"/>
      <c r="C364" s="1"/>
      <c r="D364" s="1"/>
      <c r="E364" s="1"/>
      <c r="F364" s="13" t="s">
        <v>106</v>
      </c>
      <c r="G364" s="148"/>
      <c r="H364" s="148">
        <f t="shared" ref="H364:H373" si="5">ROUND(H217*H354,0)</f>
        <v>287</v>
      </c>
      <c r="I364" s="1"/>
      <c r="J364" s="1"/>
    </row>
    <row r="365" hidden="1" outlineLevel="1">
      <c r="A365" s="1"/>
      <c r="B365" s="1"/>
      <c r="C365" s="1"/>
      <c r="D365" s="1"/>
      <c r="E365" s="1"/>
      <c r="F365" s="13" t="s">
        <v>107</v>
      </c>
      <c r="G365" s="150"/>
      <c r="H365" s="150">
        <f t="shared" si="5"/>
        <v>11494800</v>
      </c>
      <c r="I365" s="1"/>
      <c r="J365" s="1"/>
    </row>
    <row r="366" hidden="1" outlineLevel="1">
      <c r="A366" s="1"/>
      <c r="B366" s="1"/>
      <c r="C366" s="1"/>
      <c r="D366" s="1"/>
      <c r="E366" s="1"/>
      <c r="F366" s="13" t="s">
        <v>108</v>
      </c>
      <c r="G366" s="148"/>
      <c r="H366" s="148">
        <f t="shared" si="5"/>
        <v>73</v>
      </c>
      <c r="I366" s="1"/>
      <c r="J366" s="1"/>
    </row>
    <row r="367" hidden="1" outlineLevel="1">
      <c r="A367" s="1"/>
      <c r="B367" s="1"/>
      <c r="C367" s="1"/>
      <c r="D367" s="1"/>
      <c r="E367" s="1"/>
      <c r="F367" s="13" t="s">
        <v>109</v>
      </c>
      <c r="G367" s="150"/>
      <c r="H367" s="150">
        <f t="shared" si="5"/>
        <v>834210</v>
      </c>
      <c r="I367" s="1"/>
      <c r="J367" s="1"/>
    </row>
    <row r="368" hidden="1" outlineLevel="1">
      <c r="A368" s="1"/>
      <c r="B368" s="1"/>
      <c r="C368" s="1"/>
      <c r="D368" s="1"/>
      <c r="E368" s="1"/>
      <c r="F368" s="13" t="s">
        <v>110</v>
      </c>
      <c r="G368" s="148"/>
      <c r="H368" s="148">
        <f t="shared" si="5"/>
        <v>0</v>
      </c>
      <c r="I368" s="1"/>
      <c r="J368" s="1"/>
    </row>
    <row r="369" hidden="1" outlineLevel="1">
      <c r="A369" s="1"/>
      <c r="B369" s="1"/>
      <c r="C369" s="1"/>
      <c r="D369" s="1"/>
      <c r="E369" s="1"/>
      <c r="F369" s="13" t="s">
        <v>111</v>
      </c>
      <c r="G369" s="150"/>
      <c r="H369" s="150">
        <f t="shared" si="5"/>
        <v>0</v>
      </c>
      <c r="I369" s="1"/>
      <c r="J369" s="1"/>
    </row>
    <row r="370" hidden="1" outlineLevel="1">
      <c r="A370" s="1"/>
      <c r="B370" s="1"/>
      <c r="C370" s="1"/>
      <c r="D370" s="1"/>
      <c r="E370" s="1"/>
      <c r="F370" s="13" t="s">
        <v>112</v>
      </c>
      <c r="G370" s="148"/>
      <c r="H370" s="148">
        <f t="shared" si="5"/>
        <v>0</v>
      </c>
      <c r="I370" s="1"/>
      <c r="J370" s="1"/>
    </row>
    <row r="371" hidden="1" outlineLevel="1">
      <c r="A371" s="1"/>
      <c r="B371" s="1"/>
      <c r="C371" s="1"/>
      <c r="D371" s="1"/>
      <c r="E371" s="1"/>
      <c r="F371" s="13" t="s">
        <v>113</v>
      </c>
      <c r="G371" s="150"/>
      <c r="H371" s="150">
        <f t="shared" si="5"/>
        <v>0</v>
      </c>
      <c r="I371" s="1"/>
      <c r="J371" s="1"/>
    </row>
    <row r="372" hidden="1" outlineLevel="1">
      <c r="A372" s="1"/>
      <c r="B372" s="1"/>
      <c r="C372" s="1"/>
      <c r="D372" s="1"/>
      <c r="E372" s="1"/>
      <c r="F372" s="13" t="s">
        <v>114</v>
      </c>
      <c r="G372" s="166"/>
      <c r="H372" s="166">
        <f t="shared" si="5"/>
        <v>0</v>
      </c>
      <c r="I372" s="1"/>
      <c r="J372" s="1"/>
    </row>
    <row r="373" hidden="1" outlineLevel="1">
      <c r="A373" s="1"/>
      <c r="B373" s="1"/>
      <c r="C373" s="1"/>
      <c r="D373" s="1"/>
      <c r="E373" s="1"/>
      <c r="F373" s="13" t="s">
        <v>115</v>
      </c>
      <c r="G373" s="150"/>
      <c r="H373" s="150">
        <f t="shared" si="5"/>
        <v>0</v>
      </c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36" t="s">
        <v>50</v>
      </c>
      <c r="E375" s="1"/>
      <c r="F375" s="1"/>
      <c r="G375" s="138"/>
      <c r="H375" s="138"/>
      <c r="I375" s="1"/>
      <c r="J375" s="1"/>
    </row>
    <row r="376">
      <c r="A376" s="1"/>
      <c r="B376" s="1"/>
      <c r="C376" s="1"/>
      <c r="D376" s="1"/>
      <c r="E376" s="1" t="str">
        <f>E232</f>
        <v># WONs</v>
      </c>
      <c r="F376" s="1"/>
      <c r="G376" s="1"/>
      <c r="H376" s="163">
        <f>H232</f>
        <v>183</v>
      </c>
      <c r="I376" s="1"/>
      <c r="J376" s="1"/>
    </row>
    <row r="377">
      <c r="A377" s="1"/>
      <c r="B377" s="1"/>
      <c r="C377" s="1"/>
      <c r="D377" s="1"/>
      <c r="E377" s="1" t="s">
        <v>124</v>
      </c>
      <c r="F377" s="1"/>
      <c r="G377" s="168"/>
      <c r="H377" s="168">
        <f>H378/H232</f>
        <v>0.9289617486</v>
      </c>
      <c r="I377" s="1"/>
      <c r="J377" s="1"/>
    </row>
    <row r="378">
      <c r="A378" s="1"/>
      <c r="B378" s="1"/>
      <c r="C378" s="1"/>
      <c r="D378" s="1"/>
      <c r="E378" s="1" t="s">
        <v>125</v>
      </c>
      <c r="F378" s="1"/>
      <c r="G378" s="148"/>
      <c r="H378" s="148">
        <f>SUM(H391,H393,H395,H397)</f>
        <v>170</v>
      </c>
      <c r="I378" s="1"/>
      <c r="J378" s="1"/>
    </row>
    <row r="379">
      <c r="A379" s="1"/>
      <c r="B379" s="1"/>
      <c r="C379" s="1"/>
      <c r="D379" s="1"/>
      <c r="E379" s="1" t="s">
        <v>126</v>
      </c>
      <c r="F379" s="1"/>
      <c r="G379" s="134"/>
      <c r="H379" s="134">
        <v>0.93</v>
      </c>
      <c r="I379" s="1"/>
      <c r="J379" s="1"/>
    </row>
    <row r="380" collapsed="1">
      <c r="A380" s="1"/>
      <c r="B380" s="1"/>
      <c r="C380" s="1"/>
      <c r="D380" s="1"/>
      <c r="E380" s="1" t="s">
        <v>127</v>
      </c>
      <c r="F380" s="1"/>
      <c r="G380" s="150"/>
      <c r="H380" s="150">
        <f>SUM(H392,H394,H396,H398)</f>
        <v>4331475</v>
      </c>
      <c r="I380" s="1"/>
      <c r="J380" s="1"/>
    </row>
    <row r="381" hidden="1" outlineLevel="1">
      <c r="A381" s="1"/>
      <c r="B381" s="1"/>
      <c r="C381" s="1"/>
      <c r="D381" s="1"/>
      <c r="E381" s="1"/>
      <c r="F381" s="13" t="s">
        <v>96</v>
      </c>
      <c r="G381" s="155"/>
      <c r="H381" s="155">
        <v>0.93</v>
      </c>
      <c r="I381" s="1"/>
      <c r="J381" s="1"/>
    </row>
    <row r="382" hidden="1" outlineLevel="1">
      <c r="A382" s="1"/>
      <c r="B382" s="1"/>
      <c r="C382" s="1"/>
      <c r="D382" s="1"/>
      <c r="E382" s="1"/>
      <c r="F382" s="13" t="s">
        <v>97</v>
      </c>
      <c r="G382" s="155"/>
      <c r="H382" s="155">
        <v>0.93</v>
      </c>
      <c r="I382" s="1"/>
      <c r="J382" s="1"/>
    </row>
    <row r="383" hidden="1" outlineLevel="1">
      <c r="A383" s="1"/>
      <c r="B383" s="1"/>
      <c r="C383" s="1"/>
      <c r="D383" s="1"/>
      <c r="E383" s="1"/>
      <c r="F383" s="13" t="s">
        <v>98</v>
      </c>
      <c r="G383" s="155"/>
      <c r="H383" s="155">
        <v>0.93</v>
      </c>
      <c r="I383" s="1"/>
      <c r="J383" s="1"/>
    </row>
    <row r="384" hidden="1" outlineLevel="1">
      <c r="A384" s="1"/>
      <c r="B384" s="1"/>
      <c r="C384" s="1"/>
      <c r="D384" s="1"/>
      <c r="E384" s="1"/>
      <c r="F384" s="13" t="s">
        <v>99</v>
      </c>
      <c r="G384" s="155"/>
      <c r="H384" s="155">
        <v>0.93</v>
      </c>
      <c r="I384" s="1"/>
      <c r="J384" s="1"/>
    </row>
    <row r="385" hidden="1" outlineLevel="1">
      <c r="A385" s="1"/>
      <c r="B385" s="1"/>
      <c r="C385" s="1"/>
      <c r="D385" s="1"/>
      <c r="E385" s="1"/>
      <c r="F385" s="13" t="s">
        <v>100</v>
      </c>
      <c r="G385" s="153"/>
      <c r="H385" s="153">
        <v>0.0</v>
      </c>
      <c r="I385" s="1"/>
      <c r="J385" s="1"/>
    </row>
    <row r="386" hidden="1" outlineLevel="1">
      <c r="A386" s="1"/>
      <c r="B386" s="1"/>
      <c r="C386" s="1"/>
      <c r="D386" s="1"/>
      <c r="E386" s="1"/>
      <c r="F386" s="13" t="s">
        <v>101</v>
      </c>
      <c r="G386" s="153"/>
      <c r="H386" s="153">
        <v>0.0</v>
      </c>
      <c r="I386" s="1"/>
      <c r="J386" s="1"/>
    </row>
    <row r="387" hidden="1" outlineLevel="1">
      <c r="A387" s="1"/>
      <c r="B387" s="1"/>
      <c r="C387" s="1"/>
      <c r="D387" s="1"/>
      <c r="E387" s="1"/>
      <c r="F387" s="13" t="s">
        <v>102</v>
      </c>
      <c r="G387" s="153"/>
      <c r="H387" s="153">
        <v>0.0</v>
      </c>
      <c r="I387" s="1"/>
      <c r="J387" s="1"/>
    </row>
    <row r="388" hidden="1" outlineLevel="1">
      <c r="A388" s="1"/>
      <c r="B388" s="1"/>
      <c r="C388" s="1"/>
      <c r="D388" s="1"/>
      <c r="E388" s="1"/>
      <c r="F388" s="13" t="s">
        <v>103</v>
      </c>
      <c r="G388" s="153"/>
      <c r="H388" s="153">
        <v>0.0</v>
      </c>
      <c r="I388" s="1"/>
      <c r="J388" s="1"/>
    </row>
    <row r="389" hidden="1" outlineLevel="1">
      <c r="A389" s="1"/>
      <c r="B389" s="1"/>
      <c r="C389" s="1"/>
      <c r="D389" s="1"/>
      <c r="E389" s="1"/>
      <c r="F389" s="13" t="s">
        <v>104</v>
      </c>
      <c r="G389" s="155"/>
      <c r="H389" s="155">
        <v>0.0</v>
      </c>
      <c r="I389" s="1"/>
      <c r="J389" s="1"/>
    </row>
    <row r="390" hidden="1" outlineLevel="1">
      <c r="A390" s="1"/>
      <c r="B390" s="1"/>
      <c r="C390" s="1"/>
      <c r="D390" s="1"/>
      <c r="E390" s="1"/>
      <c r="F390" s="13" t="s">
        <v>105</v>
      </c>
      <c r="G390" s="155"/>
      <c r="H390" s="155">
        <v>0.0</v>
      </c>
      <c r="I390" s="1"/>
      <c r="J390" s="1"/>
    </row>
    <row r="391" hidden="1" outlineLevel="1">
      <c r="A391" s="1"/>
      <c r="B391" s="1"/>
      <c r="C391" s="1"/>
      <c r="D391" s="1"/>
      <c r="E391" s="1"/>
      <c r="F391" s="13" t="s">
        <v>106</v>
      </c>
      <c r="G391" s="148"/>
      <c r="H391" s="148">
        <f t="shared" ref="H391:H400" si="6">ROUND(H246*H381,0)</f>
        <v>136</v>
      </c>
      <c r="I391" s="1"/>
      <c r="J391" s="1"/>
    </row>
    <row r="392" hidden="1" outlineLevel="1">
      <c r="A392" s="1"/>
      <c r="B392" s="1"/>
      <c r="C392" s="1"/>
      <c r="D392" s="1"/>
      <c r="E392" s="1"/>
      <c r="F392" s="13" t="s">
        <v>107</v>
      </c>
      <c r="G392" s="150"/>
      <c r="H392" s="150">
        <f t="shared" si="6"/>
        <v>4073400</v>
      </c>
      <c r="I392" s="1"/>
      <c r="J392" s="1"/>
    </row>
    <row r="393" hidden="1" outlineLevel="1">
      <c r="A393" s="1"/>
      <c r="B393" s="1"/>
      <c r="C393" s="1"/>
      <c r="D393" s="1"/>
      <c r="E393" s="1"/>
      <c r="F393" s="13" t="s">
        <v>108</v>
      </c>
      <c r="G393" s="148"/>
      <c r="H393" s="148">
        <f t="shared" si="6"/>
        <v>34</v>
      </c>
      <c r="I393" s="1"/>
      <c r="J393" s="1"/>
    </row>
    <row r="394" hidden="1" outlineLevel="1">
      <c r="A394" s="1"/>
      <c r="B394" s="1"/>
      <c r="C394" s="1"/>
      <c r="D394" s="1"/>
      <c r="E394" s="1"/>
      <c r="F394" s="13" t="s">
        <v>109</v>
      </c>
      <c r="G394" s="150"/>
      <c r="H394" s="150">
        <f t="shared" si="6"/>
        <v>258075</v>
      </c>
      <c r="I394" s="1"/>
      <c r="J394" s="1"/>
    </row>
    <row r="395" hidden="1" outlineLevel="1">
      <c r="A395" s="1"/>
      <c r="B395" s="1"/>
      <c r="C395" s="1"/>
      <c r="D395" s="1"/>
      <c r="E395" s="1"/>
      <c r="F395" s="13" t="s">
        <v>110</v>
      </c>
      <c r="G395" s="148"/>
      <c r="H395" s="148">
        <f t="shared" si="6"/>
        <v>0</v>
      </c>
      <c r="I395" s="1"/>
      <c r="J395" s="1"/>
    </row>
    <row r="396" hidden="1" outlineLevel="1">
      <c r="A396" s="1"/>
      <c r="B396" s="1"/>
      <c r="C396" s="1"/>
      <c r="D396" s="1"/>
      <c r="E396" s="1"/>
      <c r="F396" s="13" t="s">
        <v>111</v>
      </c>
      <c r="G396" s="150"/>
      <c r="H396" s="150">
        <f t="shared" si="6"/>
        <v>0</v>
      </c>
      <c r="I396" s="1"/>
      <c r="J396" s="1"/>
    </row>
    <row r="397" hidden="1" outlineLevel="1">
      <c r="A397" s="1"/>
      <c r="B397" s="1"/>
      <c r="C397" s="1"/>
      <c r="D397" s="1"/>
      <c r="E397" s="1"/>
      <c r="F397" s="13" t="s">
        <v>112</v>
      </c>
      <c r="G397" s="148"/>
      <c r="H397" s="148">
        <f t="shared" si="6"/>
        <v>0</v>
      </c>
      <c r="I397" s="1"/>
      <c r="J397" s="1"/>
    </row>
    <row r="398" hidden="1" outlineLevel="1">
      <c r="A398" s="1"/>
      <c r="B398" s="1"/>
      <c r="C398" s="1"/>
      <c r="D398" s="1"/>
      <c r="E398" s="1"/>
      <c r="F398" s="13" t="s">
        <v>113</v>
      </c>
      <c r="G398" s="150"/>
      <c r="H398" s="150">
        <f t="shared" si="6"/>
        <v>0</v>
      </c>
      <c r="I398" s="1"/>
      <c r="J398" s="1"/>
    </row>
    <row r="399" hidden="1" outlineLevel="1">
      <c r="A399" s="1"/>
      <c r="B399" s="1"/>
      <c r="C399" s="1"/>
      <c r="D399" s="1"/>
      <c r="E399" s="1"/>
      <c r="F399" s="13" t="s">
        <v>114</v>
      </c>
      <c r="G399" s="148"/>
      <c r="H399" s="148">
        <f t="shared" si="6"/>
        <v>0</v>
      </c>
      <c r="I399" s="1"/>
      <c r="J399" s="1"/>
    </row>
    <row r="400" hidden="1" outlineLevel="1">
      <c r="A400" s="1"/>
      <c r="B400" s="1"/>
      <c r="C400" s="1"/>
      <c r="D400" s="1"/>
      <c r="E400" s="1"/>
      <c r="F400" s="13" t="s">
        <v>115</v>
      </c>
      <c r="G400" s="150"/>
      <c r="H400" s="150">
        <f t="shared" si="6"/>
        <v>0</v>
      </c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16" t="s">
        <v>128</v>
      </c>
      <c r="C403" s="117"/>
      <c r="D403" s="117"/>
      <c r="E403" s="117"/>
      <c r="F403" s="117"/>
      <c r="G403" s="118"/>
      <c r="H403" s="118"/>
      <c r="I403" s="1"/>
      <c r="J403" s="1"/>
    </row>
    <row r="404">
      <c r="A404" s="1"/>
      <c r="B404" s="1"/>
      <c r="C404" s="1" t="s">
        <v>129</v>
      </c>
      <c r="D404" s="1" t="str">
        <f>E261</f>
        <v># Customers Activated</v>
      </c>
      <c r="E404" s="1"/>
      <c r="F404" s="1"/>
      <c r="G404" s="123"/>
      <c r="H404" s="123">
        <f>H261</f>
        <v>736</v>
      </c>
      <c r="I404" s="1"/>
      <c r="J404" s="1"/>
    </row>
    <row r="405">
      <c r="A405" s="1"/>
      <c r="B405" s="1"/>
      <c r="C405" s="1" t="s">
        <v>130</v>
      </c>
      <c r="D405" s="1" t="s">
        <v>131</v>
      </c>
      <c r="E405" s="1"/>
      <c r="F405" s="1"/>
      <c r="G405" s="168"/>
      <c r="H405" s="168">
        <f>IFERROR(H406/H404,"-")</f>
        <v>1</v>
      </c>
      <c r="I405" s="1"/>
      <c r="J405" s="1"/>
    </row>
    <row r="406">
      <c r="A406" s="1"/>
      <c r="B406" s="1"/>
      <c r="C406" s="1"/>
      <c r="D406" s="136" t="s">
        <v>132</v>
      </c>
      <c r="E406" s="1"/>
      <c r="F406" s="1"/>
      <c r="G406" s="148"/>
      <c r="H406" s="148">
        <f>SUM(H414,H440,H466,H492,H518)</f>
        <v>736</v>
      </c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 t="s">
        <v>129</v>
      </c>
      <c r="D408" s="1" t="str">
        <f>E265</f>
        <v>$ Revenue Activated</v>
      </c>
      <c r="E408" s="1"/>
      <c r="F408" s="1"/>
      <c r="G408" s="150"/>
      <c r="H408" s="150">
        <f>H265</f>
        <v>34154529</v>
      </c>
      <c r="I408" s="1"/>
      <c r="J408" s="1"/>
    </row>
    <row r="409">
      <c r="A409" s="1"/>
      <c r="B409" s="1"/>
      <c r="C409" s="1" t="s">
        <v>130</v>
      </c>
      <c r="D409" s="1" t="s">
        <v>133</v>
      </c>
      <c r="E409" s="1"/>
      <c r="F409" s="1"/>
      <c r="G409" s="168"/>
      <c r="H409" s="168">
        <f>IFERROR(H410/H408,"-")</f>
        <v>1</v>
      </c>
      <c r="I409" s="1"/>
      <c r="J409" s="1"/>
    </row>
    <row r="410">
      <c r="A410" s="1"/>
      <c r="B410" s="1"/>
      <c r="C410" s="1"/>
      <c r="D410" s="136" t="s">
        <v>134</v>
      </c>
      <c r="E410" s="1"/>
      <c r="F410" s="1"/>
      <c r="G410" s="150"/>
      <c r="H410" s="150">
        <f>SUM(H416,H442,H468,H494,H520)</f>
        <v>34154529</v>
      </c>
      <c r="I410" s="1"/>
      <c r="J410" s="1"/>
    </row>
    <row r="411">
      <c r="A411" s="1"/>
      <c r="B411" s="1"/>
      <c r="C411" s="1"/>
      <c r="D411" s="1"/>
      <c r="E411" s="1"/>
      <c r="F411" s="1"/>
      <c r="G411" s="115"/>
      <c r="H411" s="115">
        <f>SUM(H432,H458,H484,H510,H536)</f>
        <v>0</v>
      </c>
      <c r="I411" s="1"/>
      <c r="J411" s="1"/>
    </row>
    <row r="412">
      <c r="A412" s="1"/>
      <c r="B412" s="1"/>
      <c r="C412" s="1"/>
      <c r="D412" s="136" t="s">
        <v>46</v>
      </c>
      <c r="E412" s="1"/>
      <c r="F412" s="1"/>
      <c r="G412" s="138"/>
      <c r="H412" s="138"/>
      <c r="I412" s="1"/>
      <c r="J412" s="1"/>
    </row>
    <row r="413">
      <c r="A413" s="1"/>
      <c r="B413" s="1"/>
      <c r="C413" s="1"/>
      <c r="D413" s="1"/>
      <c r="E413" s="1" t="s">
        <v>135</v>
      </c>
      <c r="F413" s="1"/>
      <c r="G413" s="168"/>
      <c r="H413" s="168">
        <f>IFERROR(H414/H270,"-")</f>
        <v>1</v>
      </c>
      <c r="I413" s="1"/>
      <c r="J413" s="1"/>
    </row>
    <row r="414">
      <c r="A414" s="1"/>
      <c r="B414" s="1"/>
      <c r="C414" s="1"/>
      <c r="D414" s="1"/>
      <c r="E414" s="1" t="s">
        <v>136</v>
      </c>
      <c r="F414" s="1"/>
      <c r="G414" s="148"/>
      <c r="H414" s="148">
        <f>SUM(H427,H429,H431,H433)</f>
        <v>22</v>
      </c>
      <c r="I414" s="1"/>
      <c r="J414" s="1"/>
    </row>
    <row r="415">
      <c r="A415" s="1"/>
      <c r="B415" s="1"/>
      <c r="C415" s="1"/>
      <c r="D415" s="1"/>
      <c r="E415" s="1" t="s">
        <v>137</v>
      </c>
      <c r="F415" s="1"/>
      <c r="G415" s="168"/>
      <c r="H415" s="168">
        <f>IFERROR(H416/H272,"-")</f>
        <v>1</v>
      </c>
      <c r="I415" s="1"/>
      <c r="J415" s="1"/>
    </row>
    <row r="416" collapsed="1">
      <c r="A416" s="1"/>
      <c r="B416" s="1"/>
      <c r="C416" s="1"/>
      <c r="D416" s="1"/>
      <c r="E416" s="1" t="s">
        <v>138</v>
      </c>
      <c r="F416" s="1"/>
      <c r="G416" s="150"/>
      <c r="H416" s="150">
        <f>SUM(H428,H430,H432,H434)</f>
        <v>2854914</v>
      </c>
      <c r="I416" s="1"/>
      <c r="J416" s="1"/>
    </row>
    <row r="417" hidden="1" outlineLevel="1">
      <c r="A417" s="1"/>
      <c r="B417" s="1"/>
      <c r="C417" s="1"/>
      <c r="D417" s="1"/>
      <c r="E417" s="1"/>
      <c r="F417" s="1" t="s">
        <v>139</v>
      </c>
      <c r="G417" s="153"/>
      <c r="H417" s="153">
        <v>1.0</v>
      </c>
      <c r="I417" s="1"/>
      <c r="J417" s="1"/>
    </row>
    <row r="418" hidden="1" outlineLevel="1">
      <c r="A418" s="1"/>
      <c r="B418" s="1"/>
      <c r="C418" s="1"/>
      <c r="D418" s="1"/>
      <c r="E418" s="1"/>
      <c r="F418" s="1" t="s">
        <v>140</v>
      </c>
      <c r="G418" s="153"/>
      <c r="H418" s="153">
        <v>1.0</v>
      </c>
      <c r="I418" s="1"/>
      <c r="J418" s="1"/>
    </row>
    <row r="419" hidden="1" outlineLevel="1">
      <c r="A419" s="1"/>
      <c r="B419" s="1"/>
      <c r="C419" s="1"/>
      <c r="D419" s="1"/>
      <c r="E419" s="1"/>
      <c r="F419" s="1" t="s">
        <v>141</v>
      </c>
      <c r="G419" s="153"/>
      <c r="H419" s="153">
        <v>1.0</v>
      </c>
      <c r="I419" s="1"/>
      <c r="J419" s="1"/>
    </row>
    <row r="420" hidden="1" outlineLevel="1">
      <c r="A420" s="1"/>
      <c r="B420" s="1"/>
      <c r="C420" s="1"/>
      <c r="D420" s="1"/>
      <c r="E420" s="1"/>
      <c r="F420" s="1" t="s">
        <v>142</v>
      </c>
      <c r="G420" s="153"/>
      <c r="H420" s="153">
        <v>1.0</v>
      </c>
      <c r="I420" s="1"/>
      <c r="J420" s="1"/>
    </row>
    <row r="421" hidden="1" outlineLevel="1">
      <c r="A421" s="1"/>
      <c r="B421" s="1"/>
      <c r="C421" s="1"/>
      <c r="D421" s="1"/>
      <c r="E421" s="1"/>
      <c r="F421" s="13" t="s">
        <v>143</v>
      </c>
      <c r="G421" s="153"/>
      <c r="H421" s="153">
        <v>1.0</v>
      </c>
      <c r="I421" s="1"/>
      <c r="J421" s="1"/>
    </row>
    <row r="422" hidden="1" outlineLevel="1">
      <c r="A422" s="1"/>
      <c r="B422" s="1"/>
      <c r="C422" s="1"/>
      <c r="D422" s="1"/>
      <c r="E422" s="1"/>
      <c r="F422" s="13" t="s">
        <v>144</v>
      </c>
      <c r="G422" s="153"/>
      <c r="H422" s="153">
        <v>1.0</v>
      </c>
      <c r="I422" s="1"/>
      <c r="J422" s="1"/>
    </row>
    <row r="423" hidden="1" outlineLevel="1">
      <c r="A423" s="1"/>
      <c r="B423" s="1"/>
      <c r="C423" s="1"/>
      <c r="D423" s="1"/>
      <c r="E423" s="1"/>
      <c r="F423" s="13" t="s">
        <v>145</v>
      </c>
      <c r="G423" s="153"/>
      <c r="H423" s="153">
        <v>1.0</v>
      </c>
      <c r="I423" s="1"/>
      <c r="J423" s="1"/>
    </row>
    <row r="424" hidden="1" outlineLevel="1">
      <c r="A424" s="1"/>
      <c r="B424" s="1"/>
      <c r="C424" s="1"/>
      <c r="D424" s="1"/>
      <c r="E424" s="1"/>
      <c r="F424" s="13" t="s">
        <v>146</v>
      </c>
      <c r="G424" s="153"/>
      <c r="H424" s="153">
        <v>1.0</v>
      </c>
      <c r="I424" s="1"/>
      <c r="J424" s="1"/>
    </row>
    <row r="425" hidden="1" outlineLevel="1">
      <c r="A425" s="1"/>
      <c r="B425" s="1"/>
      <c r="C425" s="1"/>
      <c r="D425" s="1"/>
      <c r="E425" s="1"/>
      <c r="F425" s="13" t="s">
        <v>147</v>
      </c>
      <c r="G425" s="153"/>
      <c r="H425" s="153">
        <v>1.0</v>
      </c>
      <c r="I425" s="1"/>
      <c r="J425" s="1"/>
    </row>
    <row r="426" hidden="1" outlineLevel="1">
      <c r="A426" s="1"/>
      <c r="B426" s="1"/>
      <c r="C426" s="1"/>
      <c r="D426" s="1"/>
      <c r="E426" s="1"/>
      <c r="F426" s="13" t="s">
        <v>148</v>
      </c>
      <c r="G426" s="153"/>
      <c r="H426" s="153">
        <v>1.0</v>
      </c>
      <c r="I426" s="1"/>
      <c r="J426" s="1"/>
    </row>
    <row r="427" hidden="1" outlineLevel="1">
      <c r="A427" s="1"/>
      <c r="B427" s="1"/>
      <c r="C427" s="1"/>
      <c r="D427" s="1"/>
      <c r="E427" s="1"/>
      <c r="F427" s="1" t="s">
        <v>149</v>
      </c>
      <c r="G427" s="148"/>
      <c r="H427" s="148">
        <f t="shared" ref="H427:H436" si="7">ROUND(H283*H417,0)</f>
        <v>14</v>
      </c>
      <c r="I427" s="1"/>
      <c r="J427" s="1"/>
    </row>
    <row r="428" hidden="1" outlineLevel="1">
      <c r="A428" s="1"/>
      <c r="B428" s="1"/>
      <c r="C428" s="1"/>
      <c r="D428" s="1"/>
      <c r="E428" s="1"/>
      <c r="F428" s="1" t="s">
        <v>150</v>
      </c>
      <c r="G428" s="148"/>
      <c r="H428" s="173">
        <f t="shared" si="7"/>
        <v>2092500</v>
      </c>
      <c r="I428" s="1"/>
      <c r="J428" s="1"/>
    </row>
    <row r="429" hidden="1" outlineLevel="1">
      <c r="A429" s="1"/>
      <c r="B429" s="1"/>
      <c r="C429" s="1"/>
      <c r="D429" s="1"/>
      <c r="E429" s="1"/>
      <c r="F429" s="1" t="s">
        <v>151</v>
      </c>
      <c r="G429" s="148"/>
      <c r="H429" s="148">
        <f t="shared" si="7"/>
        <v>3</v>
      </c>
      <c r="I429" s="1"/>
      <c r="J429" s="1"/>
    </row>
    <row r="430" hidden="1" outlineLevel="1">
      <c r="A430" s="1"/>
      <c r="B430" s="1"/>
      <c r="C430" s="1"/>
      <c r="D430" s="1"/>
      <c r="E430" s="1"/>
      <c r="F430" s="1" t="s">
        <v>152</v>
      </c>
      <c r="G430" s="148"/>
      <c r="H430" s="148">
        <f t="shared" si="7"/>
        <v>88164</v>
      </c>
      <c r="I430" s="1"/>
      <c r="J430" s="1"/>
    </row>
    <row r="431" hidden="1" outlineLevel="1">
      <c r="A431" s="1"/>
      <c r="B431" s="1"/>
      <c r="C431" s="1"/>
      <c r="D431" s="1"/>
      <c r="E431" s="1"/>
      <c r="F431" s="13" t="s">
        <v>153</v>
      </c>
      <c r="G431" s="174"/>
      <c r="H431" s="174">
        <f t="shared" si="7"/>
        <v>0</v>
      </c>
      <c r="I431" s="1"/>
      <c r="J431" s="1"/>
    </row>
    <row r="432" hidden="1" outlineLevel="1">
      <c r="A432" s="1"/>
      <c r="B432" s="1"/>
      <c r="C432" s="1"/>
      <c r="D432" s="1"/>
      <c r="E432" s="1"/>
      <c r="F432" s="13" t="s">
        <v>154</v>
      </c>
      <c r="G432" s="174"/>
      <c r="H432" s="174">
        <f t="shared" si="7"/>
        <v>0</v>
      </c>
      <c r="I432" s="1"/>
      <c r="J432" s="1"/>
    </row>
    <row r="433" hidden="1" outlineLevel="1">
      <c r="A433" s="1"/>
      <c r="B433" s="1"/>
      <c r="C433" s="1"/>
      <c r="D433" s="1"/>
      <c r="E433" s="1"/>
      <c r="F433" s="13" t="s">
        <v>155</v>
      </c>
      <c r="G433" s="174"/>
      <c r="H433" s="174">
        <f t="shared" si="7"/>
        <v>5</v>
      </c>
      <c r="I433" s="1"/>
      <c r="J433" s="1"/>
    </row>
    <row r="434" hidden="1" outlineLevel="1">
      <c r="A434" s="1"/>
      <c r="B434" s="1"/>
      <c r="C434" s="1"/>
      <c r="D434" s="1"/>
      <c r="E434" s="1"/>
      <c r="F434" s="13" t="s">
        <v>156</v>
      </c>
      <c r="G434" s="174"/>
      <c r="H434" s="174">
        <f t="shared" si="7"/>
        <v>674250</v>
      </c>
      <c r="I434" s="1"/>
      <c r="J434" s="1"/>
    </row>
    <row r="435" hidden="1" outlineLevel="1">
      <c r="A435" s="1"/>
      <c r="B435" s="1"/>
      <c r="C435" s="1"/>
      <c r="D435" s="1"/>
      <c r="E435" s="1"/>
      <c r="F435" s="13" t="s">
        <v>157</v>
      </c>
      <c r="G435" s="174"/>
      <c r="H435" s="174">
        <f t="shared" si="7"/>
        <v>2</v>
      </c>
      <c r="I435" s="1"/>
      <c r="J435" s="1"/>
    </row>
    <row r="436" hidden="1" outlineLevel="1">
      <c r="A436" s="1"/>
      <c r="B436" s="1"/>
      <c r="C436" s="1"/>
      <c r="D436" s="1"/>
      <c r="E436" s="1"/>
      <c r="F436" s="13" t="s">
        <v>158</v>
      </c>
      <c r="G436" s="174"/>
      <c r="H436" s="174">
        <f t="shared" si="7"/>
        <v>0</v>
      </c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36" t="s">
        <v>47</v>
      </c>
      <c r="E438" s="1"/>
      <c r="F438" s="1"/>
      <c r="G438" s="138"/>
      <c r="H438" s="138"/>
      <c r="I438" s="1"/>
      <c r="J438" s="1"/>
    </row>
    <row r="439">
      <c r="A439" s="1"/>
      <c r="B439" s="1"/>
      <c r="C439" s="1"/>
      <c r="D439" s="1"/>
      <c r="E439" s="1" t="s">
        <v>159</v>
      </c>
      <c r="F439" s="1"/>
      <c r="G439" s="168"/>
      <c r="H439" s="168">
        <f>H440/H297</f>
        <v>1</v>
      </c>
      <c r="I439" s="1"/>
      <c r="J439" s="1"/>
    </row>
    <row r="440">
      <c r="A440" s="1"/>
      <c r="B440" s="1"/>
      <c r="C440" s="1"/>
      <c r="D440" s="1"/>
      <c r="E440" s="1" t="s">
        <v>160</v>
      </c>
      <c r="F440" s="1"/>
      <c r="G440" s="148"/>
      <c r="H440" s="148">
        <f>SUM(H453,H455,H457,H459)</f>
        <v>31</v>
      </c>
      <c r="I440" s="1"/>
      <c r="J440" s="1"/>
    </row>
    <row r="441">
      <c r="A441" s="1"/>
      <c r="B441" s="1"/>
      <c r="C441" s="1"/>
      <c r="D441" s="1"/>
      <c r="E441" s="1" t="s">
        <v>161</v>
      </c>
      <c r="F441" s="1"/>
      <c r="G441" s="168"/>
      <c r="H441" s="168">
        <f>H442/H299</f>
        <v>1</v>
      </c>
      <c r="I441" s="1"/>
      <c r="J441" s="1"/>
    </row>
    <row r="442" collapsed="1">
      <c r="A442" s="1"/>
      <c r="B442" s="1"/>
      <c r="C442" s="1"/>
      <c r="D442" s="1"/>
      <c r="E442" s="1" t="s">
        <v>162</v>
      </c>
      <c r="F442" s="1"/>
      <c r="G442" s="150"/>
      <c r="H442" s="150">
        <f>SUM(H454,H456,H458,H460)</f>
        <v>3055050</v>
      </c>
      <c r="I442" s="1"/>
      <c r="J442" s="1"/>
    </row>
    <row r="443" hidden="1" outlineLevel="1">
      <c r="A443" s="1"/>
      <c r="B443" s="1"/>
      <c r="C443" s="1"/>
      <c r="D443" s="1"/>
      <c r="E443" s="1"/>
      <c r="F443" s="1" t="s">
        <v>163</v>
      </c>
      <c r="G443" s="155"/>
      <c r="H443" s="155">
        <v>1.0</v>
      </c>
      <c r="I443" s="1"/>
      <c r="J443" s="1"/>
    </row>
    <row r="444" hidden="1" outlineLevel="1">
      <c r="A444" s="1"/>
      <c r="B444" s="1"/>
      <c r="C444" s="1"/>
      <c r="D444" s="1"/>
      <c r="E444" s="1"/>
      <c r="F444" s="1" t="s">
        <v>164</v>
      </c>
      <c r="G444" s="155"/>
      <c r="H444" s="155">
        <v>1.0</v>
      </c>
      <c r="I444" s="1"/>
      <c r="J444" s="1"/>
    </row>
    <row r="445" hidden="1" outlineLevel="1">
      <c r="A445" s="1"/>
      <c r="B445" s="1"/>
      <c r="C445" s="1"/>
      <c r="D445" s="1"/>
      <c r="E445" s="1"/>
      <c r="F445" s="1" t="s">
        <v>165</v>
      </c>
      <c r="G445" s="155"/>
      <c r="H445" s="155">
        <v>1.0</v>
      </c>
      <c r="I445" s="1"/>
      <c r="J445" s="1"/>
    </row>
    <row r="446" hidden="1" outlineLevel="1">
      <c r="A446" s="1"/>
      <c r="B446" s="1"/>
      <c r="C446" s="1"/>
      <c r="D446" s="1"/>
      <c r="E446" s="1"/>
      <c r="F446" s="1" t="s">
        <v>166</v>
      </c>
      <c r="G446" s="155"/>
      <c r="H446" s="155">
        <v>1.0</v>
      </c>
      <c r="I446" s="1"/>
      <c r="J446" s="1"/>
    </row>
    <row r="447" hidden="1" outlineLevel="1">
      <c r="A447" s="1"/>
      <c r="B447" s="1"/>
      <c r="C447" s="1"/>
      <c r="D447" s="1"/>
      <c r="E447" s="1"/>
      <c r="F447" s="13" t="s">
        <v>167</v>
      </c>
      <c r="G447" s="155"/>
      <c r="H447" s="155">
        <v>1.0</v>
      </c>
      <c r="I447" s="1"/>
      <c r="J447" s="1"/>
    </row>
    <row r="448" hidden="1" outlineLevel="1">
      <c r="A448" s="1"/>
      <c r="B448" s="1"/>
      <c r="C448" s="1"/>
      <c r="D448" s="1"/>
      <c r="E448" s="1"/>
      <c r="F448" s="13" t="s">
        <v>168</v>
      </c>
      <c r="G448" s="155"/>
      <c r="H448" s="155">
        <v>1.0</v>
      </c>
      <c r="I448" s="1"/>
      <c r="J448" s="1"/>
    </row>
    <row r="449" hidden="1" outlineLevel="1">
      <c r="A449" s="1"/>
      <c r="B449" s="1"/>
      <c r="C449" s="1"/>
      <c r="D449" s="1"/>
      <c r="E449" s="1"/>
      <c r="F449" s="13" t="s">
        <v>169</v>
      </c>
      <c r="G449" s="153"/>
      <c r="H449" s="153">
        <v>1.0</v>
      </c>
      <c r="I449" s="1"/>
      <c r="J449" s="1"/>
    </row>
    <row r="450" hidden="1" outlineLevel="1">
      <c r="A450" s="1"/>
      <c r="B450" s="1"/>
      <c r="C450" s="1"/>
      <c r="D450" s="1"/>
      <c r="E450" s="1"/>
      <c r="F450" s="13" t="s">
        <v>170</v>
      </c>
      <c r="G450" s="153"/>
      <c r="H450" s="153">
        <v>1.0</v>
      </c>
      <c r="I450" s="1"/>
      <c r="J450" s="1"/>
    </row>
    <row r="451" hidden="1" outlineLevel="1">
      <c r="A451" s="1"/>
      <c r="B451" s="1"/>
      <c r="C451" s="1"/>
      <c r="D451" s="1"/>
      <c r="E451" s="1"/>
      <c r="F451" s="13" t="s">
        <v>171</v>
      </c>
      <c r="G451" s="153"/>
      <c r="H451" s="153">
        <v>1.0</v>
      </c>
      <c r="I451" s="1"/>
      <c r="J451" s="1"/>
    </row>
    <row r="452" hidden="1" outlineLevel="1">
      <c r="A452" s="1"/>
      <c r="B452" s="1"/>
      <c r="C452" s="1"/>
      <c r="D452" s="1"/>
      <c r="E452" s="1"/>
      <c r="F452" s="13" t="s">
        <v>172</v>
      </c>
      <c r="G452" s="153"/>
      <c r="H452" s="153">
        <v>1.0</v>
      </c>
      <c r="I452" s="1"/>
      <c r="J452" s="1"/>
    </row>
    <row r="453" hidden="1" outlineLevel="1">
      <c r="A453" s="1"/>
      <c r="B453" s="1"/>
      <c r="C453" s="1"/>
      <c r="D453" s="1"/>
      <c r="E453" s="1"/>
      <c r="F453" s="1" t="s">
        <v>173</v>
      </c>
      <c r="G453" s="148"/>
      <c r="H453" s="148">
        <f t="shared" ref="H453:H462" si="8">ROUND(H310*H443,0)</f>
        <v>20</v>
      </c>
      <c r="I453" s="1"/>
      <c r="J453" s="1"/>
    </row>
    <row r="454" hidden="1" outlineLevel="1">
      <c r="A454" s="1"/>
      <c r="B454" s="1"/>
      <c r="C454" s="1"/>
      <c r="D454" s="1"/>
      <c r="E454" s="1"/>
      <c r="F454" s="1" t="s">
        <v>174</v>
      </c>
      <c r="G454" s="148"/>
      <c r="H454" s="148">
        <f t="shared" si="8"/>
        <v>2343600</v>
      </c>
      <c r="I454" s="1"/>
      <c r="J454" s="1"/>
    </row>
    <row r="455" hidden="1" outlineLevel="1">
      <c r="A455" s="1"/>
      <c r="B455" s="1"/>
      <c r="C455" s="1"/>
      <c r="D455" s="1"/>
      <c r="E455" s="1"/>
      <c r="F455" s="1" t="s">
        <v>175</v>
      </c>
      <c r="G455" s="148"/>
      <c r="H455" s="148">
        <f t="shared" si="8"/>
        <v>4</v>
      </c>
      <c r="I455" s="1"/>
      <c r="J455" s="1"/>
    </row>
    <row r="456" hidden="1" outlineLevel="1">
      <c r="A456" s="1"/>
      <c r="B456" s="1"/>
      <c r="C456" s="1"/>
      <c r="D456" s="1"/>
      <c r="E456" s="1"/>
      <c r="F456" s="1" t="s">
        <v>176</v>
      </c>
      <c r="G456" s="148"/>
      <c r="H456" s="148">
        <f t="shared" si="8"/>
        <v>66960</v>
      </c>
      <c r="I456" s="1"/>
      <c r="J456" s="1"/>
    </row>
    <row r="457" hidden="1" outlineLevel="1">
      <c r="A457" s="1"/>
      <c r="B457" s="1"/>
      <c r="C457" s="1"/>
      <c r="D457" s="1"/>
      <c r="E457" s="1"/>
      <c r="F457" s="13" t="s">
        <v>177</v>
      </c>
      <c r="G457" s="148"/>
      <c r="H457" s="148">
        <f t="shared" si="8"/>
        <v>0</v>
      </c>
      <c r="I457" s="1"/>
      <c r="J457" s="1"/>
    </row>
    <row r="458" hidden="1" outlineLevel="1">
      <c r="A458" s="1"/>
      <c r="B458" s="1"/>
      <c r="C458" s="1"/>
      <c r="D458" s="1"/>
      <c r="E458" s="1"/>
      <c r="F458" s="13" t="s">
        <v>178</v>
      </c>
      <c r="G458" s="148"/>
      <c r="H458" s="148">
        <f t="shared" si="8"/>
        <v>0</v>
      </c>
      <c r="I458" s="1"/>
      <c r="J458" s="1"/>
    </row>
    <row r="459" hidden="1" outlineLevel="1">
      <c r="A459" s="1"/>
      <c r="B459" s="1"/>
      <c r="C459" s="1"/>
      <c r="D459" s="1"/>
      <c r="E459" s="1"/>
      <c r="F459" s="13" t="s">
        <v>179</v>
      </c>
      <c r="G459" s="148"/>
      <c r="H459" s="148">
        <f t="shared" si="8"/>
        <v>7</v>
      </c>
      <c r="I459" s="1"/>
      <c r="J459" s="1"/>
    </row>
    <row r="460" hidden="1" outlineLevel="1">
      <c r="A460" s="1"/>
      <c r="B460" s="1"/>
      <c r="C460" s="1"/>
      <c r="D460" s="1"/>
      <c r="E460" s="1"/>
      <c r="F460" s="13" t="s">
        <v>180</v>
      </c>
      <c r="G460" s="148"/>
      <c r="H460" s="148">
        <f t="shared" si="8"/>
        <v>644490</v>
      </c>
      <c r="I460" s="1"/>
      <c r="J460" s="1"/>
    </row>
    <row r="461" hidden="1" outlineLevel="1">
      <c r="A461" s="1"/>
      <c r="B461" s="1"/>
      <c r="C461" s="1"/>
      <c r="D461" s="1"/>
      <c r="E461" s="1"/>
      <c r="F461" s="13" t="s">
        <v>181</v>
      </c>
      <c r="G461" s="148"/>
      <c r="H461" s="148">
        <f t="shared" si="8"/>
        <v>3</v>
      </c>
      <c r="I461" s="1"/>
      <c r="J461" s="1"/>
    </row>
    <row r="462" hidden="1" outlineLevel="1">
      <c r="A462" s="1"/>
      <c r="B462" s="1"/>
      <c r="C462" s="1"/>
      <c r="D462" s="1"/>
      <c r="E462" s="1"/>
      <c r="F462" s="13" t="s">
        <v>182</v>
      </c>
      <c r="G462" s="148"/>
      <c r="H462" s="148">
        <f t="shared" si="8"/>
        <v>0</v>
      </c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36" t="s">
        <v>48</v>
      </c>
      <c r="E464" s="1"/>
      <c r="F464" s="1"/>
      <c r="G464" s="138"/>
      <c r="H464" s="138"/>
      <c r="I464" s="1"/>
      <c r="J464" s="1"/>
    </row>
    <row r="465">
      <c r="A465" s="1"/>
      <c r="B465" s="1"/>
      <c r="C465" s="1"/>
      <c r="D465" s="1"/>
      <c r="E465" s="1" t="s">
        <v>183</v>
      </c>
      <c r="F465" s="1"/>
      <c r="G465" s="168"/>
      <c r="H465" s="168">
        <f>H466/H324</f>
        <v>1</v>
      </c>
      <c r="I465" s="1"/>
      <c r="J465" s="1"/>
    </row>
    <row r="466">
      <c r="A466" s="1"/>
      <c r="B466" s="1"/>
      <c r="C466" s="1"/>
      <c r="D466" s="1"/>
      <c r="E466" s="1" t="s">
        <v>184</v>
      </c>
      <c r="F466" s="1"/>
      <c r="G466" s="148"/>
      <c r="H466" s="148">
        <f>SUM(H479,H481,H483,H485)</f>
        <v>153</v>
      </c>
      <c r="I466" s="1"/>
      <c r="J466" s="1"/>
    </row>
    <row r="467">
      <c r="A467" s="1"/>
      <c r="B467" s="1"/>
      <c r="C467" s="1"/>
      <c r="D467" s="1"/>
      <c r="E467" s="1" t="s">
        <v>185</v>
      </c>
      <c r="F467" s="1"/>
      <c r="G467" s="168"/>
      <c r="H467" s="168">
        <f>H468/H326</f>
        <v>1</v>
      </c>
      <c r="I467" s="1"/>
      <c r="J467" s="1"/>
    </row>
    <row r="468" collapsed="1">
      <c r="A468" s="1"/>
      <c r="B468" s="1"/>
      <c r="C468" s="1"/>
      <c r="D468" s="1"/>
      <c r="E468" s="1" t="s">
        <v>186</v>
      </c>
      <c r="F468" s="1"/>
      <c r="G468" s="150"/>
      <c r="H468" s="150">
        <f>SUM(H480,H482,H484,H486)</f>
        <v>11584080</v>
      </c>
      <c r="I468" s="1"/>
      <c r="J468" s="1"/>
    </row>
    <row r="469" hidden="1" outlineLevel="1">
      <c r="A469" s="1"/>
      <c r="B469" s="1"/>
      <c r="C469" s="1"/>
      <c r="D469" s="1"/>
      <c r="E469" s="1"/>
      <c r="F469" s="1" t="s">
        <v>187</v>
      </c>
      <c r="G469" s="155"/>
      <c r="H469" s="155">
        <v>1.0</v>
      </c>
      <c r="I469" s="1"/>
      <c r="J469" s="1"/>
    </row>
    <row r="470" hidden="1" outlineLevel="1">
      <c r="A470" s="1"/>
      <c r="B470" s="1"/>
      <c r="C470" s="1"/>
      <c r="D470" s="1"/>
      <c r="E470" s="1"/>
      <c r="F470" s="1" t="s">
        <v>188</v>
      </c>
      <c r="G470" s="155"/>
      <c r="H470" s="155">
        <v>1.0</v>
      </c>
      <c r="I470" s="1"/>
      <c r="J470" s="1"/>
    </row>
    <row r="471" hidden="1" outlineLevel="1">
      <c r="A471" s="1"/>
      <c r="B471" s="1"/>
      <c r="C471" s="1"/>
      <c r="D471" s="1"/>
      <c r="E471" s="1"/>
      <c r="F471" s="1" t="s">
        <v>189</v>
      </c>
      <c r="G471" s="155"/>
      <c r="H471" s="155">
        <v>1.0</v>
      </c>
      <c r="I471" s="1"/>
      <c r="J471" s="1"/>
    </row>
    <row r="472" hidden="1" outlineLevel="1">
      <c r="A472" s="1"/>
      <c r="B472" s="1"/>
      <c r="C472" s="1"/>
      <c r="D472" s="1"/>
      <c r="E472" s="1"/>
      <c r="F472" s="1" t="s">
        <v>190</v>
      </c>
      <c r="G472" s="155"/>
      <c r="H472" s="155">
        <v>1.0</v>
      </c>
      <c r="I472" s="1"/>
      <c r="J472" s="1"/>
    </row>
    <row r="473" hidden="1" outlineLevel="1">
      <c r="A473" s="1"/>
      <c r="B473" s="1"/>
      <c r="C473" s="1"/>
      <c r="D473" s="1"/>
      <c r="E473" s="1"/>
      <c r="F473" s="13" t="s">
        <v>191</v>
      </c>
      <c r="G473" s="155"/>
      <c r="H473" s="155">
        <v>1.0</v>
      </c>
      <c r="I473" s="1"/>
      <c r="J473" s="1"/>
    </row>
    <row r="474" hidden="1" outlineLevel="1">
      <c r="A474" s="1"/>
      <c r="B474" s="1"/>
      <c r="C474" s="1"/>
      <c r="D474" s="1"/>
      <c r="E474" s="1"/>
      <c r="F474" s="13" t="s">
        <v>192</v>
      </c>
      <c r="G474" s="155"/>
      <c r="H474" s="155">
        <v>1.0</v>
      </c>
      <c r="I474" s="1"/>
      <c r="J474" s="1"/>
    </row>
    <row r="475" hidden="1" outlineLevel="1">
      <c r="A475" s="1"/>
      <c r="B475" s="1"/>
      <c r="C475" s="1"/>
      <c r="D475" s="1"/>
      <c r="E475" s="1"/>
      <c r="F475" s="13" t="s">
        <v>193</v>
      </c>
      <c r="G475" s="155"/>
      <c r="H475" s="155">
        <v>1.0</v>
      </c>
      <c r="I475" s="1"/>
      <c r="J475" s="1"/>
    </row>
    <row r="476" hidden="1" outlineLevel="1">
      <c r="A476" s="1"/>
      <c r="B476" s="1"/>
      <c r="C476" s="1"/>
      <c r="D476" s="1"/>
      <c r="E476" s="1"/>
      <c r="F476" s="13" t="s">
        <v>194</v>
      </c>
      <c r="G476" s="155"/>
      <c r="H476" s="155">
        <v>1.0</v>
      </c>
      <c r="I476" s="1"/>
      <c r="J476" s="1"/>
    </row>
    <row r="477" hidden="1" outlineLevel="1">
      <c r="A477" s="1"/>
      <c r="B477" s="1"/>
      <c r="C477" s="1"/>
      <c r="D477" s="1"/>
      <c r="E477" s="1"/>
      <c r="F477" s="13" t="s">
        <v>195</v>
      </c>
      <c r="G477" s="155"/>
      <c r="H477" s="155">
        <v>1.0</v>
      </c>
      <c r="I477" s="1"/>
      <c r="J477" s="1"/>
    </row>
    <row r="478" hidden="1" outlineLevel="1">
      <c r="A478" s="1"/>
      <c r="B478" s="1"/>
      <c r="C478" s="1"/>
      <c r="D478" s="1"/>
      <c r="E478" s="1"/>
      <c r="F478" s="13" t="s">
        <v>196</v>
      </c>
      <c r="G478" s="155"/>
      <c r="H478" s="155">
        <v>1.0</v>
      </c>
      <c r="I478" s="1"/>
      <c r="J478" s="1"/>
    </row>
    <row r="479" hidden="1" outlineLevel="1">
      <c r="A479" s="1"/>
      <c r="B479" s="1"/>
      <c r="C479" s="1"/>
      <c r="D479" s="1"/>
      <c r="E479" s="1"/>
      <c r="F479" s="1" t="s">
        <v>197</v>
      </c>
      <c r="G479" s="148"/>
      <c r="H479" s="148">
        <f t="shared" ref="H479:H488" si="9">ROUND(H337*H469,0)</f>
        <v>91</v>
      </c>
      <c r="I479" s="1"/>
      <c r="J479" s="1"/>
    </row>
    <row r="480" hidden="1" outlineLevel="1">
      <c r="A480" s="1"/>
      <c r="B480" s="1"/>
      <c r="C480" s="1"/>
      <c r="D480" s="1"/>
      <c r="E480" s="1"/>
      <c r="F480" s="1" t="s">
        <v>198</v>
      </c>
      <c r="G480" s="148"/>
      <c r="H480" s="148">
        <f t="shared" si="9"/>
        <v>9114000</v>
      </c>
      <c r="I480" s="1"/>
      <c r="J480" s="1"/>
    </row>
    <row r="481" hidden="1" outlineLevel="1">
      <c r="A481" s="1"/>
      <c r="B481" s="1"/>
      <c r="C481" s="1"/>
      <c r="D481" s="1"/>
      <c r="E481" s="1"/>
      <c r="F481" s="1" t="s">
        <v>199</v>
      </c>
      <c r="G481" s="148"/>
      <c r="H481" s="148">
        <f t="shared" si="9"/>
        <v>16</v>
      </c>
      <c r="I481" s="1"/>
      <c r="J481" s="1"/>
    </row>
    <row r="482" hidden="1" outlineLevel="1">
      <c r="A482" s="1"/>
      <c r="B482" s="1"/>
      <c r="C482" s="1"/>
      <c r="D482" s="1"/>
      <c r="E482" s="1"/>
      <c r="F482" s="1" t="s">
        <v>200</v>
      </c>
      <c r="G482" s="148"/>
      <c r="H482" s="148">
        <f t="shared" si="9"/>
        <v>237150</v>
      </c>
      <c r="I482" s="1"/>
      <c r="J482" s="1"/>
    </row>
    <row r="483" hidden="1" outlineLevel="1">
      <c r="A483" s="1"/>
      <c r="B483" s="1"/>
      <c r="C483" s="1"/>
      <c r="D483" s="1"/>
      <c r="E483" s="1"/>
      <c r="F483" s="13" t="s">
        <v>201</v>
      </c>
      <c r="G483" s="148"/>
      <c r="H483" s="148">
        <f t="shared" si="9"/>
        <v>0</v>
      </c>
      <c r="I483" s="1"/>
      <c r="J483" s="1"/>
    </row>
    <row r="484" hidden="1" outlineLevel="1">
      <c r="A484" s="1"/>
      <c r="B484" s="1"/>
      <c r="C484" s="1"/>
      <c r="D484" s="1"/>
      <c r="E484" s="1"/>
      <c r="F484" s="13" t="s">
        <v>202</v>
      </c>
      <c r="G484" s="148"/>
      <c r="H484" s="148">
        <f t="shared" si="9"/>
        <v>0</v>
      </c>
      <c r="I484" s="1"/>
      <c r="J484" s="1"/>
    </row>
    <row r="485" hidden="1" outlineLevel="1">
      <c r="A485" s="1"/>
      <c r="B485" s="1"/>
      <c r="C485" s="1"/>
      <c r="D485" s="1"/>
      <c r="E485" s="1"/>
      <c r="F485" s="13" t="s">
        <v>203</v>
      </c>
      <c r="G485" s="148"/>
      <c r="H485" s="148">
        <f t="shared" si="9"/>
        <v>46</v>
      </c>
      <c r="I485" s="1"/>
      <c r="J485" s="1"/>
    </row>
    <row r="486" hidden="1" outlineLevel="1">
      <c r="A486" s="1"/>
      <c r="B486" s="1"/>
      <c r="C486" s="1"/>
      <c r="D486" s="1"/>
      <c r="E486" s="1"/>
      <c r="F486" s="13" t="s">
        <v>204</v>
      </c>
      <c r="G486" s="148"/>
      <c r="H486" s="148">
        <f t="shared" si="9"/>
        <v>2232930</v>
      </c>
      <c r="I486" s="1"/>
      <c r="J486" s="1"/>
    </row>
    <row r="487" hidden="1" outlineLevel="1">
      <c r="A487" s="1"/>
      <c r="B487" s="1"/>
      <c r="C487" s="1"/>
      <c r="D487" s="1"/>
      <c r="E487" s="1"/>
      <c r="F487" s="13" t="s">
        <v>205</v>
      </c>
      <c r="G487" s="148"/>
      <c r="H487" s="148">
        <f t="shared" si="9"/>
        <v>0</v>
      </c>
      <c r="I487" s="1"/>
      <c r="J487" s="1"/>
    </row>
    <row r="488" hidden="1" outlineLevel="1">
      <c r="A488" s="1"/>
      <c r="B488" s="1"/>
      <c r="C488" s="1"/>
      <c r="D488" s="1"/>
      <c r="E488" s="1"/>
      <c r="F488" s="13" t="s">
        <v>206</v>
      </c>
      <c r="G488" s="148"/>
      <c r="H488" s="148">
        <f t="shared" si="9"/>
        <v>0</v>
      </c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36" t="s">
        <v>49</v>
      </c>
      <c r="E490" s="1"/>
      <c r="F490" s="1"/>
      <c r="G490" s="138"/>
      <c r="H490" s="138"/>
      <c r="I490" s="1"/>
      <c r="J490" s="1"/>
    </row>
    <row r="491">
      <c r="A491" s="1"/>
      <c r="B491" s="1"/>
      <c r="C491" s="1"/>
      <c r="D491" s="1"/>
      <c r="E491" s="1" t="s">
        <v>207</v>
      </c>
      <c r="F491" s="1"/>
      <c r="G491" s="168"/>
      <c r="H491" s="168">
        <f>H492/H351</f>
        <v>1</v>
      </c>
      <c r="I491" s="1"/>
      <c r="J491" s="1"/>
    </row>
    <row r="492">
      <c r="A492" s="1"/>
      <c r="B492" s="1"/>
      <c r="C492" s="1"/>
      <c r="D492" s="1"/>
      <c r="E492" s="1" t="s">
        <v>208</v>
      </c>
      <c r="F492" s="1"/>
      <c r="G492" s="148"/>
      <c r="H492" s="148">
        <f>SUM(H505,H507,H509,H513)</f>
        <v>360</v>
      </c>
      <c r="I492" s="1"/>
      <c r="J492" s="1"/>
    </row>
    <row r="493">
      <c r="A493" s="1"/>
      <c r="B493" s="1"/>
      <c r="C493" s="1"/>
      <c r="D493" s="1"/>
      <c r="E493" s="1" t="s">
        <v>209</v>
      </c>
      <c r="F493" s="1"/>
      <c r="G493" s="168"/>
      <c r="H493" s="168">
        <f>H494/H353</f>
        <v>1</v>
      </c>
      <c r="I493" s="1"/>
      <c r="J493" s="1"/>
    </row>
    <row r="494" collapsed="1">
      <c r="A494" s="1"/>
      <c r="B494" s="1"/>
      <c r="C494" s="1"/>
      <c r="D494" s="1"/>
      <c r="E494" s="1" t="s">
        <v>210</v>
      </c>
      <c r="F494" s="1"/>
      <c r="G494" s="150"/>
      <c r="H494" s="150">
        <f>SUM(H506,H508,H510,H514)</f>
        <v>12329010</v>
      </c>
      <c r="I494" s="1"/>
      <c r="J494" s="1"/>
    </row>
    <row r="495" hidden="1" outlineLevel="1">
      <c r="A495" s="1"/>
      <c r="B495" s="1"/>
      <c r="C495" s="1"/>
      <c r="D495" s="1"/>
      <c r="E495" s="1"/>
      <c r="F495" s="1" t="s">
        <v>211</v>
      </c>
      <c r="G495" s="155"/>
      <c r="H495" s="155">
        <v>1.0</v>
      </c>
      <c r="I495" s="1"/>
      <c r="J495" s="1"/>
    </row>
    <row r="496" hidden="1" outlineLevel="1">
      <c r="A496" s="1"/>
      <c r="B496" s="1"/>
      <c r="C496" s="1"/>
      <c r="D496" s="1"/>
      <c r="E496" s="1"/>
      <c r="F496" s="1" t="s">
        <v>212</v>
      </c>
      <c r="G496" s="155"/>
      <c r="H496" s="155">
        <v>1.0</v>
      </c>
      <c r="I496" s="1"/>
      <c r="J496" s="1"/>
    </row>
    <row r="497" hidden="1" outlineLevel="1">
      <c r="A497" s="1"/>
      <c r="B497" s="1"/>
      <c r="C497" s="1"/>
      <c r="D497" s="1"/>
      <c r="E497" s="1"/>
      <c r="F497" s="1" t="s">
        <v>213</v>
      </c>
      <c r="G497" s="155"/>
      <c r="H497" s="155">
        <v>1.0</v>
      </c>
      <c r="I497" s="1"/>
      <c r="J497" s="1"/>
    </row>
    <row r="498" hidden="1" outlineLevel="1">
      <c r="A498" s="1"/>
      <c r="B498" s="1"/>
      <c r="C498" s="1"/>
      <c r="D498" s="1"/>
      <c r="E498" s="1"/>
      <c r="F498" s="1" t="s">
        <v>214</v>
      </c>
      <c r="G498" s="155"/>
      <c r="H498" s="155">
        <v>1.0</v>
      </c>
      <c r="I498" s="1"/>
      <c r="J498" s="1"/>
    </row>
    <row r="499" hidden="1" outlineLevel="1">
      <c r="A499" s="1"/>
      <c r="B499" s="1"/>
      <c r="C499" s="1"/>
      <c r="D499" s="1"/>
      <c r="E499" s="1"/>
      <c r="F499" s="13" t="s">
        <v>215</v>
      </c>
      <c r="G499" s="153"/>
      <c r="H499" s="153">
        <v>0.0</v>
      </c>
      <c r="I499" s="1"/>
      <c r="J499" s="1"/>
    </row>
    <row r="500" hidden="1" outlineLevel="1">
      <c r="A500" s="1"/>
      <c r="B500" s="1"/>
      <c r="C500" s="1"/>
      <c r="D500" s="1"/>
      <c r="E500" s="1"/>
      <c r="F500" s="13" t="s">
        <v>216</v>
      </c>
      <c r="G500" s="153"/>
      <c r="H500" s="153">
        <v>0.0</v>
      </c>
      <c r="I500" s="1"/>
      <c r="J500" s="1"/>
    </row>
    <row r="501" hidden="1" outlineLevel="1">
      <c r="A501" s="1"/>
      <c r="B501" s="1"/>
      <c r="C501" s="1"/>
      <c r="D501" s="1"/>
      <c r="E501" s="1"/>
      <c r="F501" s="13" t="s">
        <v>217</v>
      </c>
      <c r="G501" s="153"/>
      <c r="H501" s="153">
        <v>0.0</v>
      </c>
      <c r="I501" s="1"/>
      <c r="J501" s="1"/>
    </row>
    <row r="502" hidden="1" outlineLevel="1">
      <c r="A502" s="1"/>
      <c r="B502" s="1"/>
      <c r="C502" s="1"/>
      <c r="D502" s="1"/>
      <c r="E502" s="1"/>
      <c r="F502" s="13" t="s">
        <v>218</v>
      </c>
      <c r="G502" s="153"/>
      <c r="H502" s="153">
        <v>0.0</v>
      </c>
      <c r="I502" s="1"/>
      <c r="J502" s="1"/>
    </row>
    <row r="503" hidden="1" outlineLevel="1">
      <c r="A503" s="1"/>
      <c r="B503" s="1"/>
      <c r="C503" s="1"/>
      <c r="D503" s="1"/>
      <c r="E503" s="1"/>
      <c r="F503" s="13" t="s">
        <v>219</v>
      </c>
      <c r="G503" s="153"/>
      <c r="H503" s="153">
        <v>0.0</v>
      </c>
      <c r="I503" s="1"/>
      <c r="J503" s="1"/>
    </row>
    <row r="504" hidden="1" outlineLevel="1">
      <c r="A504" s="1"/>
      <c r="B504" s="1"/>
      <c r="C504" s="1"/>
      <c r="D504" s="1"/>
      <c r="E504" s="1"/>
      <c r="F504" s="13" t="s">
        <v>220</v>
      </c>
      <c r="G504" s="153"/>
      <c r="H504" s="153">
        <v>0.0</v>
      </c>
      <c r="I504" s="1"/>
      <c r="J504" s="1"/>
    </row>
    <row r="505" hidden="1" outlineLevel="1">
      <c r="A505" s="1"/>
      <c r="B505" s="1"/>
      <c r="C505" s="1"/>
      <c r="D505" s="1"/>
      <c r="E505" s="1"/>
      <c r="F505" s="13" t="s">
        <v>221</v>
      </c>
      <c r="G505" s="148"/>
      <c r="H505" s="148">
        <f t="shared" ref="H505:H514" si="10">ROUND(H364*H495,0)</f>
        <v>287</v>
      </c>
      <c r="I505" s="1"/>
      <c r="J505" s="1"/>
    </row>
    <row r="506" hidden="1" outlineLevel="1">
      <c r="A506" s="1"/>
      <c r="B506" s="1"/>
      <c r="C506" s="1"/>
      <c r="D506" s="1"/>
      <c r="E506" s="1"/>
      <c r="F506" s="13" t="s">
        <v>222</v>
      </c>
      <c r="G506" s="148"/>
      <c r="H506" s="148">
        <f t="shared" si="10"/>
        <v>11494800</v>
      </c>
      <c r="I506" s="1"/>
      <c r="J506" s="1"/>
    </row>
    <row r="507" hidden="1" outlineLevel="1">
      <c r="A507" s="1"/>
      <c r="B507" s="1"/>
      <c r="C507" s="1"/>
      <c r="D507" s="1"/>
      <c r="E507" s="1"/>
      <c r="F507" s="13" t="s">
        <v>223</v>
      </c>
      <c r="G507" s="148"/>
      <c r="H507" s="148">
        <f t="shared" si="10"/>
        <v>73</v>
      </c>
      <c r="I507" s="1"/>
      <c r="J507" s="1"/>
    </row>
    <row r="508" hidden="1" outlineLevel="1">
      <c r="A508" s="1"/>
      <c r="B508" s="1"/>
      <c r="C508" s="1"/>
      <c r="D508" s="1"/>
      <c r="E508" s="1"/>
      <c r="F508" s="13" t="s">
        <v>224</v>
      </c>
      <c r="G508" s="148"/>
      <c r="H508" s="148">
        <f t="shared" si="10"/>
        <v>834210</v>
      </c>
      <c r="I508" s="1"/>
      <c r="J508" s="1"/>
    </row>
    <row r="509" hidden="1" outlineLevel="1">
      <c r="A509" s="1"/>
      <c r="B509" s="1"/>
      <c r="C509" s="1"/>
      <c r="D509" s="1"/>
      <c r="E509" s="1"/>
      <c r="F509" s="13" t="s">
        <v>225</v>
      </c>
      <c r="G509" s="148"/>
      <c r="H509" s="148">
        <f t="shared" si="10"/>
        <v>0</v>
      </c>
      <c r="I509" s="1"/>
      <c r="J509" s="1"/>
    </row>
    <row r="510" hidden="1" outlineLevel="1">
      <c r="A510" s="1"/>
      <c r="B510" s="1"/>
      <c r="C510" s="1"/>
      <c r="D510" s="1"/>
      <c r="E510" s="1"/>
      <c r="F510" s="13" t="s">
        <v>226</v>
      </c>
      <c r="G510" s="148"/>
      <c r="H510" s="148">
        <f t="shared" si="10"/>
        <v>0</v>
      </c>
      <c r="I510" s="1"/>
      <c r="J510" s="1"/>
    </row>
    <row r="511" hidden="1" outlineLevel="1">
      <c r="A511" s="1"/>
      <c r="B511" s="1"/>
      <c r="C511" s="1"/>
      <c r="D511" s="1"/>
      <c r="E511" s="1"/>
      <c r="F511" s="13" t="s">
        <v>227</v>
      </c>
      <c r="G511" s="148"/>
      <c r="H511" s="148">
        <f t="shared" si="10"/>
        <v>0</v>
      </c>
      <c r="I511" s="1"/>
      <c r="J511" s="1"/>
    </row>
    <row r="512" hidden="1" outlineLevel="1">
      <c r="A512" s="1"/>
      <c r="B512" s="1"/>
      <c r="C512" s="1"/>
      <c r="D512" s="1"/>
      <c r="E512" s="1"/>
      <c r="F512" s="13" t="s">
        <v>228</v>
      </c>
      <c r="G512" s="148"/>
      <c r="H512" s="148">
        <f t="shared" si="10"/>
        <v>0</v>
      </c>
      <c r="I512" s="1"/>
      <c r="J512" s="1"/>
    </row>
    <row r="513" hidden="1" outlineLevel="1">
      <c r="A513" s="1"/>
      <c r="B513" s="1"/>
      <c r="C513" s="1"/>
      <c r="D513" s="1"/>
      <c r="E513" s="1"/>
      <c r="F513" s="13" t="s">
        <v>229</v>
      </c>
      <c r="G513" s="148"/>
      <c r="H513" s="148">
        <f t="shared" si="10"/>
        <v>0</v>
      </c>
      <c r="I513" s="1"/>
      <c r="J513" s="1"/>
    </row>
    <row r="514" hidden="1" outlineLevel="1">
      <c r="A514" s="1"/>
      <c r="B514" s="1"/>
      <c r="C514" s="1"/>
      <c r="D514" s="1"/>
      <c r="E514" s="1"/>
      <c r="F514" s="13" t="s">
        <v>230</v>
      </c>
      <c r="G514" s="148"/>
      <c r="H514" s="148">
        <f t="shared" si="10"/>
        <v>0</v>
      </c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36" t="s">
        <v>50</v>
      </c>
      <c r="E516" s="1"/>
      <c r="F516" s="1"/>
      <c r="G516" s="138"/>
      <c r="H516" s="138"/>
      <c r="I516" s="1"/>
      <c r="J516" s="1"/>
    </row>
    <row r="517">
      <c r="A517" s="1"/>
      <c r="B517" s="1"/>
      <c r="C517" s="1"/>
      <c r="D517" s="1"/>
      <c r="E517" s="1" t="s">
        <v>231</v>
      </c>
      <c r="F517" s="1"/>
      <c r="G517" s="168"/>
      <c r="H517" s="168">
        <f>H518/H378</f>
        <v>1</v>
      </c>
      <c r="I517" s="1"/>
      <c r="J517" s="1"/>
    </row>
    <row r="518">
      <c r="A518" s="1"/>
      <c r="B518" s="1"/>
      <c r="C518" s="1"/>
      <c r="D518" s="1"/>
      <c r="E518" s="1" t="s">
        <v>232</v>
      </c>
      <c r="F518" s="1"/>
      <c r="G518" s="148"/>
      <c r="H518" s="148">
        <f>SUM(H531,H533,H535,H537)</f>
        <v>170</v>
      </c>
      <c r="I518" s="1"/>
      <c r="J518" s="1"/>
    </row>
    <row r="519">
      <c r="A519" s="1"/>
      <c r="B519" s="1"/>
      <c r="C519" s="1"/>
      <c r="D519" s="1"/>
      <c r="E519" s="1" t="s">
        <v>233</v>
      </c>
      <c r="F519" s="1"/>
      <c r="G519" s="168"/>
      <c r="H519" s="168">
        <f>H520/H380</f>
        <v>1</v>
      </c>
      <c r="I519" s="1"/>
      <c r="J519" s="1"/>
    </row>
    <row r="520" collapsed="1">
      <c r="A520" s="1"/>
      <c r="B520" s="1"/>
      <c r="C520" s="1"/>
      <c r="D520" s="1"/>
      <c r="E520" s="1" t="s">
        <v>234</v>
      </c>
      <c r="F520" s="1"/>
      <c r="G520" s="150"/>
      <c r="H520" s="150">
        <f>SUM(H532,H534,H536,H538)</f>
        <v>4331475</v>
      </c>
      <c r="I520" s="1"/>
      <c r="J520" s="1"/>
    </row>
    <row r="521" hidden="1" outlineLevel="1">
      <c r="A521" s="1"/>
      <c r="B521" s="1"/>
      <c r="C521" s="1"/>
      <c r="D521" s="1"/>
      <c r="E521" s="1"/>
      <c r="F521" s="1" t="s">
        <v>235</v>
      </c>
      <c r="G521" s="155"/>
      <c r="H521" s="155">
        <v>1.0</v>
      </c>
      <c r="I521" s="1"/>
      <c r="J521" s="1"/>
    </row>
    <row r="522" hidden="1" outlineLevel="1">
      <c r="A522" s="1"/>
      <c r="B522" s="1"/>
      <c r="C522" s="1"/>
      <c r="D522" s="1"/>
      <c r="E522" s="1"/>
      <c r="F522" s="1" t="s">
        <v>236</v>
      </c>
      <c r="G522" s="155"/>
      <c r="H522" s="155">
        <v>1.0</v>
      </c>
      <c r="I522" s="1"/>
      <c r="J522" s="1"/>
    </row>
    <row r="523" hidden="1" outlineLevel="1">
      <c r="A523" s="1"/>
      <c r="B523" s="1"/>
      <c r="C523" s="1"/>
      <c r="D523" s="1"/>
      <c r="E523" s="1"/>
      <c r="F523" s="1" t="s">
        <v>237</v>
      </c>
      <c r="G523" s="155"/>
      <c r="H523" s="155">
        <v>1.0</v>
      </c>
      <c r="I523" s="1"/>
      <c r="J523" s="1"/>
    </row>
    <row r="524" hidden="1" outlineLevel="1">
      <c r="A524" s="1"/>
      <c r="B524" s="1"/>
      <c r="C524" s="1"/>
      <c r="D524" s="1"/>
      <c r="E524" s="1"/>
      <c r="F524" s="1" t="s">
        <v>238</v>
      </c>
      <c r="G524" s="155"/>
      <c r="H524" s="155">
        <v>1.0</v>
      </c>
      <c r="I524" s="1"/>
      <c r="J524" s="1"/>
    </row>
    <row r="525" hidden="1" outlineLevel="1">
      <c r="A525" s="1"/>
      <c r="B525" s="1"/>
      <c r="C525" s="1"/>
      <c r="D525" s="1"/>
      <c r="E525" s="1"/>
      <c r="F525" s="13" t="s">
        <v>239</v>
      </c>
      <c r="G525" s="153"/>
      <c r="H525" s="153">
        <v>0.0</v>
      </c>
      <c r="I525" s="1"/>
      <c r="J525" s="1"/>
    </row>
    <row r="526" hidden="1" outlineLevel="1">
      <c r="A526" s="1"/>
      <c r="B526" s="1"/>
      <c r="C526" s="1"/>
      <c r="D526" s="1"/>
      <c r="E526" s="1"/>
      <c r="F526" s="13" t="s">
        <v>240</v>
      </c>
      <c r="G526" s="153"/>
      <c r="H526" s="153">
        <v>0.0</v>
      </c>
      <c r="I526" s="1"/>
      <c r="J526" s="1"/>
    </row>
    <row r="527" hidden="1" outlineLevel="1">
      <c r="A527" s="1"/>
      <c r="B527" s="1"/>
      <c r="C527" s="1"/>
      <c r="D527" s="1"/>
      <c r="E527" s="1"/>
      <c r="F527" s="13" t="s">
        <v>241</v>
      </c>
      <c r="G527" s="153"/>
      <c r="H527" s="153">
        <v>0.0</v>
      </c>
      <c r="I527" s="1"/>
      <c r="J527" s="1"/>
    </row>
    <row r="528" hidden="1" outlineLevel="1">
      <c r="A528" s="1"/>
      <c r="B528" s="1"/>
      <c r="C528" s="1"/>
      <c r="D528" s="1"/>
      <c r="E528" s="1"/>
      <c r="F528" s="13" t="s">
        <v>242</v>
      </c>
      <c r="G528" s="153"/>
      <c r="H528" s="153">
        <v>0.0</v>
      </c>
      <c r="I528" s="1"/>
      <c r="J528" s="1"/>
    </row>
    <row r="529" hidden="1" outlineLevel="1">
      <c r="A529" s="1"/>
      <c r="B529" s="1"/>
      <c r="C529" s="1"/>
      <c r="D529" s="1"/>
      <c r="E529" s="1"/>
      <c r="F529" s="13" t="s">
        <v>243</v>
      </c>
      <c r="G529" s="153"/>
      <c r="H529" s="153">
        <v>0.0</v>
      </c>
      <c r="I529" s="1"/>
      <c r="J529" s="1"/>
    </row>
    <row r="530" hidden="1" outlineLevel="1">
      <c r="A530" s="1"/>
      <c r="B530" s="1"/>
      <c r="C530" s="1"/>
      <c r="D530" s="1"/>
      <c r="E530" s="1"/>
      <c r="F530" s="13" t="s">
        <v>244</v>
      </c>
      <c r="G530" s="153"/>
      <c r="H530" s="153">
        <v>0.0</v>
      </c>
      <c r="I530" s="1"/>
      <c r="J530" s="1"/>
    </row>
    <row r="531" hidden="1" outlineLevel="1">
      <c r="A531" s="1"/>
      <c r="B531" s="1"/>
      <c r="C531" s="1"/>
      <c r="D531" s="1"/>
      <c r="E531" s="1"/>
      <c r="F531" s="1" t="s">
        <v>245</v>
      </c>
      <c r="G531" s="148"/>
      <c r="H531" s="148">
        <f t="shared" ref="H531:H540" si="11">ROUND(H391*H521,0)</f>
        <v>136</v>
      </c>
      <c r="I531" s="1"/>
      <c r="J531" s="1"/>
    </row>
    <row r="532" hidden="1" outlineLevel="1">
      <c r="A532" s="1"/>
      <c r="B532" s="1"/>
      <c r="C532" s="1"/>
      <c r="D532" s="1"/>
      <c r="E532" s="1"/>
      <c r="F532" s="1" t="s">
        <v>246</v>
      </c>
      <c r="G532" s="148"/>
      <c r="H532" s="148">
        <f t="shared" si="11"/>
        <v>4073400</v>
      </c>
      <c r="I532" s="1"/>
      <c r="J532" s="1"/>
    </row>
    <row r="533" hidden="1" outlineLevel="1">
      <c r="A533" s="1"/>
      <c r="B533" s="1"/>
      <c r="C533" s="1"/>
      <c r="D533" s="1"/>
      <c r="E533" s="1"/>
      <c r="F533" s="1" t="s">
        <v>247</v>
      </c>
      <c r="G533" s="148"/>
      <c r="H533" s="148">
        <f t="shared" si="11"/>
        <v>34</v>
      </c>
      <c r="I533" s="1"/>
      <c r="J533" s="1"/>
    </row>
    <row r="534" hidden="1" outlineLevel="1">
      <c r="A534" s="1"/>
      <c r="B534" s="1"/>
      <c r="C534" s="1"/>
      <c r="D534" s="1"/>
      <c r="E534" s="1"/>
      <c r="F534" s="1" t="s">
        <v>248</v>
      </c>
      <c r="G534" s="148"/>
      <c r="H534" s="148">
        <f t="shared" si="11"/>
        <v>258075</v>
      </c>
      <c r="I534" s="1"/>
      <c r="J534" s="1"/>
    </row>
    <row r="535" hidden="1" outlineLevel="1">
      <c r="A535" s="1"/>
      <c r="B535" s="1"/>
      <c r="C535" s="1"/>
      <c r="D535" s="1"/>
      <c r="E535" s="1"/>
      <c r="F535" s="13" t="s">
        <v>249</v>
      </c>
      <c r="G535" s="148"/>
      <c r="H535" s="148">
        <f t="shared" si="11"/>
        <v>0</v>
      </c>
      <c r="I535" s="1"/>
      <c r="J535" s="1"/>
    </row>
    <row r="536" hidden="1" outlineLevel="1">
      <c r="A536" s="1"/>
      <c r="B536" s="1"/>
      <c r="C536" s="1"/>
      <c r="D536" s="1"/>
      <c r="E536" s="1"/>
      <c r="F536" s="13" t="s">
        <v>250</v>
      </c>
      <c r="G536" s="148"/>
      <c r="H536" s="148">
        <f t="shared" si="11"/>
        <v>0</v>
      </c>
      <c r="I536" s="1"/>
      <c r="J536" s="1"/>
    </row>
    <row r="537" hidden="1" outlineLevel="1">
      <c r="A537" s="1"/>
      <c r="B537" s="1"/>
      <c r="C537" s="1"/>
      <c r="D537" s="1"/>
      <c r="E537" s="1"/>
      <c r="F537" s="13" t="s">
        <v>251</v>
      </c>
      <c r="G537" s="148"/>
      <c r="H537" s="148">
        <f t="shared" si="11"/>
        <v>0</v>
      </c>
      <c r="I537" s="1"/>
      <c r="J537" s="1"/>
    </row>
    <row r="538" hidden="1" outlineLevel="1">
      <c r="A538" s="1"/>
      <c r="B538" s="1"/>
      <c r="C538" s="1"/>
      <c r="D538" s="1"/>
      <c r="E538" s="1"/>
      <c r="F538" s="13" t="s">
        <v>252</v>
      </c>
      <c r="G538" s="148"/>
      <c r="H538" s="148">
        <f t="shared" si="11"/>
        <v>0</v>
      </c>
      <c r="I538" s="1"/>
      <c r="J538" s="1"/>
    </row>
    <row r="539" hidden="1" outlineLevel="1">
      <c r="A539" s="1"/>
      <c r="B539" s="1"/>
      <c r="C539" s="1"/>
      <c r="D539" s="1"/>
      <c r="E539" s="1"/>
      <c r="F539" s="13" t="s">
        <v>253</v>
      </c>
      <c r="G539" s="148"/>
      <c r="H539" s="148">
        <f t="shared" si="11"/>
        <v>0</v>
      </c>
      <c r="I539" s="1"/>
      <c r="J539" s="1"/>
    </row>
    <row r="540" hidden="1" outlineLevel="1">
      <c r="A540" s="1"/>
      <c r="B540" s="1"/>
      <c r="C540" s="1"/>
      <c r="D540" s="1"/>
      <c r="E540" s="1"/>
      <c r="F540" s="13" t="s">
        <v>254</v>
      </c>
      <c r="G540" s="148"/>
      <c r="H540" s="148">
        <f t="shared" si="11"/>
        <v>0</v>
      </c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75" t="s">
        <v>6</v>
      </c>
      <c r="C543" s="117"/>
      <c r="D543" s="117"/>
      <c r="E543" s="117"/>
      <c r="F543" s="117"/>
      <c r="G543" s="118"/>
      <c r="H543" s="118"/>
      <c r="I543" s="1"/>
      <c r="J543" s="1"/>
    </row>
    <row r="544">
      <c r="A544" s="1"/>
      <c r="B544" s="1"/>
      <c r="C544" s="176"/>
      <c r="D544" s="13"/>
      <c r="E544" s="1"/>
      <c r="F544" s="1"/>
      <c r="G544" s="123"/>
      <c r="H544" s="123"/>
      <c r="I544" s="1"/>
      <c r="J544" s="1"/>
    </row>
    <row r="545">
      <c r="A545" s="1"/>
      <c r="B545" s="1"/>
      <c r="C545" s="13" t="s">
        <v>129</v>
      </c>
      <c r="D545" s="13" t="s">
        <v>255</v>
      </c>
      <c r="E545" s="127"/>
      <c r="F545" s="1"/>
      <c r="G545" s="1"/>
      <c r="H545" s="178">
        <f>SUM(H554,H588,H629,H663,H703,H737)</f>
        <v>3551670</v>
      </c>
      <c r="I545" s="1"/>
      <c r="J545" s="1"/>
    </row>
    <row r="546">
      <c r="A546" s="1"/>
      <c r="B546" s="1"/>
      <c r="C546" s="13" t="str">
        <f>C779</f>
        <v>VM8</v>
      </c>
      <c r="D546" s="13" t="s">
        <v>256</v>
      </c>
      <c r="E546" s="13"/>
      <c r="F546" s="13"/>
      <c r="G546" s="179" t="str">
        <f>G779</f>
        <v/>
      </c>
      <c r="H546" s="180">
        <f>SUM(H553,H587,H628,H662,H702,H735)</f>
        <v>0</v>
      </c>
      <c r="I546" s="1"/>
      <c r="J546" s="1"/>
    </row>
    <row r="547">
      <c r="A547" s="1"/>
      <c r="B547" s="1"/>
      <c r="C547" s="13"/>
      <c r="D547" s="13"/>
      <c r="E547" s="127"/>
      <c r="F547" s="1"/>
      <c r="G547" s="1"/>
      <c r="H547" s="1"/>
      <c r="I547" s="1"/>
      <c r="J547" s="1"/>
    </row>
    <row r="548">
      <c r="A548" s="1"/>
      <c r="B548" s="1"/>
      <c r="C548" s="13" t="s">
        <v>257</v>
      </c>
      <c r="D548" s="13" t="s">
        <v>258</v>
      </c>
      <c r="E548" s="1"/>
      <c r="F548" s="1"/>
      <c r="G548" s="143"/>
      <c r="H548" s="143"/>
      <c r="I548" s="1"/>
      <c r="J548" s="1"/>
    </row>
    <row r="549">
      <c r="A549" s="1"/>
      <c r="B549" s="1"/>
      <c r="C549" s="13" t="s">
        <v>259</v>
      </c>
      <c r="D549" s="13" t="s">
        <v>260</v>
      </c>
      <c r="E549" s="127"/>
      <c r="F549" s="1"/>
      <c r="G549" s="1"/>
      <c r="H549" s="178">
        <f>SUM(H571,H605,H624,H646,H679,H698,H720,H754,H774)</f>
        <v>22500</v>
      </c>
      <c r="I549" s="1"/>
      <c r="J549" s="1"/>
    </row>
    <row r="550">
      <c r="A550" s="13"/>
      <c r="B550" s="1"/>
      <c r="C550" s="1"/>
      <c r="D550" s="1"/>
      <c r="E550" s="1"/>
      <c r="F550" s="1"/>
      <c r="G550" s="176"/>
      <c r="H550" s="176"/>
      <c r="I550" s="1"/>
      <c r="J550" s="1"/>
    </row>
    <row r="551">
      <c r="A551" s="136"/>
      <c r="B551" s="136"/>
      <c r="C551" s="136"/>
      <c r="D551" s="137" t="s">
        <v>46</v>
      </c>
      <c r="E551" s="136"/>
      <c r="F551" s="136"/>
      <c r="G551" s="183"/>
      <c r="H551" s="183"/>
      <c r="I551" s="136"/>
      <c r="J551" s="136"/>
    </row>
    <row r="552">
      <c r="A552" s="1"/>
      <c r="B552" s="1"/>
      <c r="C552" s="1"/>
      <c r="D552" s="1"/>
      <c r="E552" s="13" t="s">
        <v>261</v>
      </c>
      <c r="F552" s="1"/>
      <c r="G552" s="184"/>
      <c r="H552" s="184"/>
      <c r="I552" s="1"/>
      <c r="J552" s="1"/>
    </row>
    <row r="553">
      <c r="A553" s="1"/>
      <c r="B553" s="1"/>
      <c r="C553" s="1"/>
      <c r="D553" s="1"/>
      <c r="E553" s="13"/>
      <c r="F553" s="1" t="str">
        <f t="shared" ref="F553:H553" si="12">F833</f>
        <v>$ [Executar-no loyalty] Revenue Expansion</v>
      </c>
      <c r="G553" s="163" t="str">
        <f t="shared" si="12"/>
        <v/>
      </c>
      <c r="H553" s="170">
        <f t="shared" si="12"/>
        <v>0</v>
      </c>
      <c r="I553" s="1"/>
      <c r="J553" s="1"/>
    </row>
    <row r="554">
      <c r="A554" s="1"/>
      <c r="B554" s="1"/>
      <c r="C554" s="1"/>
      <c r="D554" s="1"/>
      <c r="E554" s="127"/>
      <c r="F554" s="13" t="s">
        <v>262</v>
      </c>
      <c r="G554" s="184"/>
      <c r="H554" s="184">
        <f>H133</f>
        <v>0</v>
      </c>
      <c r="I554" s="1"/>
      <c r="J554" s="1"/>
    </row>
    <row r="555">
      <c r="A555" s="1"/>
      <c r="B555" s="1"/>
      <c r="C555" s="1"/>
      <c r="D555" s="1"/>
      <c r="E555" s="127"/>
      <c r="F555" s="13" t="s">
        <v>263</v>
      </c>
      <c r="G555" s="184"/>
      <c r="H555" s="184">
        <f>SUM(H553:H554)</f>
        <v>0</v>
      </c>
      <c r="I555" s="1"/>
      <c r="J555" s="1"/>
    </row>
    <row r="556" collapsed="1">
      <c r="A556" s="1"/>
      <c r="B556" s="1"/>
      <c r="C556" s="1"/>
      <c r="D556" s="1"/>
      <c r="E556" s="127"/>
      <c r="F556" s="13" t="s">
        <v>264</v>
      </c>
      <c r="G556" s="185"/>
      <c r="H556" s="185">
        <v>2.0</v>
      </c>
      <c r="I556" s="1"/>
      <c r="J556" s="1"/>
    </row>
    <row r="557" hidden="1" outlineLevel="1">
      <c r="A557" s="1"/>
      <c r="B557" s="1"/>
      <c r="C557" s="1"/>
      <c r="D557" s="1"/>
      <c r="E557" s="127"/>
      <c r="F557" s="13"/>
      <c r="G557" s="185"/>
      <c r="H557" s="186">
        <f t="shared" ref="H557:H568" si="13">IF(COLUMN() &lt; (COLUMN($H$557) + (ROW()-ROW($H$557))), 0, IF(COLUMN() = (COLUMN($H$557) + (ROW()-ROW($H$557))), $H$556, IF(G557&gt;0, G557-1, $H$556-1)))</f>
        <v>2</v>
      </c>
      <c r="I557" s="1"/>
      <c r="J557" s="1"/>
    </row>
    <row r="558" hidden="1" outlineLevel="1">
      <c r="A558" s="1"/>
      <c r="B558" s="1"/>
      <c r="C558" s="1"/>
      <c r="D558" s="1"/>
      <c r="E558" s="127"/>
      <c r="F558" s="13"/>
      <c r="G558" s="185"/>
      <c r="H558" s="186">
        <f t="shared" si="13"/>
        <v>0</v>
      </c>
      <c r="I558" s="1"/>
      <c r="J558" s="1"/>
    </row>
    <row r="559" hidden="1" outlineLevel="1">
      <c r="A559" s="1"/>
      <c r="B559" s="1"/>
      <c r="C559" s="1"/>
      <c r="D559" s="1"/>
      <c r="E559" s="127"/>
      <c r="F559" s="13"/>
      <c r="G559" s="185"/>
      <c r="H559" s="186">
        <f t="shared" si="13"/>
        <v>0</v>
      </c>
      <c r="I559" s="1"/>
      <c r="J559" s="1"/>
    </row>
    <row r="560" hidden="1" outlineLevel="1">
      <c r="A560" s="1"/>
      <c r="B560" s="1"/>
      <c r="C560" s="1"/>
      <c r="D560" s="1"/>
      <c r="E560" s="127"/>
      <c r="F560" s="13"/>
      <c r="G560" s="185"/>
      <c r="H560" s="186">
        <f t="shared" si="13"/>
        <v>0</v>
      </c>
      <c r="I560" s="1"/>
      <c r="J560" s="1"/>
    </row>
    <row r="561" hidden="1" outlineLevel="1">
      <c r="A561" s="1"/>
      <c r="B561" s="1"/>
      <c r="C561" s="1"/>
      <c r="D561" s="1"/>
      <c r="E561" s="127"/>
      <c r="F561" s="13"/>
      <c r="G561" s="185"/>
      <c r="H561" s="186">
        <f t="shared" si="13"/>
        <v>0</v>
      </c>
      <c r="I561" s="1"/>
      <c r="J561" s="1"/>
    </row>
    <row r="562" hidden="1" outlineLevel="1">
      <c r="A562" s="1"/>
      <c r="B562" s="1"/>
      <c r="C562" s="1"/>
      <c r="D562" s="1"/>
      <c r="E562" s="127"/>
      <c r="F562" s="13"/>
      <c r="G562" s="185"/>
      <c r="H562" s="186">
        <f t="shared" si="13"/>
        <v>0</v>
      </c>
      <c r="I562" s="1"/>
      <c r="J562" s="1"/>
    </row>
    <row r="563" hidden="1" outlineLevel="1">
      <c r="A563" s="1"/>
      <c r="B563" s="1"/>
      <c r="C563" s="1"/>
      <c r="D563" s="1"/>
      <c r="E563" s="127"/>
      <c r="F563" s="13"/>
      <c r="G563" s="185"/>
      <c r="H563" s="186">
        <f t="shared" si="13"/>
        <v>0</v>
      </c>
      <c r="I563" s="1"/>
      <c r="J563" s="1"/>
    </row>
    <row r="564" hidden="1" outlineLevel="1">
      <c r="A564" s="1"/>
      <c r="B564" s="1"/>
      <c r="C564" s="1"/>
      <c r="D564" s="1"/>
      <c r="E564" s="127"/>
      <c r="F564" s="13"/>
      <c r="G564" s="185"/>
      <c r="H564" s="186">
        <f t="shared" si="13"/>
        <v>0</v>
      </c>
      <c r="I564" s="1"/>
      <c r="J564" s="1"/>
    </row>
    <row r="565" hidden="1" outlineLevel="1">
      <c r="A565" s="1"/>
      <c r="B565" s="1"/>
      <c r="C565" s="1"/>
      <c r="D565" s="1"/>
      <c r="E565" s="127"/>
      <c r="F565" s="13"/>
      <c r="G565" s="185"/>
      <c r="H565" s="186">
        <f t="shared" si="13"/>
        <v>0</v>
      </c>
      <c r="I565" s="1"/>
      <c r="J565" s="1"/>
    </row>
    <row r="566" hidden="1" outlineLevel="1">
      <c r="A566" s="1"/>
      <c r="B566" s="1"/>
      <c r="C566" s="1"/>
      <c r="D566" s="1"/>
      <c r="E566" s="127"/>
      <c r="F566" s="13"/>
      <c r="G566" s="185"/>
      <c r="H566" s="186">
        <f t="shared" si="13"/>
        <v>0</v>
      </c>
      <c r="I566" s="1"/>
      <c r="J566" s="1"/>
    </row>
    <row r="567" hidden="1" outlineLevel="1">
      <c r="A567" s="1"/>
      <c r="B567" s="1"/>
      <c r="C567" s="1"/>
      <c r="D567" s="1"/>
      <c r="E567" s="127"/>
      <c r="F567" s="13"/>
      <c r="G567" s="185"/>
      <c r="H567" s="186">
        <f t="shared" si="13"/>
        <v>0</v>
      </c>
      <c r="I567" s="1"/>
      <c r="J567" s="1"/>
    </row>
    <row r="568" hidden="1" outlineLevel="1">
      <c r="A568" s="1"/>
      <c r="B568" s="1"/>
      <c r="C568" s="1"/>
      <c r="D568" s="1"/>
      <c r="E568" s="127"/>
      <c r="F568" s="13"/>
      <c r="G568" s="185"/>
      <c r="H568" s="186">
        <f t="shared" si="13"/>
        <v>0</v>
      </c>
      <c r="I568" s="1"/>
      <c r="J568" s="1"/>
    </row>
    <row r="569" hidden="1" outlineLevel="1">
      <c r="A569" s="1"/>
      <c r="B569" s="1"/>
      <c r="C569" s="1"/>
      <c r="D569" s="1"/>
      <c r="E569" s="127"/>
      <c r="F569" s="13"/>
      <c r="G569" s="185"/>
      <c r="H569" s="186"/>
      <c r="I569" s="1"/>
      <c r="J569" s="1"/>
    </row>
    <row r="570">
      <c r="A570" s="1"/>
      <c r="B570" s="1"/>
      <c r="C570" s="1"/>
      <c r="D570" s="1"/>
      <c r="E570" s="1"/>
      <c r="F570" s="13" t="s">
        <v>265</v>
      </c>
      <c r="G570" s="155"/>
      <c r="H570" s="155">
        <v>0.8</v>
      </c>
      <c r="I570" s="1"/>
      <c r="J570" s="1"/>
    </row>
    <row r="571" collapsed="1">
      <c r="A571" s="1"/>
      <c r="B571" s="1"/>
      <c r="C571" s="1"/>
      <c r="D571" s="1"/>
      <c r="E571" s="127"/>
      <c r="F571" s="13" t="s">
        <v>266</v>
      </c>
      <c r="G571" s="184"/>
      <c r="H571" s="184">
        <f>H572-H555</f>
        <v>0</v>
      </c>
      <c r="I571" s="1"/>
      <c r="J571" s="1"/>
    </row>
    <row r="572" hidden="1" outlineLevel="1">
      <c r="A572" s="1"/>
      <c r="B572" s="1"/>
      <c r="C572" s="1"/>
      <c r="D572" s="1"/>
      <c r="E572" s="127"/>
      <c r="F572" s="13" t="s">
        <v>267</v>
      </c>
      <c r="G572" s="185"/>
      <c r="H572" s="184">
        <f>SUM(H573:H584)</f>
        <v>0</v>
      </c>
      <c r="I572" s="1"/>
      <c r="J572" s="1"/>
    </row>
    <row r="573" hidden="1" outlineLevel="1">
      <c r="A573" s="1"/>
      <c r="B573" s="1"/>
      <c r="C573" s="1"/>
      <c r="D573" s="1"/>
      <c r="E573" s="127"/>
      <c r="F573" s="13"/>
      <c r="G573" s="185"/>
      <c r="H573" s="186">
        <f t="shared" ref="H573:H584" si="14">IF(COLUMN() &lt; (COLUMN($H$573) + (ROW()-ROW($H$573))), 0, IF(COLUMN() = (COLUMN($H$573) + (ROW()-ROW($H$573))), INDEX($H$555, 1, COLUMN()-COLUMN($H$555)+1), IF(H557=0, OFFSET(H573, 0, -$H$556) * $H$570, 0)))</f>
        <v>0</v>
      </c>
      <c r="I573" s="1"/>
      <c r="J573" s="1"/>
    </row>
    <row r="574" hidden="1" outlineLevel="1">
      <c r="A574" s="1"/>
      <c r="B574" s="1"/>
      <c r="C574" s="1"/>
      <c r="D574" s="1"/>
      <c r="E574" s="127"/>
      <c r="F574" s="13"/>
      <c r="G574" s="185"/>
      <c r="H574" s="186">
        <f t="shared" si="14"/>
        <v>0</v>
      </c>
      <c r="I574" s="1"/>
      <c r="J574" s="1"/>
    </row>
    <row r="575" hidden="1" outlineLevel="1">
      <c r="A575" s="1"/>
      <c r="B575" s="1"/>
      <c r="C575" s="1"/>
      <c r="D575" s="1"/>
      <c r="E575" s="127"/>
      <c r="F575" s="13"/>
      <c r="G575" s="185"/>
      <c r="H575" s="186">
        <f t="shared" si="14"/>
        <v>0</v>
      </c>
      <c r="I575" s="1"/>
      <c r="J575" s="1"/>
    </row>
    <row r="576" hidden="1" outlineLevel="1">
      <c r="A576" s="1"/>
      <c r="B576" s="1"/>
      <c r="C576" s="1"/>
      <c r="D576" s="1"/>
      <c r="E576" s="127"/>
      <c r="F576" s="13"/>
      <c r="G576" s="185"/>
      <c r="H576" s="186">
        <f t="shared" si="14"/>
        <v>0</v>
      </c>
      <c r="I576" s="1"/>
      <c r="J576" s="1"/>
    </row>
    <row r="577" hidden="1" outlineLevel="1">
      <c r="A577" s="1"/>
      <c r="B577" s="1"/>
      <c r="C577" s="1"/>
      <c r="D577" s="1"/>
      <c r="E577" s="127"/>
      <c r="F577" s="13"/>
      <c r="G577" s="185"/>
      <c r="H577" s="186">
        <f t="shared" si="14"/>
        <v>0</v>
      </c>
      <c r="I577" s="1"/>
      <c r="J577" s="1"/>
    </row>
    <row r="578" hidden="1" outlineLevel="1">
      <c r="A578" s="1"/>
      <c r="B578" s="1"/>
      <c r="C578" s="1"/>
      <c r="D578" s="1"/>
      <c r="E578" s="127"/>
      <c r="F578" s="13"/>
      <c r="G578" s="185"/>
      <c r="H578" s="186">
        <f t="shared" si="14"/>
        <v>0</v>
      </c>
      <c r="I578" s="1"/>
      <c r="J578" s="1"/>
    </row>
    <row r="579" hidden="1" outlineLevel="1">
      <c r="A579" s="1"/>
      <c r="B579" s="1"/>
      <c r="C579" s="1"/>
      <c r="D579" s="1"/>
      <c r="E579" s="127"/>
      <c r="F579" s="13"/>
      <c r="G579" s="185"/>
      <c r="H579" s="186">
        <f t="shared" si="14"/>
        <v>0</v>
      </c>
      <c r="I579" s="1"/>
      <c r="J579" s="1"/>
    </row>
    <row r="580" hidden="1" outlineLevel="1">
      <c r="A580" s="1"/>
      <c r="B580" s="1"/>
      <c r="C580" s="1"/>
      <c r="D580" s="1"/>
      <c r="E580" s="127"/>
      <c r="F580" s="13"/>
      <c r="G580" s="185"/>
      <c r="H580" s="186">
        <f t="shared" si="14"/>
        <v>0</v>
      </c>
      <c r="I580" s="1"/>
      <c r="J580" s="1"/>
    </row>
    <row r="581" hidden="1" outlineLevel="1">
      <c r="A581" s="1"/>
      <c r="B581" s="1"/>
      <c r="C581" s="1"/>
      <c r="D581" s="1"/>
      <c r="E581" s="127"/>
      <c r="F581" s="13"/>
      <c r="G581" s="185"/>
      <c r="H581" s="186">
        <f t="shared" si="14"/>
        <v>0</v>
      </c>
      <c r="I581" s="1"/>
      <c r="J581" s="1"/>
    </row>
    <row r="582" hidden="1" outlineLevel="1">
      <c r="A582" s="1"/>
      <c r="B582" s="1"/>
      <c r="C582" s="1"/>
      <c r="D582" s="1"/>
      <c r="E582" s="127"/>
      <c r="F582" s="13"/>
      <c r="G582" s="185"/>
      <c r="H582" s="186">
        <f t="shared" si="14"/>
        <v>0</v>
      </c>
      <c r="I582" s="1"/>
      <c r="J582" s="1"/>
    </row>
    <row r="583" hidden="1" outlineLevel="1">
      <c r="A583" s="1"/>
      <c r="B583" s="1"/>
      <c r="C583" s="1"/>
      <c r="D583" s="1"/>
      <c r="E583" s="127"/>
      <c r="F583" s="13"/>
      <c r="G583" s="185"/>
      <c r="H583" s="186">
        <f t="shared" si="14"/>
        <v>0</v>
      </c>
      <c r="I583" s="1"/>
      <c r="J583" s="1"/>
    </row>
    <row r="584" hidden="1" outlineLevel="1">
      <c r="A584" s="1"/>
      <c r="B584" s="1"/>
      <c r="C584" s="1"/>
      <c r="D584" s="1"/>
      <c r="E584" s="127"/>
      <c r="F584" s="13"/>
      <c r="G584" s="185"/>
      <c r="H584" s="186">
        <f t="shared" si="14"/>
        <v>0</v>
      </c>
      <c r="I584" s="1"/>
      <c r="J584" s="1"/>
    </row>
    <row r="585">
      <c r="A585" s="1"/>
      <c r="B585" s="1"/>
      <c r="C585" s="1"/>
      <c r="D585" s="1"/>
      <c r="E585" s="1"/>
      <c r="F585" s="13"/>
      <c r="G585" s="155"/>
      <c r="H585" s="186"/>
      <c r="I585" s="1"/>
      <c r="J585" s="1"/>
    </row>
    <row r="586">
      <c r="A586" s="1"/>
      <c r="B586" s="1"/>
      <c r="C586" s="1"/>
      <c r="D586" s="1"/>
      <c r="E586" s="13" t="s">
        <v>268</v>
      </c>
      <c r="F586" s="1"/>
      <c r="G586" s="184"/>
      <c r="H586" s="184"/>
      <c r="I586" s="1"/>
      <c r="J586" s="1"/>
    </row>
    <row r="587">
      <c r="A587" s="1"/>
      <c r="B587" s="1"/>
      <c r="C587" s="1"/>
      <c r="D587" s="1"/>
      <c r="E587" s="13"/>
      <c r="F587" s="1" t="str">
        <f t="shared" ref="F587:H587" si="15">F836</f>
        <v>$ [Executar-loyalty] Revenue Expansion</v>
      </c>
      <c r="G587" s="163" t="str">
        <f t="shared" si="15"/>
        <v/>
      </c>
      <c r="H587" s="170">
        <f t="shared" si="15"/>
        <v>0</v>
      </c>
      <c r="I587" s="1"/>
      <c r="J587" s="1"/>
    </row>
    <row r="588">
      <c r="A588" s="1"/>
      <c r="B588" s="1"/>
      <c r="C588" s="1"/>
      <c r="D588" s="1"/>
      <c r="E588" s="1"/>
      <c r="F588" s="13" t="s">
        <v>269</v>
      </c>
      <c r="G588" s="184"/>
      <c r="H588" s="184">
        <f>H434</f>
        <v>674250</v>
      </c>
      <c r="I588" s="1"/>
      <c r="J588" s="1"/>
    </row>
    <row r="589">
      <c r="A589" s="1"/>
      <c r="B589" s="1"/>
      <c r="C589" s="1"/>
      <c r="D589" s="1"/>
      <c r="E589" s="1"/>
      <c r="F589" s="13" t="s">
        <v>270</v>
      </c>
      <c r="G589" s="184"/>
      <c r="H589" s="184">
        <f>SUM(H587:H588)</f>
        <v>674250</v>
      </c>
      <c r="I589" s="1"/>
      <c r="J589" s="1"/>
    </row>
    <row r="590" collapsed="1">
      <c r="A590" s="1"/>
      <c r="B590" s="1"/>
      <c r="C590" s="1"/>
      <c r="D590" s="1"/>
      <c r="E590" s="1"/>
      <c r="F590" s="13" t="s">
        <v>264</v>
      </c>
      <c r="G590" s="185"/>
      <c r="H590" s="185">
        <v>10.0</v>
      </c>
      <c r="I590" s="1"/>
      <c r="J590" s="1"/>
    </row>
    <row r="591" hidden="1" outlineLevel="1">
      <c r="A591" s="1"/>
      <c r="B591" s="1"/>
      <c r="C591" s="1"/>
      <c r="D591" s="1"/>
      <c r="E591" s="127"/>
      <c r="F591" s="13"/>
      <c r="G591" s="185"/>
      <c r="H591" s="186">
        <f t="shared" ref="H591:H602" si="16">IF(COLUMN() &lt; (COLUMN($H$591) + (ROW()-ROW($H$591))), 0, IF(COLUMN() = (COLUMN($H$591) + (ROW()-ROW($H$591))), $H$590, IF(G591&gt;0, G591-1, $H$590-1)))</f>
        <v>10</v>
      </c>
      <c r="I591" s="1"/>
      <c r="J591" s="1"/>
    </row>
    <row r="592" hidden="1" outlineLevel="1">
      <c r="A592" s="1"/>
      <c r="B592" s="1"/>
      <c r="C592" s="1"/>
      <c r="D592" s="1"/>
      <c r="E592" s="127"/>
      <c r="F592" s="13"/>
      <c r="G592" s="185"/>
      <c r="H592" s="186">
        <f t="shared" si="16"/>
        <v>0</v>
      </c>
      <c r="I592" s="1"/>
      <c r="J592" s="1"/>
    </row>
    <row r="593" hidden="1" outlineLevel="1">
      <c r="A593" s="1"/>
      <c r="B593" s="1"/>
      <c r="C593" s="1"/>
      <c r="D593" s="1"/>
      <c r="E593" s="127"/>
      <c r="F593" s="13"/>
      <c r="G593" s="185"/>
      <c r="H593" s="186">
        <f t="shared" si="16"/>
        <v>0</v>
      </c>
      <c r="I593" s="1"/>
      <c r="J593" s="1"/>
    </row>
    <row r="594" hidden="1" outlineLevel="1">
      <c r="A594" s="1"/>
      <c r="B594" s="1"/>
      <c r="C594" s="1"/>
      <c r="D594" s="1"/>
      <c r="E594" s="127"/>
      <c r="F594" s="13"/>
      <c r="G594" s="185"/>
      <c r="H594" s="186">
        <f t="shared" si="16"/>
        <v>0</v>
      </c>
      <c r="I594" s="1"/>
      <c r="J594" s="1"/>
    </row>
    <row r="595" hidden="1" outlineLevel="1">
      <c r="A595" s="1"/>
      <c r="B595" s="1"/>
      <c r="C595" s="1"/>
      <c r="D595" s="1"/>
      <c r="E595" s="127"/>
      <c r="F595" s="13"/>
      <c r="G595" s="185"/>
      <c r="H595" s="186">
        <f t="shared" si="16"/>
        <v>0</v>
      </c>
      <c r="I595" s="1"/>
      <c r="J595" s="1"/>
    </row>
    <row r="596" hidden="1" outlineLevel="1">
      <c r="A596" s="1"/>
      <c r="B596" s="1"/>
      <c r="C596" s="1"/>
      <c r="D596" s="1"/>
      <c r="E596" s="127"/>
      <c r="F596" s="13"/>
      <c r="G596" s="185"/>
      <c r="H596" s="186">
        <f t="shared" si="16"/>
        <v>0</v>
      </c>
      <c r="I596" s="1"/>
      <c r="J596" s="1"/>
    </row>
    <row r="597" hidden="1" outlineLevel="1">
      <c r="A597" s="1"/>
      <c r="B597" s="1"/>
      <c r="C597" s="1"/>
      <c r="D597" s="1"/>
      <c r="E597" s="127"/>
      <c r="F597" s="13"/>
      <c r="G597" s="185"/>
      <c r="H597" s="186">
        <f t="shared" si="16"/>
        <v>0</v>
      </c>
      <c r="I597" s="1"/>
      <c r="J597" s="1"/>
    </row>
    <row r="598" hidden="1" outlineLevel="1">
      <c r="A598" s="1"/>
      <c r="B598" s="1"/>
      <c r="C598" s="1"/>
      <c r="D598" s="1"/>
      <c r="E598" s="127"/>
      <c r="F598" s="13"/>
      <c r="G598" s="185"/>
      <c r="H598" s="186">
        <f t="shared" si="16"/>
        <v>0</v>
      </c>
      <c r="I598" s="1"/>
      <c r="J598" s="1"/>
    </row>
    <row r="599" hidden="1" outlineLevel="1">
      <c r="A599" s="1"/>
      <c r="B599" s="1"/>
      <c r="C599" s="1"/>
      <c r="D599" s="1"/>
      <c r="E599" s="127"/>
      <c r="F599" s="13"/>
      <c r="G599" s="185"/>
      <c r="H599" s="186">
        <f t="shared" si="16"/>
        <v>0</v>
      </c>
      <c r="I599" s="1"/>
      <c r="J599" s="1"/>
    </row>
    <row r="600" hidden="1" outlineLevel="1">
      <c r="A600" s="1"/>
      <c r="B600" s="1"/>
      <c r="C600" s="1"/>
      <c r="D600" s="1"/>
      <c r="E600" s="127"/>
      <c r="F600" s="13"/>
      <c r="G600" s="185"/>
      <c r="H600" s="186">
        <f t="shared" si="16"/>
        <v>0</v>
      </c>
      <c r="I600" s="1"/>
      <c r="J600" s="1"/>
    </row>
    <row r="601" hidden="1" outlineLevel="1">
      <c r="A601" s="1"/>
      <c r="B601" s="1"/>
      <c r="C601" s="1"/>
      <c r="D601" s="1"/>
      <c r="E601" s="127"/>
      <c r="F601" s="13"/>
      <c r="G601" s="185"/>
      <c r="H601" s="186">
        <f t="shared" si="16"/>
        <v>0</v>
      </c>
      <c r="I601" s="1"/>
      <c r="J601" s="1"/>
    </row>
    <row r="602" hidden="1" outlineLevel="1">
      <c r="A602" s="1"/>
      <c r="B602" s="1"/>
      <c r="C602" s="1"/>
      <c r="D602" s="1"/>
      <c r="E602" s="127"/>
      <c r="F602" s="13"/>
      <c r="G602" s="185"/>
      <c r="H602" s="186">
        <f t="shared" si="16"/>
        <v>0</v>
      </c>
      <c r="I602" s="1"/>
      <c r="J602" s="1"/>
    </row>
    <row r="603" hidden="1" outlineLevel="1">
      <c r="A603" s="1"/>
      <c r="B603" s="1"/>
      <c r="C603" s="1"/>
      <c r="D603" s="1"/>
      <c r="E603" s="127"/>
      <c r="F603" s="13"/>
      <c r="G603" s="185"/>
      <c r="H603" s="186"/>
      <c r="I603" s="1"/>
      <c r="J603" s="1"/>
    </row>
    <row r="604">
      <c r="A604" s="1"/>
      <c r="B604" s="1"/>
      <c r="C604" s="1"/>
      <c r="D604" s="1"/>
      <c r="E604" s="1"/>
      <c r="F604" s="13" t="s">
        <v>271</v>
      </c>
      <c r="G604" s="155"/>
      <c r="H604" s="155">
        <v>0.2</v>
      </c>
      <c r="I604" s="1"/>
      <c r="J604" s="1"/>
    </row>
    <row r="605" collapsed="1">
      <c r="A605" s="1"/>
      <c r="B605" s="1"/>
      <c r="C605" s="1"/>
      <c r="D605" s="1"/>
      <c r="E605" s="1"/>
      <c r="F605" s="13" t="s">
        <v>272</v>
      </c>
      <c r="G605" s="184"/>
      <c r="H605" s="184">
        <f>H606-H589</f>
        <v>0</v>
      </c>
      <c r="I605" s="1"/>
      <c r="J605" s="1"/>
    </row>
    <row r="606" hidden="1" outlineLevel="1">
      <c r="A606" s="1"/>
      <c r="B606" s="1"/>
      <c r="C606" s="1"/>
      <c r="D606" s="1"/>
      <c r="E606" s="1"/>
      <c r="F606" s="13" t="s">
        <v>273</v>
      </c>
      <c r="G606" s="184"/>
      <c r="H606" s="184">
        <f>SUM(H607:H618)</f>
        <v>674250</v>
      </c>
      <c r="I606" s="1"/>
      <c r="J606" s="1"/>
    </row>
    <row r="607" hidden="1" outlineLevel="1">
      <c r="A607" s="1"/>
      <c r="B607" s="1"/>
      <c r="C607" s="1"/>
      <c r="D607" s="1"/>
      <c r="E607" s="127"/>
      <c r="F607" s="13"/>
      <c r="G607" s="185"/>
      <c r="H607" s="186">
        <f t="shared" ref="H607:H618" si="17">IF(COLUMN() &lt; (COLUMN($H$607) + (ROW()-ROW($H$607))), 0, IF(COLUMN() = (COLUMN($H$607) + (ROW()-ROW($H$607))), INDEX($H$589, 1, COLUMN()-COLUMN($H$589)+1), IF(H591=0, OFFSET(H607, 0, -$H$590) * $H$604, 0)))</f>
        <v>674250</v>
      </c>
      <c r="I607" s="1"/>
      <c r="J607" s="1"/>
    </row>
    <row r="608" hidden="1" outlineLevel="1">
      <c r="A608" s="1"/>
      <c r="B608" s="1"/>
      <c r="C608" s="1"/>
      <c r="D608" s="1"/>
      <c r="E608" s="127"/>
      <c r="F608" s="13"/>
      <c r="G608" s="185"/>
      <c r="H608" s="186">
        <f t="shared" si="17"/>
        <v>0</v>
      </c>
      <c r="I608" s="1"/>
      <c r="J608" s="1"/>
    </row>
    <row r="609" hidden="1" outlineLevel="1">
      <c r="A609" s="1"/>
      <c r="B609" s="1"/>
      <c r="C609" s="1"/>
      <c r="D609" s="1"/>
      <c r="E609" s="127"/>
      <c r="F609" s="13"/>
      <c r="G609" s="185"/>
      <c r="H609" s="186">
        <f t="shared" si="17"/>
        <v>0</v>
      </c>
      <c r="I609" s="1"/>
      <c r="J609" s="1"/>
    </row>
    <row r="610" hidden="1" outlineLevel="1">
      <c r="A610" s="1"/>
      <c r="B610" s="1"/>
      <c r="C610" s="1"/>
      <c r="D610" s="1"/>
      <c r="E610" s="127"/>
      <c r="F610" s="13"/>
      <c r="G610" s="185"/>
      <c r="H610" s="186">
        <f t="shared" si="17"/>
        <v>0</v>
      </c>
      <c r="I610" s="1"/>
      <c r="J610" s="1"/>
    </row>
    <row r="611" hidden="1" outlineLevel="1">
      <c r="A611" s="1"/>
      <c r="B611" s="1"/>
      <c r="C611" s="1"/>
      <c r="D611" s="1"/>
      <c r="E611" s="127"/>
      <c r="F611" s="13"/>
      <c r="G611" s="185"/>
      <c r="H611" s="186">
        <f t="shared" si="17"/>
        <v>0</v>
      </c>
      <c r="I611" s="1"/>
      <c r="J611" s="1"/>
    </row>
    <row r="612" hidden="1" outlineLevel="1">
      <c r="A612" s="1"/>
      <c r="B612" s="1"/>
      <c r="C612" s="1"/>
      <c r="D612" s="1"/>
      <c r="E612" s="127"/>
      <c r="F612" s="13"/>
      <c r="G612" s="185"/>
      <c r="H612" s="186">
        <f t="shared" si="17"/>
        <v>0</v>
      </c>
      <c r="I612" s="1"/>
      <c r="J612" s="1"/>
    </row>
    <row r="613" hidden="1" outlineLevel="1">
      <c r="A613" s="1"/>
      <c r="B613" s="1"/>
      <c r="C613" s="1"/>
      <c r="D613" s="1"/>
      <c r="E613" s="127"/>
      <c r="F613" s="13"/>
      <c r="G613" s="185"/>
      <c r="H613" s="186">
        <f t="shared" si="17"/>
        <v>0</v>
      </c>
      <c r="I613" s="1"/>
      <c r="J613" s="1"/>
    </row>
    <row r="614" hidden="1" outlineLevel="1">
      <c r="A614" s="1"/>
      <c r="B614" s="1"/>
      <c r="C614" s="1"/>
      <c r="D614" s="1"/>
      <c r="E614" s="127"/>
      <c r="F614" s="13"/>
      <c r="G614" s="185"/>
      <c r="H614" s="186">
        <f t="shared" si="17"/>
        <v>0</v>
      </c>
      <c r="I614" s="1"/>
      <c r="J614" s="1"/>
    </row>
    <row r="615" hidden="1" outlineLevel="1">
      <c r="A615" s="1"/>
      <c r="B615" s="1"/>
      <c r="C615" s="1"/>
      <c r="D615" s="1"/>
      <c r="E615" s="127"/>
      <c r="F615" s="13"/>
      <c r="G615" s="185"/>
      <c r="H615" s="186">
        <f t="shared" si="17"/>
        <v>0</v>
      </c>
      <c r="I615" s="1"/>
      <c r="J615" s="1"/>
    </row>
    <row r="616" hidden="1" outlineLevel="1">
      <c r="A616" s="1"/>
      <c r="B616" s="1"/>
      <c r="C616" s="1"/>
      <c r="D616" s="1"/>
      <c r="E616" s="127"/>
      <c r="F616" s="13"/>
      <c r="G616" s="185"/>
      <c r="H616" s="186">
        <f t="shared" si="17"/>
        <v>0</v>
      </c>
      <c r="I616" s="1"/>
      <c r="J616" s="1"/>
    </row>
    <row r="617" hidden="1" outlineLevel="1">
      <c r="A617" s="1"/>
      <c r="B617" s="1"/>
      <c r="C617" s="1"/>
      <c r="D617" s="1"/>
      <c r="E617" s="127"/>
      <c r="F617" s="13"/>
      <c r="G617" s="185"/>
      <c r="H617" s="186">
        <f t="shared" si="17"/>
        <v>0</v>
      </c>
      <c r="I617" s="1"/>
      <c r="J617" s="1"/>
    </row>
    <row r="618" hidden="1" outlineLevel="1">
      <c r="A618" s="1"/>
      <c r="B618" s="1"/>
      <c r="C618" s="1"/>
      <c r="D618" s="1"/>
      <c r="E618" s="127"/>
      <c r="F618" s="13"/>
      <c r="G618" s="185"/>
      <c r="H618" s="186">
        <f t="shared" si="17"/>
        <v>0</v>
      </c>
      <c r="I618" s="1"/>
      <c r="J618" s="1"/>
    </row>
    <row r="619">
      <c r="A619" s="1"/>
      <c r="B619" s="1"/>
      <c r="C619" s="1"/>
      <c r="D619" s="1"/>
      <c r="E619" s="1"/>
      <c r="F619" s="13"/>
      <c r="G619" s="155"/>
      <c r="H619" s="155"/>
      <c r="I619" s="1"/>
      <c r="J619" s="1"/>
    </row>
    <row r="620">
      <c r="A620" s="1"/>
      <c r="B620" s="1"/>
      <c r="C620" s="1"/>
      <c r="D620" s="1"/>
      <c r="E620" s="13" t="s">
        <v>274</v>
      </c>
      <c r="F620" s="13"/>
      <c r="G620" s="184"/>
      <c r="H620" s="184"/>
      <c r="I620" s="1"/>
      <c r="J620" s="1"/>
    </row>
    <row r="621">
      <c r="A621" s="1"/>
      <c r="B621" s="1"/>
      <c r="C621" s="1"/>
      <c r="D621" s="1"/>
      <c r="E621" s="1"/>
      <c r="F621" s="13" t="str">
        <f>F435</f>
        <v># Enterprise Go Lives [Potencializar]</v>
      </c>
      <c r="G621" s="13"/>
      <c r="H621" s="171">
        <f>H435</f>
        <v>2</v>
      </c>
      <c r="I621" s="1"/>
      <c r="J621" s="1"/>
    </row>
    <row r="622">
      <c r="A622" s="1"/>
      <c r="B622" s="1"/>
      <c r="C622" s="1"/>
      <c r="D622" s="1"/>
      <c r="E622" s="1"/>
      <c r="F622" s="13" t="s">
        <v>275</v>
      </c>
      <c r="G622" s="187"/>
      <c r="H622" s="187">
        <v>4500.0</v>
      </c>
      <c r="I622" s="1"/>
      <c r="J622" s="1"/>
    </row>
    <row r="623">
      <c r="A623" s="1"/>
      <c r="B623" s="1"/>
      <c r="C623" s="1"/>
      <c r="D623" s="1"/>
      <c r="E623" s="1"/>
      <c r="F623" s="13" t="s">
        <v>276</v>
      </c>
      <c r="G623" s="155"/>
      <c r="H623" s="155">
        <v>1.1</v>
      </c>
      <c r="I623" s="1"/>
      <c r="J623" s="1"/>
    </row>
    <row r="624">
      <c r="A624" s="1"/>
      <c r="B624" s="1"/>
      <c r="C624" s="1"/>
      <c r="D624" s="1"/>
      <c r="E624" s="1"/>
      <c r="F624" s="13" t="s">
        <v>277</v>
      </c>
      <c r="G624" s="184"/>
      <c r="H624" s="184">
        <f>H621*H622</f>
        <v>9000</v>
      </c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36"/>
      <c r="B626" s="136"/>
      <c r="C626" s="136"/>
      <c r="D626" s="137" t="s">
        <v>47</v>
      </c>
      <c r="E626" s="136"/>
      <c r="F626" s="136"/>
      <c r="G626" s="183"/>
      <c r="H626" s="183"/>
      <c r="I626" s="136"/>
      <c r="J626" s="136"/>
    </row>
    <row r="627">
      <c r="A627" s="1"/>
      <c r="B627" s="1"/>
      <c r="C627" s="1"/>
      <c r="D627" s="1"/>
      <c r="E627" s="13" t="s">
        <v>278</v>
      </c>
      <c r="F627" s="1"/>
      <c r="G627" s="184"/>
      <c r="H627" s="184"/>
      <c r="I627" s="1"/>
      <c r="J627" s="1"/>
    </row>
    <row r="628">
      <c r="A628" s="1"/>
      <c r="B628" s="1"/>
      <c r="C628" s="1"/>
      <c r="D628" s="1"/>
      <c r="E628" s="13"/>
      <c r="F628" s="1" t="str">
        <f t="shared" ref="F628:H628" si="18">F878</f>
        <v>$ [Executar-no loyalty] Revenue Expansion</v>
      </c>
      <c r="G628" s="163" t="str">
        <f t="shared" si="18"/>
        <v/>
      </c>
      <c r="H628" s="178">
        <f t="shared" si="18"/>
        <v>0</v>
      </c>
      <c r="I628" s="1"/>
      <c r="J628" s="1"/>
    </row>
    <row r="629">
      <c r="A629" s="1"/>
      <c r="B629" s="1"/>
      <c r="C629" s="1"/>
      <c r="D629" s="1"/>
      <c r="E629" s="127"/>
      <c r="F629" s="13" t="s">
        <v>262</v>
      </c>
      <c r="G629" s="184"/>
      <c r="H629" s="184">
        <f>H458</f>
        <v>0</v>
      </c>
      <c r="I629" s="1"/>
      <c r="J629" s="1"/>
    </row>
    <row r="630">
      <c r="A630" s="1"/>
      <c r="B630" s="1"/>
      <c r="C630" s="1"/>
      <c r="D630" s="1"/>
      <c r="E630" s="127"/>
      <c r="F630" s="13" t="s">
        <v>263</v>
      </c>
      <c r="G630" s="184"/>
      <c r="H630" s="184">
        <f>SUM(H628:H629)</f>
        <v>0</v>
      </c>
      <c r="I630" s="1"/>
      <c r="J630" s="1"/>
    </row>
    <row r="631" collapsed="1">
      <c r="A631" s="1"/>
      <c r="B631" s="1"/>
      <c r="C631" s="1"/>
      <c r="D631" s="1"/>
      <c r="E631" s="127"/>
      <c r="F631" s="13" t="s">
        <v>264</v>
      </c>
      <c r="G631" s="185"/>
      <c r="H631" s="185">
        <v>2.0</v>
      </c>
      <c r="I631" s="1"/>
      <c r="J631" s="1"/>
    </row>
    <row r="632" hidden="1" outlineLevel="1">
      <c r="A632" s="1"/>
      <c r="B632" s="1"/>
      <c r="C632" s="1"/>
      <c r="D632" s="1"/>
      <c r="E632" s="127"/>
      <c r="F632" s="13"/>
      <c r="G632" s="185"/>
      <c r="H632" s="186">
        <f t="shared" ref="H632:H643" si="19">IF(COLUMN() &lt; (COLUMN($H$632) + (ROW()-ROW($H$632))), 0, IF(COLUMN() = (COLUMN($H$632) + (ROW()-ROW($H$632))), $H$631, IF(G632&gt;0, G632-1, $H$631-1)))</f>
        <v>2</v>
      </c>
      <c r="I632" s="1"/>
      <c r="J632" s="1"/>
    </row>
    <row r="633" hidden="1" outlineLevel="1">
      <c r="A633" s="1"/>
      <c r="B633" s="1"/>
      <c r="C633" s="1"/>
      <c r="D633" s="1"/>
      <c r="E633" s="127"/>
      <c r="F633" s="13"/>
      <c r="G633" s="185"/>
      <c r="H633" s="186">
        <f t="shared" si="19"/>
        <v>0</v>
      </c>
      <c r="I633" s="1"/>
      <c r="J633" s="1"/>
    </row>
    <row r="634" hidden="1" outlineLevel="1">
      <c r="A634" s="1"/>
      <c r="B634" s="1"/>
      <c r="C634" s="1"/>
      <c r="D634" s="1"/>
      <c r="E634" s="127"/>
      <c r="F634" s="13"/>
      <c r="G634" s="185"/>
      <c r="H634" s="186">
        <f t="shared" si="19"/>
        <v>0</v>
      </c>
      <c r="I634" s="1"/>
      <c r="J634" s="1"/>
    </row>
    <row r="635" hidden="1" outlineLevel="1">
      <c r="A635" s="1"/>
      <c r="B635" s="1"/>
      <c r="C635" s="1"/>
      <c r="D635" s="1"/>
      <c r="E635" s="127"/>
      <c r="F635" s="13"/>
      <c r="G635" s="185"/>
      <c r="H635" s="186">
        <f t="shared" si="19"/>
        <v>0</v>
      </c>
      <c r="I635" s="1"/>
      <c r="J635" s="1"/>
    </row>
    <row r="636" hidden="1" outlineLevel="1">
      <c r="A636" s="1"/>
      <c r="B636" s="1"/>
      <c r="C636" s="1"/>
      <c r="D636" s="1"/>
      <c r="E636" s="127"/>
      <c r="F636" s="13"/>
      <c r="G636" s="185"/>
      <c r="H636" s="186">
        <f t="shared" si="19"/>
        <v>0</v>
      </c>
      <c r="I636" s="1"/>
      <c r="J636" s="1"/>
    </row>
    <row r="637" hidden="1" outlineLevel="1">
      <c r="A637" s="1"/>
      <c r="B637" s="1"/>
      <c r="C637" s="1"/>
      <c r="D637" s="1"/>
      <c r="E637" s="127"/>
      <c r="F637" s="13"/>
      <c r="G637" s="185"/>
      <c r="H637" s="186">
        <f t="shared" si="19"/>
        <v>0</v>
      </c>
      <c r="I637" s="1"/>
      <c r="J637" s="1"/>
    </row>
    <row r="638" hidden="1" outlineLevel="1">
      <c r="A638" s="1"/>
      <c r="B638" s="1"/>
      <c r="C638" s="1"/>
      <c r="D638" s="1"/>
      <c r="E638" s="127"/>
      <c r="F638" s="13"/>
      <c r="G638" s="185"/>
      <c r="H638" s="186">
        <f t="shared" si="19"/>
        <v>0</v>
      </c>
      <c r="I638" s="1"/>
      <c r="J638" s="1"/>
    </row>
    <row r="639" hidden="1" outlineLevel="1">
      <c r="A639" s="1"/>
      <c r="B639" s="1"/>
      <c r="C639" s="1"/>
      <c r="D639" s="1"/>
      <c r="E639" s="127"/>
      <c r="F639" s="13"/>
      <c r="G639" s="185"/>
      <c r="H639" s="186">
        <f t="shared" si="19"/>
        <v>0</v>
      </c>
      <c r="I639" s="1"/>
      <c r="J639" s="1"/>
    </row>
    <row r="640" hidden="1" outlineLevel="1">
      <c r="A640" s="1"/>
      <c r="B640" s="1"/>
      <c r="C640" s="1"/>
      <c r="D640" s="1"/>
      <c r="E640" s="127"/>
      <c r="F640" s="13"/>
      <c r="G640" s="185"/>
      <c r="H640" s="186">
        <f t="shared" si="19"/>
        <v>0</v>
      </c>
      <c r="I640" s="1"/>
      <c r="J640" s="1"/>
    </row>
    <row r="641" hidden="1" outlineLevel="1">
      <c r="A641" s="1"/>
      <c r="B641" s="1"/>
      <c r="C641" s="1"/>
      <c r="D641" s="1"/>
      <c r="E641" s="127"/>
      <c r="F641" s="13"/>
      <c r="G641" s="185"/>
      <c r="H641" s="186">
        <f t="shared" si="19"/>
        <v>0</v>
      </c>
      <c r="I641" s="1"/>
      <c r="J641" s="1"/>
    </row>
    <row r="642" hidden="1" outlineLevel="1">
      <c r="A642" s="1"/>
      <c r="B642" s="1"/>
      <c r="C642" s="1"/>
      <c r="D642" s="1"/>
      <c r="E642" s="127"/>
      <c r="F642" s="13"/>
      <c r="G642" s="185"/>
      <c r="H642" s="186">
        <f t="shared" si="19"/>
        <v>0</v>
      </c>
      <c r="I642" s="1"/>
      <c r="J642" s="1"/>
    </row>
    <row r="643" hidden="1" outlineLevel="1">
      <c r="A643" s="1"/>
      <c r="B643" s="1"/>
      <c r="C643" s="1"/>
      <c r="D643" s="1"/>
      <c r="E643" s="127"/>
      <c r="F643" s="13"/>
      <c r="G643" s="185"/>
      <c r="H643" s="186">
        <f t="shared" si="19"/>
        <v>0</v>
      </c>
      <c r="I643" s="1"/>
      <c r="J643" s="1"/>
    </row>
    <row r="644" hidden="1" outlineLevel="1">
      <c r="A644" s="1"/>
      <c r="B644" s="1"/>
      <c r="C644" s="1"/>
      <c r="D644" s="1"/>
      <c r="E644" s="127"/>
      <c r="F644" s="13"/>
      <c r="G644" s="185"/>
      <c r="H644" s="186"/>
      <c r="I644" s="1"/>
      <c r="J644" s="1"/>
    </row>
    <row r="645">
      <c r="A645" s="1"/>
      <c r="B645" s="1"/>
      <c r="C645" s="1"/>
      <c r="D645" s="1"/>
      <c r="E645" s="1"/>
      <c r="F645" s="13" t="s">
        <v>265</v>
      </c>
      <c r="G645" s="155"/>
      <c r="H645" s="155">
        <v>0.8</v>
      </c>
      <c r="I645" s="1"/>
      <c r="J645" s="1"/>
    </row>
    <row r="646" collapsed="1">
      <c r="A646" s="1"/>
      <c r="B646" s="1"/>
      <c r="C646" s="1"/>
      <c r="D646" s="1"/>
      <c r="E646" s="127"/>
      <c r="F646" s="13" t="s">
        <v>266</v>
      </c>
      <c r="G646" s="184"/>
      <c r="H646" s="184">
        <f>H647-H630</f>
        <v>0</v>
      </c>
      <c r="I646" s="1"/>
      <c r="J646" s="1"/>
    </row>
    <row r="647" hidden="1" outlineLevel="1">
      <c r="A647" s="1"/>
      <c r="B647" s="1"/>
      <c r="C647" s="1"/>
      <c r="D647" s="1"/>
      <c r="E647" s="127"/>
      <c r="F647" s="13" t="s">
        <v>267</v>
      </c>
      <c r="G647" s="184"/>
      <c r="H647" s="184">
        <f>SUM(H648:H659)</f>
        <v>0</v>
      </c>
      <c r="I647" s="1"/>
      <c r="J647" s="1"/>
    </row>
    <row r="648" hidden="1" outlineLevel="1">
      <c r="A648" s="1"/>
      <c r="B648" s="1"/>
      <c r="C648" s="1"/>
      <c r="D648" s="1"/>
      <c r="E648" s="127"/>
      <c r="F648" s="13"/>
      <c r="G648" s="185"/>
      <c r="H648" s="186">
        <f t="shared" ref="H648:H659" si="20">IF(COLUMN() &lt; (COLUMN($H$648) + (ROW()-ROW($H$648))), 0, IF(COLUMN() = (COLUMN($H$648) + (ROW()-ROW($H$648))), INDEX($H$630, 1, COLUMN()-COLUMN($H$630)+1), IF(H632=0, OFFSET(H648, 0, -$H$631) * $H$645, 0)))</f>
        <v>0</v>
      </c>
      <c r="I648" s="1"/>
      <c r="J648" s="1"/>
    </row>
    <row r="649" hidden="1" outlineLevel="1">
      <c r="A649" s="1"/>
      <c r="B649" s="1"/>
      <c r="C649" s="1"/>
      <c r="D649" s="1"/>
      <c r="E649" s="127"/>
      <c r="F649" s="13"/>
      <c r="G649" s="185"/>
      <c r="H649" s="186">
        <f t="shared" si="20"/>
        <v>0</v>
      </c>
      <c r="I649" s="1"/>
      <c r="J649" s="1"/>
    </row>
    <row r="650" hidden="1" outlineLevel="1">
      <c r="A650" s="1"/>
      <c r="B650" s="1"/>
      <c r="C650" s="1"/>
      <c r="D650" s="1"/>
      <c r="E650" s="127"/>
      <c r="F650" s="13"/>
      <c r="G650" s="185"/>
      <c r="H650" s="186">
        <f t="shared" si="20"/>
        <v>0</v>
      </c>
      <c r="I650" s="1"/>
      <c r="J650" s="1"/>
    </row>
    <row r="651" hidden="1" outlineLevel="1">
      <c r="A651" s="1"/>
      <c r="B651" s="1"/>
      <c r="C651" s="1"/>
      <c r="D651" s="1"/>
      <c r="E651" s="127"/>
      <c r="F651" s="13"/>
      <c r="G651" s="185"/>
      <c r="H651" s="186">
        <f t="shared" si="20"/>
        <v>0</v>
      </c>
      <c r="I651" s="1"/>
      <c r="J651" s="1"/>
    </row>
    <row r="652" hidden="1" outlineLevel="1">
      <c r="A652" s="1"/>
      <c r="B652" s="1"/>
      <c r="C652" s="1"/>
      <c r="D652" s="1"/>
      <c r="E652" s="127"/>
      <c r="F652" s="13"/>
      <c r="G652" s="185"/>
      <c r="H652" s="186">
        <f t="shared" si="20"/>
        <v>0</v>
      </c>
      <c r="I652" s="1"/>
      <c r="J652" s="1"/>
    </row>
    <row r="653" hidden="1" outlineLevel="1">
      <c r="A653" s="1"/>
      <c r="B653" s="1"/>
      <c r="C653" s="1"/>
      <c r="D653" s="1"/>
      <c r="E653" s="127"/>
      <c r="F653" s="13"/>
      <c r="G653" s="185"/>
      <c r="H653" s="186">
        <f t="shared" si="20"/>
        <v>0</v>
      </c>
      <c r="I653" s="1"/>
      <c r="J653" s="1"/>
    </row>
    <row r="654" hidden="1" outlineLevel="1">
      <c r="A654" s="1"/>
      <c r="B654" s="1"/>
      <c r="C654" s="1"/>
      <c r="D654" s="1"/>
      <c r="E654" s="127"/>
      <c r="F654" s="13"/>
      <c r="G654" s="185"/>
      <c r="H654" s="186">
        <f t="shared" si="20"/>
        <v>0</v>
      </c>
      <c r="I654" s="1"/>
      <c r="J654" s="1"/>
    </row>
    <row r="655" hidden="1" outlineLevel="1">
      <c r="A655" s="1"/>
      <c r="B655" s="1"/>
      <c r="C655" s="1"/>
      <c r="D655" s="1"/>
      <c r="E655" s="127"/>
      <c r="F655" s="13"/>
      <c r="G655" s="185"/>
      <c r="H655" s="186">
        <f t="shared" si="20"/>
        <v>0</v>
      </c>
      <c r="I655" s="1"/>
      <c r="J655" s="1"/>
    </row>
    <row r="656" hidden="1" outlineLevel="1">
      <c r="A656" s="1"/>
      <c r="B656" s="1"/>
      <c r="C656" s="1"/>
      <c r="D656" s="1"/>
      <c r="E656" s="127"/>
      <c r="F656" s="13"/>
      <c r="G656" s="185"/>
      <c r="H656" s="186">
        <f t="shared" si="20"/>
        <v>0</v>
      </c>
      <c r="I656" s="1"/>
      <c r="J656" s="1"/>
    </row>
    <row r="657" hidden="1" outlineLevel="1">
      <c r="A657" s="1"/>
      <c r="B657" s="1"/>
      <c r="C657" s="1"/>
      <c r="D657" s="1"/>
      <c r="E657" s="127"/>
      <c r="F657" s="13"/>
      <c r="G657" s="185"/>
      <c r="H657" s="186">
        <f t="shared" si="20"/>
        <v>0</v>
      </c>
      <c r="I657" s="1"/>
      <c r="J657" s="1"/>
    </row>
    <row r="658" hidden="1" outlineLevel="1">
      <c r="A658" s="1"/>
      <c r="B658" s="1"/>
      <c r="C658" s="1"/>
      <c r="D658" s="1"/>
      <c r="E658" s="127"/>
      <c r="F658" s="13"/>
      <c r="G658" s="185"/>
      <c r="H658" s="186">
        <f t="shared" si="20"/>
        <v>0</v>
      </c>
      <c r="I658" s="1"/>
      <c r="J658" s="1"/>
    </row>
    <row r="659" hidden="1" outlineLevel="1">
      <c r="A659" s="1"/>
      <c r="B659" s="1"/>
      <c r="C659" s="1"/>
      <c r="D659" s="1"/>
      <c r="E659" s="127"/>
      <c r="F659" s="13"/>
      <c r="G659" s="185"/>
      <c r="H659" s="186">
        <f t="shared" si="20"/>
        <v>0</v>
      </c>
      <c r="I659" s="1"/>
      <c r="J659" s="1"/>
    </row>
    <row r="660">
      <c r="A660" s="1"/>
      <c r="B660" s="1"/>
      <c r="C660" s="1"/>
      <c r="D660" s="1"/>
      <c r="E660" s="1"/>
      <c r="F660" s="13"/>
      <c r="G660" s="155"/>
      <c r="H660" s="155"/>
      <c r="I660" s="1"/>
      <c r="J660" s="1"/>
    </row>
    <row r="661">
      <c r="A661" s="1"/>
      <c r="B661" s="1"/>
      <c r="C661" s="1"/>
      <c r="D661" s="1"/>
      <c r="E661" s="13" t="s">
        <v>279</v>
      </c>
      <c r="F661" s="1"/>
      <c r="G661" s="184"/>
      <c r="H661" s="184"/>
      <c r="I661" s="1"/>
      <c r="J661" s="1"/>
    </row>
    <row r="662">
      <c r="A662" s="1"/>
      <c r="B662" s="1"/>
      <c r="C662" s="1"/>
      <c r="D662" s="1"/>
      <c r="E662" s="13"/>
      <c r="F662" s="1" t="str">
        <f t="shared" ref="F662:H662" si="21">F881</f>
        <v>$ [Executar-loyalty] Revenue Expansion</v>
      </c>
      <c r="G662" s="163" t="str">
        <f t="shared" si="21"/>
        <v/>
      </c>
      <c r="H662" s="178">
        <f t="shared" si="21"/>
        <v>0</v>
      </c>
      <c r="I662" s="1"/>
      <c r="J662" s="1"/>
    </row>
    <row r="663">
      <c r="A663" s="1"/>
      <c r="B663" s="1"/>
      <c r="C663" s="1"/>
      <c r="D663" s="1"/>
      <c r="E663" s="1"/>
      <c r="F663" s="13" t="s">
        <v>269</v>
      </c>
      <c r="G663" s="184"/>
      <c r="H663" s="184">
        <f>H460</f>
        <v>644490</v>
      </c>
      <c r="I663" s="1"/>
      <c r="J663" s="1"/>
    </row>
    <row r="664">
      <c r="A664" s="1"/>
      <c r="B664" s="1"/>
      <c r="C664" s="1"/>
      <c r="D664" s="1"/>
      <c r="E664" s="1"/>
      <c r="F664" s="13" t="s">
        <v>280</v>
      </c>
      <c r="G664" s="184"/>
      <c r="H664" s="184">
        <f>SUM(H662:H663)</f>
        <v>644490</v>
      </c>
      <c r="I664" s="1"/>
      <c r="J664" s="1"/>
    </row>
    <row r="665" collapsed="1">
      <c r="A665" s="1"/>
      <c r="B665" s="1"/>
      <c r="C665" s="1"/>
      <c r="D665" s="1"/>
      <c r="E665" s="1"/>
      <c r="F665" s="13" t="s">
        <v>264</v>
      </c>
      <c r="G665" s="185"/>
      <c r="H665" s="185">
        <v>9.0</v>
      </c>
      <c r="I665" s="1"/>
      <c r="J665" s="1"/>
    </row>
    <row r="666" hidden="1" outlineLevel="1">
      <c r="A666" s="1"/>
      <c r="B666" s="1"/>
      <c r="C666" s="1"/>
      <c r="D666" s="1"/>
      <c r="E666" s="127"/>
      <c r="F666" s="13"/>
      <c r="G666" s="185"/>
      <c r="H666" s="186">
        <f t="shared" ref="H666:H677" si="22">IF(COLUMN() &lt; (COLUMN($H$666) + (ROW()-ROW($H$666))), 0, IF(COLUMN() = (COLUMN($H$666) + (ROW()-ROW($H$666))), $H$665, IF(G666&gt;0, G666-1, $H$665-1)))</f>
        <v>9</v>
      </c>
      <c r="I666" s="1"/>
      <c r="J666" s="1"/>
    </row>
    <row r="667" hidden="1" outlineLevel="1">
      <c r="A667" s="1"/>
      <c r="B667" s="1"/>
      <c r="C667" s="1"/>
      <c r="D667" s="1"/>
      <c r="E667" s="127"/>
      <c r="F667" s="13"/>
      <c r="G667" s="185"/>
      <c r="H667" s="186">
        <f t="shared" si="22"/>
        <v>0</v>
      </c>
      <c r="I667" s="1"/>
      <c r="J667" s="1"/>
    </row>
    <row r="668" hidden="1" outlineLevel="1">
      <c r="A668" s="1"/>
      <c r="B668" s="1"/>
      <c r="C668" s="1"/>
      <c r="D668" s="1"/>
      <c r="E668" s="127"/>
      <c r="F668" s="13"/>
      <c r="G668" s="185"/>
      <c r="H668" s="186">
        <f t="shared" si="22"/>
        <v>0</v>
      </c>
      <c r="I668" s="1"/>
      <c r="J668" s="1"/>
    </row>
    <row r="669" hidden="1" outlineLevel="1">
      <c r="A669" s="1"/>
      <c r="B669" s="1"/>
      <c r="C669" s="1"/>
      <c r="D669" s="1"/>
      <c r="E669" s="127"/>
      <c r="F669" s="13"/>
      <c r="G669" s="185"/>
      <c r="H669" s="186">
        <f t="shared" si="22"/>
        <v>0</v>
      </c>
      <c r="I669" s="1"/>
      <c r="J669" s="1"/>
    </row>
    <row r="670" hidden="1" outlineLevel="1">
      <c r="A670" s="1"/>
      <c r="B670" s="1"/>
      <c r="C670" s="1"/>
      <c r="D670" s="1"/>
      <c r="E670" s="127"/>
      <c r="F670" s="13"/>
      <c r="G670" s="185"/>
      <c r="H670" s="186">
        <f t="shared" si="22"/>
        <v>0</v>
      </c>
      <c r="I670" s="1"/>
      <c r="J670" s="1"/>
    </row>
    <row r="671" hidden="1" outlineLevel="1">
      <c r="A671" s="1"/>
      <c r="B671" s="1"/>
      <c r="C671" s="1"/>
      <c r="D671" s="1"/>
      <c r="E671" s="127"/>
      <c r="F671" s="13"/>
      <c r="G671" s="185"/>
      <c r="H671" s="186">
        <f t="shared" si="22"/>
        <v>0</v>
      </c>
      <c r="I671" s="1"/>
      <c r="J671" s="1"/>
    </row>
    <row r="672" hidden="1" outlineLevel="1">
      <c r="A672" s="1"/>
      <c r="B672" s="1"/>
      <c r="C672" s="1"/>
      <c r="D672" s="1"/>
      <c r="E672" s="127"/>
      <c r="F672" s="13"/>
      <c r="G672" s="185"/>
      <c r="H672" s="186">
        <f t="shared" si="22"/>
        <v>0</v>
      </c>
      <c r="I672" s="1"/>
      <c r="J672" s="1"/>
    </row>
    <row r="673" hidden="1" outlineLevel="1">
      <c r="A673" s="1"/>
      <c r="B673" s="1"/>
      <c r="C673" s="1"/>
      <c r="D673" s="1"/>
      <c r="E673" s="127"/>
      <c r="F673" s="13"/>
      <c r="G673" s="185"/>
      <c r="H673" s="186">
        <f t="shared" si="22"/>
        <v>0</v>
      </c>
      <c r="I673" s="1"/>
      <c r="J673" s="1"/>
    </row>
    <row r="674" hidden="1" outlineLevel="1">
      <c r="A674" s="1"/>
      <c r="B674" s="1"/>
      <c r="C674" s="1"/>
      <c r="D674" s="1"/>
      <c r="E674" s="127"/>
      <c r="F674" s="13"/>
      <c r="G674" s="185"/>
      <c r="H674" s="186">
        <f t="shared" si="22"/>
        <v>0</v>
      </c>
      <c r="I674" s="1"/>
      <c r="J674" s="1"/>
    </row>
    <row r="675" hidden="1" outlineLevel="1">
      <c r="A675" s="1"/>
      <c r="B675" s="1"/>
      <c r="C675" s="1"/>
      <c r="D675" s="1"/>
      <c r="E675" s="127"/>
      <c r="F675" s="13"/>
      <c r="G675" s="185"/>
      <c r="H675" s="186">
        <f t="shared" si="22"/>
        <v>0</v>
      </c>
      <c r="I675" s="1"/>
      <c r="J675" s="1"/>
    </row>
    <row r="676" hidden="1" outlineLevel="1">
      <c r="A676" s="1"/>
      <c r="B676" s="1"/>
      <c r="C676" s="1"/>
      <c r="D676" s="1"/>
      <c r="E676" s="127"/>
      <c r="F676" s="13"/>
      <c r="G676" s="185"/>
      <c r="H676" s="186">
        <f t="shared" si="22"/>
        <v>0</v>
      </c>
      <c r="I676" s="1"/>
      <c r="J676" s="1"/>
    </row>
    <row r="677" hidden="1" outlineLevel="1">
      <c r="A677" s="1"/>
      <c r="B677" s="1"/>
      <c r="C677" s="1"/>
      <c r="D677" s="1"/>
      <c r="E677" s="127"/>
      <c r="F677" s="13"/>
      <c r="G677" s="185"/>
      <c r="H677" s="186">
        <f t="shared" si="22"/>
        <v>0</v>
      </c>
      <c r="I677" s="1"/>
      <c r="J677" s="1"/>
    </row>
    <row r="678">
      <c r="A678" s="1"/>
      <c r="B678" s="1"/>
      <c r="C678" s="1"/>
      <c r="D678" s="1"/>
      <c r="E678" s="1"/>
      <c r="F678" s="13" t="s">
        <v>272</v>
      </c>
      <c r="G678" s="155"/>
      <c r="H678" s="155">
        <v>0.2</v>
      </c>
      <c r="I678" s="1"/>
      <c r="J678" s="1"/>
    </row>
    <row r="679" collapsed="1">
      <c r="A679" s="1"/>
      <c r="B679" s="1"/>
      <c r="C679" s="1"/>
      <c r="D679" s="1"/>
      <c r="E679" s="1"/>
      <c r="F679" s="13" t="s">
        <v>271</v>
      </c>
      <c r="G679" s="184"/>
      <c r="H679" s="184">
        <f>H680-H664</f>
        <v>0</v>
      </c>
      <c r="I679" s="1"/>
      <c r="J679" s="1"/>
    </row>
    <row r="680" hidden="1" outlineLevel="1">
      <c r="A680" s="1"/>
      <c r="B680" s="1"/>
      <c r="C680" s="1"/>
      <c r="D680" s="1"/>
      <c r="E680" s="127"/>
      <c r="F680" s="13" t="s">
        <v>273</v>
      </c>
      <c r="G680" s="185"/>
      <c r="H680" s="184">
        <f>SUM(H681:H692)</f>
        <v>644490</v>
      </c>
      <c r="I680" s="1"/>
      <c r="J680" s="1"/>
    </row>
    <row r="681" hidden="1" outlineLevel="1">
      <c r="A681" s="1"/>
      <c r="B681" s="1"/>
      <c r="C681" s="1"/>
      <c r="D681" s="1"/>
      <c r="E681" s="127"/>
      <c r="F681" s="13"/>
      <c r="G681" s="185"/>
      <c r="H681" s="186">
        <f t="shared" ref="H681:H692" si="23">IF(COLUMN() &lt; (COLUMN($H681) + (ROW()-ROW($H$681))), 0, IF(COLUMN() = (COLUMN($H$681) + (ROW()-ROW($H$681))), INDEX($H$664, 1, COLUMN()-COLUMN($H$664)+1), IF(H666=0, OFFSET(H681, 0, -$H$665) * $H$678, 0)))</f>
        <v>644490</v>
      </c>
      <c r="I681" s="1"/>
      <c r="J681" s="1"/>
    </row>
    <row r="682" hidden="1" outlineLevel="1">
      <c r="A682" s="1"/>
      <c r="B682" s="1"/>
      <c r="C682" s="1"/>
      <c r="D682" s="1"/>
      <c r="E682" s="127"/>
      <c r="F682" s="13"/>
      <c r="G682" s="185"/>
      <c r="H682" s="186">
        <f t="shared" si="23"/>
        <v>0</v>
      </c>
      <c r="I682" s="1"/>
      <c r="J682" s="1"/>
    </row>
    <row r="683" hidden="1" outlineLevel="1">
      <c r="A683" s="1"/>
      <c r="B683" s="1"/>
      <c r="C683" s="1"/>
      <c r="D683" s="1"/>
      <c r="E683" s="127"/>
      <c r="F683" s="13"/>
      <c r="G683" s="185"/>
      <c r="H683" s="186">
        <f t="shared" si="23"/>
        <v>0</v>
      </c>
      <c r="I683" s="1"/>
      <c r="J683" s="1"/>
    </row>
    <row r="684" hidden="1" outlineLevel="1">
      <c r="A684" s="1"/>
      <c r="B684" s="1"/>
      <c r="C684" s="1"/>
      <c r="D684" s="1"/>
      <c r="E684" s="127"/>
      <c r="F684" s="13"/>
      <c r="G684" s="185"/>
      <c r="H684" s="186">
        <f t="shared" si="23"/>
        <v>0</v>
      </c>
      <c r="I684" s="1"/>
      <c r="J684" s="1"/>
    </row>
    <row r="685" hidden="1" outlineLevel="1">
      <c r="A685" s="1"/>
      <c r="B685" s="1"/>
      <c r="C685" s="1"/>
      <c r="D685" s="1"/>
      <c r="E685" s="127"/>
      <c r="F685" s="13"/>
      <c r="G685" s="185"/>
      <c r="H685" s="186">
        <f t="shared" si="23"/>
        <v>0</v>
      </c>
      <c r="I685" s="1"/>
      <c r="J685" s="1"/>
    </row>
    <row r="686" hidden="1" outlineLevel="1">
      <c r="A686" s="1"/>
      <c r="B686" s="1"/>
      <c r="C686" s="1"/>
      <c r="D686" s="1"/>
      <c r="E686" s="127"/>
      <c r="F686" s="13"/>
      <c r="G686" s="185"/>
      <c r="H686" s="186">
        <f t="shared" si="23"/>
        <v>0</v>
      </c>
      <c r="I686" s="1"/>
      <c r="J686" s="1"/>
    </row>
    <row r="687" hidden="1" outlineLevel="1">
      <c r="A687" s="1"/>
      <c r="B687" s="1"/>
      <c r="C687" s="1"/>
      <c r="D687" s="1"/>
      <c r="E687" s="127"/>
      <c r="F687" s="13"/>
      <c r="G687" s="185"/>
      <c r="H687" s="186">
        <f t="shared" si="23"/>
        <v>0</v>
      </c>
      <c r="I687" s="1"/>
      <c r="J687" s="1"/>
    </row>
    <row r="688" hidden="1" outlineLevel="1">
      <c r="A688" s="1"/>
      <c r="B688" s="1"/>
      <c r="C688" s="1"/>
      <c r="D688" s="1"/>
      <c r="E688" s="127"/>
      <c r="F688" s="13"/>
      <c r="G688" s="185"/>
      <c r="H688" s="186">
        <f t="shared" si="23"/>
        <v>0</v>
      </c>
      <c r="I688" s="1"/>
      <c r="J688" s="1"/>
    </row>
    <row r="689" hidden="1" outlineLevel="1">
      <c r="A689" s="1"/>
      <c r="B689" s="1"/>
      <c r="C689" s="1"/>
      <c r="D689" s="1"/>
      <c r="E689" s="127"/>
      <c r="F689" s="13"/>
      <c r="G689" s="185"/>
      <c r="H689" s="186">
        <f t="shared" si="23"/>
        <v>0</v>
      </c>
      <c r="I689" s="1"/>
      <c r="J689" s="1"/>
    </row>
    <row r="690" hidden="1" outlineLevel="1">
      <c r="A690" s="1"/>
      <c r="B690" s="1"/>
      <c r="C690" s="1"/>
      <c r="D690" s="1"/>
      <c r="E690" s="127"/>
      <c r="F690" s="13"/>
      <c r="G690" s="185"/>
      <c r="H690" s="186">
        <f t="shared" si="23"/>
        <v>0</v>
      </c>
      <c r="I690" s="1"/>
      <c r="J690" s="1"/>
    </row>
    <row r="691" hidden="1" outlineLevel="1">
      <c r="A691" s="1"/>
      <c r="B691" s="1"/>
      <c r="C691" s="1"/>
      <c r="D691" s="1"/>
      <c r="E691" s="127"/>
      <c r="F691" s="13"/>
      <c r="G691" s="185"/>
      <c r="H691" s="186">
        <f t="shared" si="23"/>
        <v>0</v>
      </c>
      <c r="I691" s="1"/>
      <c r="J691" s="1"/>
    </row>
    <row r="692" hidden="1" outlineLevel="1">
      <c r="A692" s="1"/>
      <c r="B692" s="1"/>
      <c r="C692" s="1"/>
      <c r="D692" s="1"/>
      <c r="E692" s="127"/>
      <c r="F692" s="13"/>
      <c r="G692" s="185"/>
      <c r="H692" s="186">
        <f t="shared" si="23"/>
        <v>0</v>
      </c>
      <c r="I692" s="1"/>
      <c r="J692" s="1"/>
    </row>
    <row r="693">
      <c r="A693" s="1"/>
      <c r="B693" s="1"/>
      <c r="C693" s="1"/>
      <c r="D693" s="1"/>
      <c r="E693" s="1"/>
      <c r="F693" s="13"/>
      <c r="G693" s="184"/>
      <c r="H693" s="184"/>
      <c r="I693" s="1"/>
      <c r="J693" s="1"/>
    </row>
    <row r="694">
      <c r="A694" s="16"/>
      <c r="B694" s="16"/>
      <c r="C694" s="16"/>
      <c r="D694" s="16"/>
      <c r="E694" s="172" t="s">
        <v>281</v>
      </c>
      <c r="F694" s="15"/>
      <c r="G694" s="188"/>
      <c r="H694" s="188">
        <f>H698</f>
        <v>13500</v>
      </c>
      <c r="I694" s="16"/>
      <c r="J694" s="16"/>
    </row>
    <row r="695">
      <c r="A695" s="16"/>
      <c r="B695" s="16"/>
      <c r="C695" s="16"/>
      <c r="D695" s="16"/>
      <c r="E695" s="16"/>
      <c r="F695" s="121" t="str">
        <f>F461</f>
        <v># Large Go Lives [Potencializar]</v>
      </c>
      <c r="G695" s="121"/>
      <c r="H695" s="189">
        <f>H461</f>
        <v>3</v>
      </c>
      <c r="I695" s="16"/>
      <c r="J695" s="16"/>
    </row>
    <row r="696">
      <c r="A696" s="16"/>
      <c r="B696" s="16"/>
      <c r="C696" s="16"/>
      <c r="D696" s="16"/>
      <c r="E696" s="16"/>
      <c r="F696" s="121" t="s">
        <v>275</v>
      </c>
      <c r="G696" s="191"/>
      <c r="H696" s="191">
        <v>4500.0</v>
      </c>
      <c r="I696" s="16"/>
      <c r="J696" s="16"/>
    </row>
    <row r="697">
      <c r="A697" s="16"/>
      <c r="B697" s="16"/>
      <c r="C697" s="16"/>
      <c r="D697" s="16"/>
      <c r="E697" s="16"/>
      <c r="F697" s="121" t="s">
        <v>276</v>
      </c>
      <c r="G697" s="152"/>
      <c r="H697" s="154">
        <v>1.1</v>
      </c>
      <c r="I697" s="16"/>
      <c r="J697" s="16"/>
    </row>
    <row r="698">
      <c r="A698" s="16"/>
      <c r="B698" s="16"/>
      <c r="C698" s="16"/>
      <c r="D698" s="16"/>
      <c r="E698" s="16"/>
      <c r="F698" s="172" t="s">
        <v>277</v>
      </c>
      <c r="G698" s="188"/>
      <c r="H698" s="188">
        <f>H695*H696</f>
        <v>13500</v>
      </c>
      <c r="I698" s="16"/>
      <c r="J698" s="16"/>
    </row>
    <row r="699">
      <c r="A699" s="16"/>
      <c r="B699" s="16"/>
      <c r="C699" s="16"/>
      <c r="D699" s="16"/>
      <c r="E699" s="16"/>
      <c r="F699" s="160"/>
      <c r="G699" s="188"/>
      <c r="H699" s="188"/>
      <c r="I699" s="16"/>
      <c r="J699" s="16"/>
    </row>
    <row r="700">
      <c r="A700" s="136"/>
      <c r="B700" s="136"/>
      <c r="C700" s="136"/>
      <c r="D700" s="137" t="s">
        <v>48</v>
      </c>
      <c r="E700" s="136"/>
      <c r="F700" s="136"/>
      <c r="G700" s="183"/>
      <c r="H700" s="183"/>
      <c r="I700" s="136"/>
      <c r="J700" s="136"/>
    </row>
    <row r="701">
      <c r="A701" s="1"/>
      <c r="B701" s="1"/>
      <c r="C701" s="1"/>
      <c r="D701" s="1"/>
      <c r="E701" s="13" t="s">
        <v>282</v>
      </c>
      <c r="F701" s="1"/>
      <c r="G701" s="184"/>
      <c r="H701" s="184"/>
      <c r="I701" s="1"/>
      <c r="J701" s="1"/>
    </row>
    <row r="702">
      <c r="A702" s="1"/>
      <c r="B702" s="1"/>
      <c r="C702" s="1"/>
      <c r="D702" s="1"/>
      <c r="E702" s="127"/>
      <c r="F702" s="13" t="str">
        <f t="shared" ref="F702:H702" si="24">F923</f>
        <v>$ [Executar-no loyalty] Revenue Expansion</v>
      </c>
      <c r="G702" s="171" t="str">
        <f t="shared" si="24"/>
        <v/>
      </c>
      <c r="H702" s="180">
        <f t="shared" si="24"/>
        <v>0</v>
      </c>
      <c r="I702" s="1"/>
      <c r="J702" s="1"/>
    </row>
    <row r="703">
      <c r="A703" s="1"/>
      <c r="B703" s="1"/>
      <c r="C703" s="1"/>
      <c r="D703" s="1"/>
      <c r="E703" s="127"/>
      <c r="F703" s="13" t="s">
        <v>262</v>
      </c>
      <c r="G703" s="184"/>
      <c r="H703" s="184">
        <f>H484</f>
        <v>0</v>
      </c>
      <c r="I703" s="1"/>
      <c r="J703" s="1"/>
    </row>
    <row r="704">
      <c r="A704" s="1"/>
      <c r="B704" s="1"/>
      <c r="C704" s="1"/>
      <c r="D704" s="1"/>
      <c r="E704" s="127"/>
      <c r="F704" s="13" t="s">
        <v>263</v>
      </c>
      <c r="G704" s="184"/>
      <c r="H704" s="184">
        <f>SUM(H702:H703)</f>
        <v>0</v>
      </c>
      <c r="I704" s="1"/>
      <c r="J704" s="1"/>
    </row>
    <row r="705" collapsed="1">
      <c r="A705" s="1"/>
      <c r="B705" s="1"/>
      <c r="C705" s="1"/>
      <c r="D705" s="1"/>
      <c r="E705" s="127"/>
      <c r="F705" s="13" t="s">
        <v>264</v>
      </c>
      <c r="G705" s="185"/>
      <c r="H705" s="185">
        <v>2.0</v>
      </c>
      <c r="I705" s="1"/>
      <c r="J705" s="1"/>
    </row>
    <row r="706" hidden="1" outlineLevel="1">
      <c r="A706" s="1"/>
      <c r="B706" s="1"/>
      <c r="C706" s="1"/>
      <c r="D706" s="1"/>
      <c r="E706" s="127"/>
      <c r="F706" s="13"/>
      <c r="G706" s="184"/>
      <c r="H706" s="186">
        <f t="shared" ref="H706:H717" si="25">IF(COLUMN() &lt; (COLUMN($H$706) + (ROW()-ROW($H$706))), 0, IF(COLUMN() = (COLUMN($H$706) + (ROW()-ROW($H$706))), $H$705, IF(G706&gt;0, G706-1, $H$705-1)))</f>
        <v>2</v>
      </c>
      <c r="I706" s="1"/>
      <c r="J706" s="1"/>
    </row>
    <row r="707" hidden="1" outlineLevel="1">
      <c r="A707" s="1"/>
      <c r="B707" s="1"/>
      <c r="C707" s="1"/>
      <c r="D707" s="1"/>
      <c r="E707" s="127"/>
      <c r="F707" s="13"/>
      <c r="G707" s="184"/>
      <c r="H707" s="186">
        <f t="shared" si="25"/>
        <v>0</v>
      </c>
      <c r="I707" s="1"/>
      <c r="J707" s="1"/>
    </row>
    <row r="708" hidden="1" outlineLevel="1">
      <c r="A708" s="1"/>
      <c r="B708" s="1"/>
      <c r="C708" s="1"/>
      <c r="D708" s="1"/>
      <c r="E708" s="127"/>
      <c r="F708" s="13"/>
      <c r="G708" s="184"/>
      <c r="H708" s="186">
        <f t="shared" si="25"/>
        <v>0</v>
      </c>
      <c r="I708" s="1"/>
      <c r="J708" s="1"/>
    </row>
    <row r="709" hidden="1" outlineLevel="1">
      <c r="A709" s="1"/>
      <c r="B709" s="1"/>
      <c r="C709" s="1"/>
      <c r="D709" s="1"/>
      <c r="E709" s="1"/>
      <c r="F709" s="13"/>
      <c r="G709" s="155"/>
      <c r="H709" s="186">
        <f t="shared" si="25"/>
        <v>0</v>
      </c>
      <c r="I709" s="1"/>
      <c r="J709" s="1"/>
    </row>
    <row r="710" hidden="1" outlineLevel="1">
      <c r="A710" s="1"/>
      <c r="B710" s="1"/>
      <c r="C710" s="1"/>
      <c r="D710" s="1"/>
      <c r="E710" s="1"/>
      <c r="F710" s="13"/>
      <c r="G710" s="155"/>
      <c r="H710" s="186">
        <f t="shared" si="25"/>
        <v>0</v>
      </c>
      <c r="I710" s="1"/>
      <c r="J710" s="1"/>
    </row>
    <row r="711" hidden="1" outlineLevel="1">
      <c r="A711" s="1"/>
      <c r="B711" s="1"/>
      <c r="C711" s="1"/>
      <c r="D711" s="1"/>
      <c r="E711" s="1"/>
      <c r="F711" s="13"/>
      <c r="G711" s="155"/>
      <c r="H711" s="186">
        <f t="shared" si="25"/>
        <v>0</v>
      </c>
      <c r="I711" s="1"/>
      <c r="J711" s="1"/>
    </row>
    <row r="712" hidden="1" outlineLevel="1">
      <c r="A712" s="1"/>
      <c r="B712" s="1"/>
      <c r="C712" s="1"/>
      <c r="D712" s="1"/>
      <c r="E712" s="1"/>
      <c r="F712" s="13"/>
      <c r="G712" s="155"/>
      <c r="H712" s="186">
        <f t="shared" si="25"/>
        <v>0</v>
      </c>
      <c r="I712" s="1"/>
      <c r="J712" s="1"/>
    </row>
    <row r="713" hidden="1" outlineLevel="1">
      <c r="A713" s="1"/>
      <c r="B713" s="1"/>
      <c r="C713" s="1"/>
      <c r="D713" s="1"/>
      <c r="E713" s="1"/>
      <c r="F713" s="13"/>
      <c r="G713" s="155"/>
      <c r="H713" s="186">
        <f t="shared" si="25"/>
        <v>0</v>
      </c>
      <c r="I713" s="1"/>
      <c r="J713" s="1"/>
    </row>
    <row r="714" hidden="1" outlineLevel="1">
      <c r="A714" s="1"/>
      <c r="B714" s="1"/>
      <c r="C714" s="1"/>
      <c r="D714" s="1"/>
      <c r="E714" s="1"/>
      <c r="F714" s="13"/>
      <c r="G714" s="155"/>
      <c r="H714" s="186">
        <f t="shared" si="25"/>
        <v>0</v>
      </c>
      <c r="I714" s="1"/>
      <c r="J714" s="1"/>
    </row>
    <row r="715" hidden="1" outlineLevel="1">
      <c r="A715" s="1"/>
      <c r="B715" s="1"/>
      <c r="C715" s="1"/>
      <c r="D715" s="1"/>
      <c r="E715" s="1"/>
      <c r="F715" s="13"/>
      <c r="G715" s="155"/>
      <c r="H715" s="186">
        <f t="shared" si="25"/>
        <v>0</v>
      </c>
      <c r="I715" s="1"/>
      <c r="J715" s="1"/>
    </row>
    <row r="716" hidden="1" outlineLevel="1">
      <c r="A716" s="1"/>
      <c r="B716" s="1"/>
      <c r="C716" s="1"/>
      <c r="D716" s="1"/>
      <c r="E716" s="1"/>
      <c r="F716" s="13"/>
      <c r="G716" s="155"/>
      <c r="H716" s="186">
        <f t="shared" si="25"/>
        <v>0</v>
      </c>
      <c r="I716" s="1"/>
      <c r="J716" s="1"/>
    </row>
    <row r="717" hidden="1" outlineLevel="1">
      <c r="A717" s="1"/>
      <c r="B717" s="1"/>
      <c r="C717" s="1"/>
      <c r="D717" s="1"/>
      <c r="E717" s="1"/>
      <c r="F717" s="13"/>
      <c r="G717" s="155"/>
      <c r="H717" s="186">
        <f t="shared" si="25"/>
        <v>0</v>
      </c>
      <c r="I717" s="1"/>
      <c r="J717" s="1"/>
    </row>
    <row r="718" hidden="1" outlineLevel="1">
      <c r="A718" s="1"/>
      <c r="B718" s="1"/>
      <c r="C718" s="1"/>
      <c r="D718" s="1"/>
      <c r="E718" s="1"/>
      <c r="F718" s="13"/>
      <c r="G718" s="155"/>
      <c r="H718" s="186"/>
      <c r="I718" s="1"/>
      <c r="J718" s="1"/>
    </row>
    <row r="719">
      <c r="A719" s="1"/>
      <c r="B719" s="1"/>
      <c r="C719" s="1"/>
      <c r="D719" s="1"/>
      <c r="E719" s="1"/>
      <c r="F719" s="13" t="s">
        <v>266</v>
      </c>
      <c r="G719" s="155"/>
      <c r="H719" s="155">
        <v>0.8</v>
      </c>
      <c r="I719" s="1"/>
      <c r="J719" s="1"/>
    </row>
    <row r="720" collapsed="1">
      <c r="A720" s="1"/>
      <c r="B720" s="1"/>
      <c r="C720" s="1"/>
      <c r="D720" s="1"/>
      <c r="E720" s="127"/>
      <c r="F720" s="13" t="s">
        <v>265</v>
      </c>
      <c r="G720" s="184"/>
      <c r="H720" s="184">
        <f>H721-H704</f>
        <v>0</v>
      </c>
      <c r="I720" s="1"/>
      <c r="J720" s="1"/>
    </row>
    <row r="721" hidden="1" outlineLevel="1">
      <c r="A721" s="1"/>
      <c r="B721" s="1"/>
      <c r="C721" s="1"/>
      <c r="D721" s="1"/>
      <c r="E721" s="127"/>
      <c r="F721" s="13" t="s">
        <v>267</v>
      </c>
      <c r="G721" s="184"/>
      <c r="H721" s="184">
        <f>SUM(H722:H733)</f>
        <v>0</v>
      </c>
      <c r="I721" s="1"/>
      <c r="J721" s="1"/>
    </row>
    <row r="722" hidden="1" outlineLevel="1">
      <c r="A722" s="1"/>
      <c r="B722" s="1"/>
      <c r="C722" s="1"/>
      <c r="D722" s="1"/>
      <c r="E722" s="1"/>
      <c r="F722" s="13"/>
      <c r="G722" s="155"/>
      <c r="H722" s="186">
        <f t="shared" ref="H722:H733" si="26">IF(COLUMN() &lt; (COLUMN($H$722) + (ROW()-ROW($H$722))), 0, IF(COLUMN() = (COLUMN($H$722) + (ROW()-ROW($H$722))), INDEX($H$704, 1, COLUMN()-COLUMN($H$704)+1), IF(H706=0, OFFSET(H722, 0, -$H$705) * $H$719, 0)))</f>
        <v>0</v>
      </c>
      <c r="I722" s="1"/>
      <c r="J722" s="1"/>
    </row>
    <row r="723" hidden="1" outlineLevel="1">
      <c r="A723" s="1"/>
      <c r="B723" s="1"/>
      <c r="C723" s="1"/>
      <c r="D723" s="1"/>
      <c r="E723" s="1"/>
      <c r="F723" s="13"/>
      <c r="G723" s="155"/>
      <c r="H723" s="186">
        <f t="shared" si="26"/>
        <v>0</v>
      </c>
      <c r="I723" s="1"/>
      <c r="J723" s="1"/>
    </row>
    <row r="724" hidden="1" outlineLevel="1">
      <c r="A724" s="1"/>
      <c r="B724" s="1"/>
      <c r="C724" s="1"/>
      <c r="D724" s="1"/>
      <c r="E724" s="1"/>
      <c r="F724" s="13"/>
      <c r="G724" s="155"/>
      <c r="H724" s="186">
        <f t="shared" si="26"/>
        <v>0</v>
      </c>
      <c r="I724" s="1"/>
      <c r="J724" s="1"/>
    </row>
    <row r="725" hidden="1" outlineLevel="1">
      <c r="A725" s="1"/>
      <c r="B725" s="1"/>
      <c r="C725" s="1"/>
      <c r="D725" s="1"/>
      <c r="E725" s="1"/>
      <c r="F725" s="13"/>
      <c r="G725" s="155"/>
      <c r="H725" s="186">
        <f t="shared" si="26"/>
        <v>0</v>
      </c>
      <c r="I725" s="1"/>
      <c r="J725" s="1"/>
    </row>
    <row r="726" hidden="1" outlineLevel="1">
      <c r="A726" s="1"/>
      <c r="B726" s="1"/>
      <c r="C726" s="1"/>
      <c r="D726" s="1"/>
      <c r="E726" s="1"/>
      <c r="F726" s="13"/>
      <c r="G726" s="155"/>
      <c r="H726" s="186">
        <f t="shared" si="26"/>
        <v>0</v>
      </c>
      <c r="I726" s="1"/>
      <c r="J726" s="1"/>
    </row>
    <row r="727" hidden="1" outlineLevel="1">
      <c r="A727" s="1"/>
      <c r="B727" s="1"/>
      <c r="C727" s="1"/>
      <c r="D727" s="1"/>
      <c r="E727" s="1"/>
      <c r="F727" s="13"/>
      <c r="G727" s="155"/>
      <c r="H727" s="186">
        <f t="shared" si="26"/>
        <v>0</v>
      </c>
      <c r="I727" s="1"/>
      <c r="J727" s="1"/>
    </row>
    <row r="728" hidden="1" outlineLevel="1">
      <c r="A728" s="1"/>
      <c r="B728" s="1"/>
      <c r="C728" s="1"/>
      <c r="D728" s="1"/>
      <c r="E728" s="1"/>
      <c r="F728" s="13"/>
      <c r="G728" s="155"/>
      <c r="H728" s="186">
        <f t="shared" si="26"/>
        <v>0</v>
      </c>
      <c r="I728" s="1"/>
      <c r="J728" s="1"/>
    </row>
    <row r="729" hidden="1" outlineLevel="1">
      <c r="A729" s="1"/>
      <c r="B729" s="1"/>
      <c r="C729" s="1"/>
      <c r="D729" s="1"/>
      <c r="E729" s="1"/>
      <c r="F729" s="13"/>
      <c r="G729" s="155"/>
      <c r="H729" s="186">
        <f t="shared" si="26"/>
        <v>0</v>
      </c>
      <c r="I729" s="1"/>
      <c r="J729" s="1"/>
    </row>
    <row r="730" hidden="1" outlineLevel="1">
      <c r="A730" s="1"/>
      <c r="B730" s="1"/>
      <c r="C730" s="1"/>
      <c r="D730" s="1"/>
      <c r="E730" s="1"/>
      <c r="F730" s="13"/>
      <c r="G730" s="155"/>
      <c r="H730" s="186">
        <f t="shared" si="26"/>
        <v>0</v>
      </c>
      <c r="I730" s="1"/>
      <c r="J730" s="1"/>
    </row>
    <row r="731" hidden="1" outlineLevel="1">
      <c r="A731" s="1"/>
      <c r="B731" s="1"/>
      <c r="C731" s="1"/>
      <c r="D731" s="1"/>
      <c r="E731" s="1"/>
      <c r="F731" s="13"/>
      <c r="G731" s="155"/>
      <c r="H731" s="186">
        <f t="shared" si="26"/>
        <v>0</v>
      </c>
      <c r="I731" s="1"/>
      <c r="J731" s="1"/>
    </row>
    <row r="732" hidden="1" outlineLevel="1">
      <c r="A732" s="1"/>
      <c r="B732" s="1"/>
      <c r="C732" s="1"/>
      <c r="D732" s="1"/>
      <c r="E732" s="1"/>
      <c r="F732" s="13"/>
      <c r="G732" s="155"/>
      <c r="H732" s="186">
        <f t="shared" si="26"/>
        <v>0</v>
      </c>
      <c r="I732" s="1"/>
      <c r="J732" s="1"/>
    </row>
    <row r="733" hidden="1" outlineLevel="1">
      <c r="A733" s="1"/>
      <c r="B733" s="1"/>
      <c r="C733" s="1"/>
      <c r="D733" s="1"/>
      <c r="E733" s="1"/>
      <c r="F733" s="13"/>
      <c r="G733" s="155"/>
      <c r="H733" s="186">
        <f t="shared" si="26"/>
        <v>0</v>
      </c>
      <c r="I733" s="1"/>
      <c r="J733" s="1"/>
    </row>
    <row r="734">
      <c r="A734" s="1"/>
      <c r="B734" s="1"/>
      <c r="C734" s="1"/>
      <c r="D734" s="1"/>
      <c r="E734" s="1"/>
      <c r="F734" s="13"/>
      <c r="G734" s="155"/>
      <c r="H734" s="186"/>
      <c r="I734" s="1"/>
      <c r="J734" s="1"/>
    </row>
    <row r="735">
      <c r="A735" s="1"/>
      <c r="B735" s="1"/>
      <c r="C735" s="1"/>
      <c r="D735" s="1"/>
      <c r="E735" s="13" t="s">
        <v>283</v>
      </c>
      <c r="F735" s="1"/>
      <c r="G735" s="184"/>
      <c r="H735" s="184">
        <f>H754</f>
        <v>0</v>
      </c>
      <c r="I735" s="1"/>
      <c r="J735" s="1"/>
    </row>
    <row r="736">
      <c r="A736" s="1"/>
      <c r="B736" s="1"/>
      <c r="C736" s="1"/>
      <c r="D736" s="1"/>
      <c r="E736" s="1"/>
      <c r="F736" s="13" t="str">
        <f t="shared" ref="F736:H736" si="27">F926</f>
        <v>$ [Executar-loyalty] Revenue Expansion</v>
      </c>
      <c r="G736" s="171" t="str">
        <f t="shared" si="27"/>
        <v/>
      </c>
      <c r="H736" s="180">
        <f t="shared" si="27"/>
        <v>0</v>
      </c>
      <c r="I736" s="1"/>
      <c r="J736" s="1"/>
    </row>
    <row r="737">
      <c r="A737" s="1"/>
      <c r="B737" s="1"/>
      <c r="C737" s="1"/>
      <c r="D737" s="1"/>
      <c r="E737" s="1"/>
      <c r="F737" s="13" t="s">
        <v>269</v>
      </c>
      <c r="G737" s="184"/>
      <c r="H737" s="184">
        <f>H486</f>
        <v>2232930</v>
      </c>
      <c r="I737" s="1"/>
      <c r="J737" s="1"/>
    </row>
    <row r="738">
      <c r="A738" s="1"/>
      <c r="B738" s="1"/>
      <c r="C738" s="1"/>
      <c r="D738" s="1"/>
      <c r="E738" s="1"/>
      <c r="F738" s="13" t="s">
        <v>270</v>
      </c>
      <c r="G738" s="184"/>
      <c r="H738" s="184">
        <f>SUM(H736:H737)</f>
        <v>2232930</v>
      </c>
      <c r="I738" s="1"/>
      <c r="J738" s="1"/>
    </row>
    <row r="739" collapsed="1">
      <c r="A739" s="1"/>
      <c r="B739" s="1"/>
      <c r="C739" s="1"/>
      <c r="D739" s="1"/>
      <c r="E739" s="1"/>
      <c r="F739" s="13" t="s">
        <v>264</v>
      </c>
      <c r="G739" s="185"/>
      <c r="H739" s="185">
        <v>7.0</v>
      </c>
      <c r="I739" s="1"/>
      <c r="J739" s="1"/>
    </row>
    <row r="740" hidden="1" outlineLevel="1">
      <c r="A740" s="1"/>
      <c r="B740" s="1"/>
      <c r="C740" s="1"/>
      <c r="D740" s="1"/>
      <c r="E740" s="1"/>
      <c r="F740" s="13"/>
      <c r="G740" s="155"/>
      <c r="H740" s="186">
        <f t="shared" ref="H740:H751" si="28">IF(COLUMN() &lt; (COLUMN($H$740) + (ROW()-ROW($H$740))), 0, IF(COLUMN() = (COLUMN($H$740) + (ROW()-ROW($H$740))), $H$739, IF(G740&gt;0, G740-1, $H$739-1)))</f>
        <v>7</v>
      </c>
      <c r="I740" s="1"/>
      <c r="J740" s="1"/>
    </row>
    <row r="741" hidden="1" outlineLevel="1">
      <c r="A741" s="1"/>
      <c r="B741" s="1"/>
      <c r="C741" s="1"/>
      <c r="D741" s="1"/>
      <c r="E741" s="1"/>
      <c r="F741" s="13"/>
      <c r="G741" s="155"/>
      <c r="H741" s="186">
        <f t="shared" si="28"/>
        <v>0</v>
      </c>
      <c r="I741" s="1"/>
      <c r="J741" s="1"/>
    </row>
    <row r="742" hidden="1" outlineLevel="1">
      <c r="A742" s="1"/>
      <c r="B742" s="1"/>
      <c r="C742" s="1"/>
      <c r="D742" s="1"/>
      <c r="E742" s="1"/>
      <c r="F742" s="13"/>
      <c r="G742" s="155"/>
      <c r="H742" s="186">
        <f t="shared" si="28"/>
        <v>0</v>
      </c>
      <c r="I742" s="1"/>
      <c r="J742" s="1"/>
    </row>
    <row r="743" hidden="1" outlineLevel="1">
      <c r="A743" s="1"/>
      <c r="B743" s="1"/>
      <c r="C743" s="1"/>
      <c r="D743" s="1"/>
      <c r="E743" s="1"/>
      <c r="F743" s="13"/>
      <c r="G743" s="155"/>
      <c r="H743" s="186">
        <f t="shared" si="28"/>
        <v>0</v>
      </c>
      <c r="I743" s="1"/>
      <c r="J743" s="1"/>
    </row>
    <row r="744" hidden="1" outlineLevel="1">
      <c r="A744" s="1"/>
      <c r="B744" s="1"/>
      <c r="C744" s="1"/>
      <c r="D744" s="1"/>
      <c r="E744" s="1"/>
      <c r="F744" s="13"/>
      <c r="G744" s="155"/>
      <c r="H744" s="186">
        <f t="shared" si="28"/>
        <v>0</v>
      </c>
      <c r="I744" s="1"/>
      <c r="J744" s="1"/>
    </row>
    <row r="745" hidden="1" outlineLevel="1">
      <c r="A745" s="1"/>
      <c r="B745" s="1"/>
      <c r="C745" s="1"/>
      <c r="D745" s="1"/>
      <c r="E745" s="1"/>
      <c r="F745" s="13"/>
      <c r="G745" s="155"/>
      <c r="H745" s="186">
        <f t="shared" si="28"/>
        <v>0</v>
      </c>
      <c r="I745" s="1"/>
      <c r="J745" s="1"/>
    </row>
    <row r="746" hidden="1" outlineLevel="1">
      <c r="A746" s="1"/>
      <c r="B746" s="1"/>
      <c r="C746" s="1"/>
      <c r="D746" s="1"/>
      <c r="E746" s="1"/>
      <c r="F746" s="13"/>
      <c r="G746" s="155"/>
      <c r="H746" s="186">
        <f t="shared" si="28"/>
        <v>0</v>
      </c>
      <c r="I746" s="1"/>
      <c r="J746" s="1"/>
    </row>
    <row r="747" hidden="1" outlineLevel="1">
      <c r="A747" s="1"/>
      <c r="B747" s="1"/>
      <c r="C747" s="1"/>
      <c r="D747" s="1"/>
      <c r="E747" s="1"/>
      <c r="F747" s="13"/>
      <c r="G747" s="155"/>
      <c r="H747" s="186">
        <f t="shared" si="28"/>
        <v>0</v>
      </c>
      <c r="I747" s="1"/>
      <c r="J747" s="1"/>
    </row>
    <row r="748" hidden="1" outlineLevel="1">
      <c r="A748" s="1"/>
      <c r="B748" s="1"/>
      <c r="C748" s="1"/>
      <c r="D748" s="1"/>
      <c r="E748" s="1"/>
      <c r="F748" s="13"/>
      <c r="G748" s="155"/>
      <c r="H748" s="186">
        <f t="shared" si="28"/>
        <v>0</v>
      </c>
      <c r="I748" s="1"/>
      <c r="J748" s="1"/>
    </row>
    <row r="749" hidden="1" outlineLevel="1">
      <c r="A749" s="1"/>
      <c r="B749" s="1"/>
      <c r="C749" s="1"/>
      <c r="D749" s="1"/>
      <c r="E749" s="1"/>
      <c r="F749" s="13"/>
      <c r="G749" s="155"/>
      <c r="H749" s="186">
        <f t="shared" si="28"/>
        <v>0</v>
      </c>
      <c r="I749" s="1"/>
      <c r="J749" s="1"/>
    </row>
    <row r="750" hidden="1" outlineLevel="1">
      <c r="A750" s="1"/>
      <c r="B750" s="1"/>
      <c r="C750" s="1"/>
      <c r="D750" s="1"/>
      <c r="E750" s="1"/>
      <c r="F750" s="13"/>
      <c r="G750" s="155"/>
      <c r="H750" s="186">
        <f t="shared" si="28"/>
        <v>0</v>
      </c>
      <c r="I750" s="1"/>
      <c r="J750" s="1"/>
    </row>
    <row r="751" hidden="1" outlineLevel="1">
      <c r="A751" s="1"/>
      <c r="B751" s="1"/>
      <c r="C751" s="1"/>
      <c r="D751" s="1"/>
      <c r="E751" s="1"/>
      <c r="F751" s="13"/>
      <c r="G751" s="155"/>
      <c r="H751" s="186">
        <f t="shared" si="28"/>
        <v>0</v>
      </c>
      <c r="I751" s="1"/>
      <c r="J751" s="1"/>
    </row>
    <row r="752" hidden="1" outlineLevel="1">
      <c r="A752" s="1"/>
      <c r="B752" s="1"/>
      <c r="C752" s="1"/>
      <c r="D752" s="1"/>
      <c r="E752" s="1"/>
      <c r="F752" s="13"/>
      <c r="G752" s="155"/>
      <c r="H752" s="186"/>
      <c r="I752" s="1"/>
      <c r="J752" s="1"/>
    </row>
    <row r="753">
      <c r="A753" s="1"/>
      <c r="B753" s="1"/>
      <c r="C753" s="1"/>
      <c r="D753" s="1"/>
      <c r="E753" s="1"/>
      <c r="F753" s="13" t="s">
        <v>271</v>
      </c>
      <c r="G753" s="155"/>
      <c r="H753" s="155">
        <v>0.2</v>
      </c>
      <c r="I753" s="1"/>
      <c r="J753" s="1"/>
    </row>
    <row r="754" collapsed="1">
      <c r="A754" s="1"/>
      <c r="B754" s="1"/>
      <c r="C754" s="1"/>
      <c r="D754" s="1"/>
      <c r="E754" s="1"/>
      <c r="F754" s="13" t="s">
        <v>272</v>
      </c>
      <c r="G754" s="184"/>
      <c r="H754" s="184">
        <f>H755-H738</f>
        <v>0</v>
      </c>
      <c r="I754" s="1"/>
      <c r="J754" s="1"/>
    </row>
    <row r="755" hidden="1" outlineLevel="1">
      <c r="A755" s="1"/>
      <c r="B755" s="1"/>
      <c r="C755" s="1"/>
      <c r="D755" s="1"/>
      <c r="E755" s="127"/>
      <c r="F755" s="13" t="s">
        <v>273</v>
      </c>
      <c r="G755" s="184"/>
      <c r="H755" s="184">
        <f>SUM(H756:H767)</f>
        <v>2232930</v>
      </c>
      <c r="I755" s="1"/>
      <c r="J755" s="1"/>
    </row>
    <row r="756" hidden="1" outlineLevel="1">
      <c r="A756" s="1"/>
      <c r="B756" s="1"/>
      <c r="C756" s="1"/>
      <c r="D756" s="1"/>
      <c r="E756" s="1"/>
      <c r="F756" s="13"/>
      <c r="G756" s="155"/>
      <c r="H756" s="186">
        <f t="shared" ref="H756:H767" si="29">IF(COLUMN() &lt; (COLUMN($H$756) + (ROW()-ROW($H$756))), 0, IF(COLUMN() = (COLUMN($H$756) + (ROW()-ROW($H$756))), INDEX($H$738, 1, COLUMN()-COLUMN($H$738)+1), IF(H740=0, OFFSET(H756, 0, -$H$739) * $H$753, 0)))</f>
        <v>2232930</v>
      </c>
      <c r="I756" s="1"/>
      <c r="J756" s="1"/>
    </row>
    <row r="757" hidden="1" outlineLevel="1">
      <c r="A757" s="1"/>
      <c r="B757" s="1"/>
      <c r="C757" s="1"/>
      <c r="D757" s="1"/>
      <c r="E757" s="1"/>
      <c r="F757" s="13"/>
      <c r="G757" s="155"/>
      <c r="H757" s="186">
        <f t="shared" si="29"/>
        <v>0</v>
      </c>
      <c r="I757" s="1"/>
      <c r="J757" s="1"/>
    </row>
    <row r="758" hidden="1" outlineLevel="1">
      <c r="A758" s="1"/>
      <c r="B758" s="1"/>
      <c r="C758" s="1"/>
      <c r="D758" s="1"/>
      <c r="E758" s="1"/>
      <c r="F758" s="13"/>
      <c r="G758" s="155"/>
      <c r="H758" s="186">
        <f t="shared" si="29"/>
        <v>0</v>
      </c>
      <c r="I758" s="1"/>
      <c r="J758" s="1"/>
    </row>
    <row r="759" hidden="1" outlineLevel="1">
      <c r="A759" s="1"/>
      <c r="B759" s="1"/>
      <c r="C759" s="1"/>
      <c r="D759" s="1"/>
      <c r="E759" s="1"/>
      <c r="F759" s="13"/>
      <c r="G759" s="155"/>
      <c r="H759" s="186">
        <f t="shared" si="29"/>
        <v>0</v>
      </c>
      <c r="I759" s="1"/>
      <c r="J759" s="1"/>
    </row>
    <row r="760" hidden="1" outlineLevel="1">
      <c r="A760" s="1"/>
      <c r="B760" s="1"/>
      <c r="C760" s="1"/>
      <c r="D760" s="1"/>
      <c r="E760" s="1"/>
      <c r="F760" s="13"/>
      <c r="G760" s="155"/>
      <c r="H760" s="186">
        <f t="shared" si="29"/>
        <v>0</v>
      </c>
      <c r="I760" s="1"/>
      <c r="J760" s="1"/>
    </row>
    <row r="761" hidden="1" outlineLevel="1">
      <c r="A761" s="1"/>
      <c r="B761" s="1"/>
      <c r="C761" s="1"/>
      <c r="D761" s="1"/>
      <c r="E761" s="1"/>
      <c r="F761" s="13"/>
      <c r="G761" s="155"/>
      <c r="H761" s="186">
        <f t="shared" si="29"/>
        <v>0</v>
      </c>
      <c r="I761" s="1"/>
      <c r="J761" s="1"/>
    </row>
    <row r="762" hidden="1" outlineLevel="1">
      <c r="A762" s="1"/>
      <c r="B762" s="1"/>
      <c r="C762" s="1"/>
      <c r="D762" s="1"/>
      <c r="E762" s="1"/>
      <c r="F762" s="13"/>
      <c r="G762" s="155"/>
      <c r="H762" s="186">
        <f t="shared" si="29"/>
        <v>0</v>
      </c>
      <c r="I762" s="1"/>
      <c r="J762" s="1"/>
    </row>
    <row r="763" hidden="1" outlineLevel="1">
      <c r="A763" s="1"/>
      <c r="B763" s="1"/>
      <c r="C763" s="1"/>
      <c r="D763" s="1"/>
      <c r="E763" s="1"/>
      <c r="F763" s="13"/>
      <c r="G763" s="155"/>
      <c r="H763" s="186">
        <f t="shared" si="29"/>
        <v>0</v>
      </c>
      <c r="I763" s="1"/>
      <c r="J763" s="1"/>
    </row>
    <row r="764" hidden="1" outlineLevel="1">
      <c r="A764" s="1"/>
      <c r="B764" s="1"/>
      <c r="C764" s="1"/>
      <c r="D764" s="1"/>
      <c r="E764" s="1"/>
      <c r="F764" s="13"/>
      <c r="G764" s="155"/>
      <c r="H764" s="186">
        <f t="shared" si="29"/>
        <v>0</v>
      </c>
      <c r="I764" s="1"/>
      <c r="J764" s="1"/>
    </row>
    <row r="765" hidden="1" outlineLevel="1">
      <c r="A765" s="1"/>
      <c r="B765" s="1"/>
      <c r="C765" s="1"/>
      <c r="D765" s="1"/>
      <c r="E765" s="1"/>
      <c r="F765" s="13"/>
      <c r="G765" s="155"/>
      <c r="H765" s="186">
        <f t="shared" si="29"/>
        <v>0</v>
      </c>
      <c r="I765" s="1"/>
      <c r="J765" s="1"/>
    </row>
    <row r="766" hidden="1" outlineLevel="1">
      <c r="A766" s="1"/>
      <c r="B766" s="1"/>
      <c r="C766" s="1"/>
      <c r="D766" s="1"/>
      <c r="E766" s="1"/>
      <c r="F766" s="13"/>
      <c r="G766" s="155"/>
      <c r="H766" s="186">
        <f t="shared" si="29"/>
        <v>0</v>
      </c>
      <c r="I766" s="1"/>
      <c r="J766" s="1"/>
    </row>
    <row r="767" hidden="1" outlineLevel="1">
      <c r="A767" s="1"/>
      <c r="B767" s="1"/>
      <c r="C767" s="1"/>
      <c r="D767" s="1"/>
      <c r="E767" s="1"/>
      <c r="F767" s="13"/>
      <c r="G767" s="155"/>
      <c r="H767" s="186">
        <f t="shared" si="29"/>
        <v>0</v>
      </c>
      <c r="I767" s="1"/>
      <c r="J767" s="1"/>
    </row>
    <row r="768" hidden="1" outlineLevel="1">
      <c r="A768" s="192"/>
      <c r="B768" s="193"/>
      <c r="C768" s="192"/>
      <c r="D768" s="192"/>
      <c r="E768" s="172"/>
      <c r="F768" s="15"/>
      <c r="G768" s="188"/>
      <c r="H768" s="186">
        <f t="array" ref="H768">IF(COLUMN() &lt; (COLUMN($H$756) + (ROW()-ROW($H$756))), 0, IF(COLUMN() = (COLUMN($H$756) + (ROW()-ROW($H$756))), INDEX($H$738, 1, COLUMN()-COLUMN($H$738)+1), IF(H753=0, OFFSET(H768, 0, -$H$739) * $H$753, 0)))</f>
        <v>0</v>
      </c>
      <c r="I768" s="192"/>
      <c r="J768" s="192"/>
    </row>
    <row r="769">
      <c r="A769" s="192"/>
      <c r="B769" s="193"/>
      <c r="C769" s="192"/>
      <c r="D769" s="192"/>
      <c r="E769" s="172"/>
      <c r="F769" s="15"/>
      <c r="G769" s="188"/>
      <c r="H769" s="186"/>
      <c r="I769" s="192"/>
      <c r="J769" s="192"/>
    </row>
    <row r="770">
      <c r="A770" s="192"/>
      <c r="B770" s="193"/>
      <c r="C770" s="192"/>
      <c r="D770" s="192"/>
      <c r="E770" s="172" t="s">
        <v>284</v>
      </c>
      <c r="F770" s="15"/>
      <c r="G770" s="188"/>
      <c r="H770" s="188">
        <f>H774</f>
        <v>0</v>
      </c>
      <c r="I770" s="192"/>
      <c r="J770" s="192"/>
    </row>
    <row r="771">
      <c r="A771" s="192"/>
      <c r="B771" s="193"/>
      <c r="C771" s="192"/>
      <c r="D771" s="192"/>
      <c r="E771" s="16"/>
      <c r="F771" s="121" t="str">
        <f>F487</f>
        <v># Medium Go Lives [Potencializar]</v>
      </c>
      <c r="G771" s="121"/>
      <c r="H771" s="189">
        <f>H487</f>
        <v>0</v>
      </c>
      <c r="I771" s="192"/>
      <c r="J771" s="192"/>
    </row>
    <row r="772">
      <c r="A772" s="192"/>
      <c r="B772" s="193"/>
      <c r="C772" s="192"/>
      <c r="D772" s="192"/>
      <c r="E772" s="16"/>
      <c r="F772" s="121" t="s">
        <v>275</v>
      </c>
      <c r="G772" s="194"/>
      <c r="H772" s="194">
        <v>0.0</v>
      </c>
      <c r="I772" s="192"/>
      <c r="J772" s="192"/>
    </row>
    <row r="773">
      <c r="A773" s="192"/>
      <c r="B773" s="193"/>
      <c r="C773" s="192"/>
      <c r="D773" s="192"/>
      <c r="E773" s="16"/>
      <c r="F773" s="121" t="s">
        <v>276</v>
      </c>
      <c r="G773" s="154"/>
      <c r="H773" s="154">
        <v>0.0</v>
      </c>
      <c r="I773" s="192"/>
      <c r="J773" s="192"/>
    </row>
    <row r="774">
      <c r="A774" s="192"/>
      <c r="B774" s="193"/>
      <c r="C774" s="192"/>
      <c r="D774" s="192"/>
      <c r="E774" s="16"/>
      <c r="F774" s="172" t="s">
        <v>277</v>
      </c>
      <c r="G774" s="188"/>
      <c r="H774" s="188">
        <f>H771*H772</f>
        <v>0</v>
      </c>
      <c r="I774" s="192"/>
      <c r="J774" s="192"/>
    </row>
    <row r="775">
      <c r="A775" s="192"/>
      <c r="B775" s="193"/>
      <c r="C775" s="192"/>
      <c r="D775" s="16"/>
      <c r="E775" s="16"/>
      <c r="F775" s="160"/>
      <c r="G775" s="195"/>
      <c r="H775" s="195"/>
      <c r="I775" s="192"/>
      <c r="J775" s="192"/>
    </row>
    <row r="776">
      <c r="A776" s="192"/>
      <c r="B776" s="193"/>
      <c r="C776" s="192"/>
      <c r="D776" s="192"/>
      <c r="E776" s="192"/>
      <c r="F776" s="192"/>
      <c r="G776" s="195"/>
      <c r="H776" s="195"/>
      <c r="I776" s="192"/>
      <c r="J776" s="192"/>
    </row>
    <row r="777">
      <c r="A777" s="1"/>
      <c r="B777" s="116" t="s">
        <v>7</v>
      </c>
      <c r="C777" s="117"/>
      <c r="D777" s="117"/>
      <c r="E777" s="117"/>
      <c r="F777" s="117"/>
      <c r="G777" s="118"/>
      <c r="H777" s="118"/>
      <c r="I777" s="1"/>
      <c r="J777" s="1"/>
    </row>
    <row r="778">
      <c r="A778" s="1"/>
      <c r="B778" s="1"/>
      <c r="C778" s="1"/>
      <c r="D778" s="1"/>
      <c r="E778" s="1"/>
      <c r="F778" s="1"/>
      <c r="G778" s="163"/>
      <c r="H778" s="163"/>
      <c r="I778" s="1"/>
      <c r="J778" s="1"/>
    </row>
    <row r="779">
      <c r="A779" s="1"/>
      <c r="B779" s="1"/>
      <c r="C779" s="176" t="s">
        <v>285</v>
      </c>
      <c r="D779" s="176" t="s">
        <v>286</v>
      </c>
      <c r="E779" s="1"/>
      <c r="F779" s="1"/>
      <c r="G779" s="173"/>
      <c r="H779" s="173">
        <f>SUM(H782,H785,H788,H791,H794)</f>
        <v>0</v>
      </c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76" t="s">
        <v>287</v>
      </c>
      <c r="D781" s="176" t="s">
        <v>435</v>
      </c>
      <c r="E781" s="1"/>
      <c r="F781" s="1"/>
      <c r="G781" s="128"/>
      <c r="H781" s="128">
        <f>IFERROR(H782/H$779,0)</f>
        <v>0</v>
      </c>
      <c r="I781" s="1"/>
      <c r="J781" s="1"/>
    </row>
    <row r="782">
      <c r="A782" s="1"/>
      <c r="B782" s="1"/>
      <c r="C782" s="176" t="s">
        <v>285</v>
      </c>
      <c r="D782" s="176" t="s">
        <v>436</v>
      </c>
      <c r="E782" s="1"/>
      <c r="F782" s="1"/>
      <c r="G782" s="173"/>
      <c r="H782" s="173">
        <f>SUM(H827,H872,H917,H963,H1008)</f>
        <v>0</v>
      </c>
      <c r="I782" s="1"/>
      <c r="J782" s="1"/>
    </row>
    <row r="783">
      <c r="A783" s="1"/>
      <c r="B783" s="1"/>
      <c r="C783" s="1"/>
      <c r="D783" s="1"/>
      <c r="E783" s="1"/>
      <c r="F783" s="1"/>
      <c r="G783" s="178"/>
      <c r="H783" s="178"/>
      <c r="I783" s="1"/>
      <c r="J783" s="1"/>
    </row>
    <row r="784">
      <c r="A784" s="1"/>
      <c r="B784" s="1"/>
      <c r="C784" s="176" t="s">
        <v>287</v>
      </c>
      <c r="D784" s="176" t="s">
        <v>437</v>
      </c>
      <c r="E784" s="1"/>
      <c r="F784" s="1"/>
      <c r="G784" s="128"/>
      <c r="H784" s="128">
        <f>IFERROR(H785/H$779,0)</f>
        <v>0</v>
      </c>
      <c r="I784" s="1"/>
      <c r="J784" s="1"/>
    </row>
    <row r="785">
      <c r="A785" s="1"/>
      <c r="B785" s="1"/>
      <c r="C785" s="176" t="s">
        <v>285</v>
      </c>
      <c r="D785" s="176" t="s">
        <v>438</v>
      </c>
      <c r="E785" s="1"/>
      <c r="F785" s="1"/>
      <c r="G785" s="173"/>
      <c r="H785" s="173">
        <f>SUM(H830,H875,H920,H966,H1011)</f>
        <v>0</v>
      </c>
      <c r="I785" s="1"/>
      <c r="J785" s="1"/>
    </row>
    <row r="786">
      <c r="A786" s="1"/>
      <c r="B786" s="1"/>
      <c r="C786" s="1"/>
      <c r="D786" s="1"/>
      <c r="E786" s="1"/>
      <c r="F786" s="1"/>
      <c r="G786" s="178"/>
      <c r="H786" s="178"/>
      <c r="I786" s="1"/>
      <c r="J786" s="1"/>
    </row>
    <row r="787">
      <c r="A787" s="1"/>
      <c r="B787" s="1"/>
      <c r="C787" s="176" t="s">
        <v>287</v>
      </c>
      <c r="D787" s="13" t="s">
        <v>439</v>
      </c>
      <c r="E787" s="1"/>
      <c r="F787" s="1"/>
      <c r="G787" s="128"/>
      <c r="H787" s="128">
        <f>IFERROR(H788/H$779,0)</f>
        <v>0</v>
      </c>
      <c r="I787" s="1"/>
      <c r="J787" s="1"/>
    </row>
    <row r="788" ht="18.0" customHeight="1">
      <c r="A788" s="1"/>
      <c r="B788" s="1"/>
      <c r="C788" s="176" t="s">
        <v>285</v>
      </c>
      <c r="D788" s="13" t="s">
        <v>440</v>
      </c>
      <c r="E788" s="1"/>
      <c r="F788" s="1"/>
      <c r="G788" s="173"/>
      <c r="H788" s="173">
        <f>SUM(H833,H878,H923)</f>
        <v>0</v>
      </c>
      <c r="I788" s="1"/>
      <c r="J788" s="1"/>
    </row>
    <row r="789">
      <c r="A789" s="1"/>
      <c r="B789" s="1"/>
      <c r="C789" s="1"/>
      <c r="D789" s="1"/>
      <c r="E789" s="1"/>
      <c r="F789" s="1"/>
      <c r="G789" s="178"/>
      <c r="H789" s="178"/>
      <c r="I789" s="1"/>
      <c r="J789" s="1"/>
    </row>
    <row r="790">
      <c r="A790" s="1"/>
      <c r="B790" s="1"/>
      <c r="C790" s="176" t="s">
        <v>287</v>
      </c>
      <c r="D790" s="13" t="s">
        <v>441</v>
      </c>
      <c r="E790" s="1"/>
      <c r="F790" s="1"/>
      <c r="G790" s="128"/>
      <c r="H790" s="128">
        <f>IFERROR(H791/H$779,0)</f>
        <v>0</v>
      </c>
      <c r="I790" s="1"/>
      <c r="J790" s="1"/>
    </row>
    <row r="791" ht="18.0" customHeight="1">
      <c r="A791" s="1"/>
      <c r="B791" s="1"/>
      <c r="C791" s="176" t="s">
        <v>285</v>
      </c>
      <c r="D791" s="13" t="s">
        <v>442</v>
      </c>
      <c r="E791" s="1"/>
      <c r="F791" s="1"/>
      <c r="G791" s="173"/>
      <c r="H791" s="173">
        <f>SUM(H836,H881,H926)</f>
        <v>0</v>
      </c>
      <c r="I791" s="1"/>
      <c r="J791" s="1"/>
    </row>
    <row r="792">
      <c r="A792" s="1"/>
      <c r="B792" s="1"/>
      <c r="C792" s="1"/>
      <c r="D792" s="1"/>
      <c r="E792" s="1"/>
      <c r="F792" s="1"/>
      <c r="G792" s="178"/>
      <c r="H792" s="178"/>
      <c r="I792" s="1"/>
      <c r="J792" s="1"/>
    </row>
    <row r="793">
      <c r="A793" s="1"/>
      <c r="B793" s="1"/>
      <c r="C793" s="176" t="s">
        <v>287</v>
      </c>
      <c r="D793" s="176" t="s">
        <v>443</v>
      </c>
      <c r="E793" s="1"/>
      <c r="F793" s="1"/>
      <c r="G793" s="128"/>
      <c r="H793" s="128">
        <f>IFERROR(H794/H$779,0)</f>
        <v>0</v>
      </c>
      <c r="I793" s="1"/>
      <c r="J793" s="1"/>
    </row>
    <row r="794">
      <c r="A794" s="1"/>
      <c r="B794" s="1"/>
      <c r="C794" s="176" t="s">
        <v>285</v>
      </c>
      <c r="D794" s="176" t="s">
        <v>444</v>
      </c>
      <c r="E794" s="1"/>
      <c r="F794" s="1"/>
      <c r="G794" s="173"/>
      <c r="H794" s="173">
        <f>SUM(H839,H884,H929)</f>
        <v>0</v>
      </c>
      <c r="I794" s="1"/>
      <c r="J794" s="1"/>
    </row>
    <row r="795">
      <c r="A795" s="1"/>
      <c r="B795" s="1"/>
      <c r="C795" s="1"/>
      <c r="D795" s="1"/>
      <c r="E795" s="1"/>
      <c r="F795" s="1"/>
      <c r="G795" s="143"/>
      <c r="H795" s="143"/>
      <c r="I795" s="1"/>
      <c r="J795" s="1"/>
    </row>
    <row r="796">
      <c r="A796" s="160"/>
      <c r="B796" s="160"/>
      <c r="C796" s="160"/>
      <c r="D796" s="144" t="s">
        <v>46</v>
      </c>
      <c r="E796" s="160"/>
      <c r="F796" s="160"/>
      <c r="G796" s="127"/>
      <c r="H796" s="127"/>
      <c r="I796" s="127"/>
      <c r="J796" s="127"/>
    </row>
    <row r="797">
      <c r="A797" s="160"/>
      <c r="B797" s="160"/>
      <c r="C797" s="160"/>
      <c r="D797" s="160"/>
      <c r="E797" s="172" t="s">
        <v>136</v>
      </c>
      <c r="G797" s="160"/>
      <c r="H797" s="189">
        <f>$H$414</f>
        <v>22</v>
      </c>
      <c r="I797" s="198"/>
      <c r="J797" s="198"/>
    </row>
    <row r="798">
      <c r="A798" s="160"/>
      <c r="B798" s="160"/>
      <c r="C798" s="160"/>
      <c r="D798" s="160"/>
      <c r="E798" s="1" t="s">
        <v>138</v>
      </c>
      <c r="G798" s="142">
        <f>H798/H800</f>
        <v>0.02595376364</v>
      </c>
      <c r="H798" s="149">
        <f>SUM($H$416)</f>
        <v>2854914</v>
      </c>
      <c r="I798" s="172"/>
      <c r="J798" s="172"/>
    </row>
    <row r="799">
      <c r="A799" s="160"/>
      <c r="B799" s="160"/>
      <c r="C799" s="160"/>
      <c r="D799" s="160"/>
      <c r="E799" s="172" t="s">
        <v>298</v>
      </c>
      <c r="G799" s="19"/>
      <c r="H799" s="158">
        <v>5000000.0</v>
      </c>
      <c r="I799" s="160"/>
      <c r="J799" s="160"/>
    </row>
    <row r="800">
      <c r="A800" s="160"/>
      <c r="B800" s="160"/>
      <c r="C800" s="160"/>
      <c r="D800" s="160"/>
      <c r="E800" s="172" t="s">
        <v>299</v>
      </c>
      <c r="G800" s="19"/>
      <c r="H800" s="149">
        <f>$H$414*H799</f>
        <v>110000000</v>
      </c>
      <c r="I800" s="160"/>
      <c r="J800" s="160"/>
    </row>
    <row r="801">
      <c r="A801" s="160"/>
      <c r="B801" s="160"/>
      <c r="C801" s="160"/>
      <c r="D801" s="160"/>
      <c r="E801" s="172"/>
      <c r="G801" s="19"/>
      <c r="H801" s="149"/>
      <c r="I801" s="160"/>
      <c r="J801" s="160"/>
    </row>
    <row r="802">
      <c r="A802" s="160"/>
      <c r="B802" s="160"/>
      <c r="C802" s="160"/>
      <c r="D802" s="160"/>
      <c r="E802" s="172" t="s">
        <v>300</v>
      </c>
      <c r="G802" s="167">
        <f>IFERROR((G798*2),0.01)</f>
        <v>0.05190752727</v>
      </c>
      <c r="H802" s="219">
        <v>0.0</v>
      </c>
      <c r="I802" s="160"/>
      <c r="J802" s="160"/>
    </row>
    <row r="803">
      <c r="A803" s="160"/>
      <c r="B803" s="160"/>
      <c r="C803" s="160"/>
      <c r="D803" s="160"/>
      <c r="E803" s="172" t="s">
        <v>301</v>
      </c>
      <c r="G803" s="149">
        <f>H800*G802</f>
        <v>5709828</v>
      </c>
      <c r="H803" s="149"/>
      <c r="I803" s="160"/>
      <c r="J803" s="160"/>
    </row>
    <row r="804">
      <c r="A804" s="16"/>
      <c r="B804" s="16"/>
      <c r="C804" s="16"/>
      <c r="D804" s="16"/>
      <c r="E804" s="121" t="s">
        <v>302</v>
      </c>
      <c r="F804" s="16"/>
      <c r="G804" s="19"/>
      <c r="H804" s="149">
        <f>H798</f>
        <v>2854914</v>
      </c>
      <c r="I804" s="199" t="str">
        <f>#REF!</f>
        <v>#REF!</v>
      </c>
      <c r="J804" s="199"/>
    </row>
    <row r="805">
      <c r="A805" s="16"/>
      <c r="B805" s="16"/>
      <c r="C805" s="16"/>
      <c r="D805" s="16"/>
      <c r="E805" s="121" t="s">
        <v>303</v>
      </c>
      <c r="F805" s="16"/>
      <c r="G805" s="149">
        <f>G803-H804</f>
        <v>2854914</v>
      </c>
      <c r="H805" s="149">
        <f>$G$895*H802</f>
        <v>0</v>
      </c>
      <c r="I805" s="199">
        <f>SUM(H805)</f>
        <v>0</v>
      </c>
      <c r="J805" s="199"/>
    </row>
    <row r="806">
      <c r="A806" s="160"/>
      <c r="B806" s="160"/>
      <c r="C806" s="160"/>
      <c r="D806" s="160"/>
      <c r="E806" s="172"/>
      <c r="G806" s="151"/>
      <c r="H806" s="142"/>
      <c r="I806" s="160"/>
      <c r="J806" s="160"/>
    </row>
    <row r="807">
      <c r="A807" s="160"/>
      <c r="B807" s="160"/>
      <c r="C807" s="160"/>
      <c r="D807" s="160"/>
      <c r="E807" s="172" t="s">
        <v>304</v>
      </c>
      <c r="G807" s="19"/>
      <c r="H807" s="149">
        <f>$H$800-H804</f>
        <v>107145086</v>
      </c>
      <c r="I807" s="160"/>
      <c r="J807" s="160"/>
    </row>
    <row r="808">
      <c r="A808" s="16"/>
      <c r="B808" s="16"/>
      <c r="C808" s="16"/>
      <c r="D808" s="16"/>
      <c r="E808" s="121" t="s">
        <v>305</v>
      </c>
      <c r="F808" s="16"/>
      <c r="G808" s="151"/>
      <c r="H808" s="142">
        <f t="shared" ref="H808:I808" si="30">IFERROR(H804/$H$890,0)</f>
        <v>0.01865956863</v>
      </c>
      <c r="I808" s="200">
        <f t="shared" si="30"/>
        <v>0</v>
      </c>
      <c r="J808" s="200"/>
    </row>
    <row r="809">
      <c r="A809" s="16"/>
      <c r="B809" s="16"/>
      <c r="C809" s="16"/>
      <c r="D809" s="16"/>
      <c r="E809" s="121" t="s">
        <v>306</v>
      </c>
      <c r="F809" s="16"/>
      <c r="G809" s="141"/>
      <c r="H809" s="142">
        <f t="shared" ref="H809:I809" si="31">IFERROR(1-(H804/$H$800),0)</f>
        <v>0.9740462364</v>
      </c>
      <c r="I809" s="200">
        <f t="shared" si="31"/>
        <v>0</v>
      </c>
      <c r="J809" s="200"/>
    </row>
    <row r="810">
      <c r="A810" s="160"/>
      <c r="B810" s="160"/>
      <c r="C810" s="160"/>
      <c r="D810" s="160"/>
      <c r="E810" s="160"/>
      <c r="F810" s="172"/>
      <c r="G810" s="141"/>
      <c r="H810" s="158"/>
      <c r="I810" s="198"/>
      <c r="J810" s="198"/>
    </row>
    <row r="811">
      <c r="A811" s="16"/>
      <c r="B811" s="16"/>
      <c r="C811" s="16"/>
      <c r="D811" s="16"/>
      <c r="E811" s="121" t="s">
        <v>307</v>
      </c>
      <c r="F811" s="16"/>
      <c r="G811" s="141"/>
      <c r="H811" s="190">
        <f>ROUNDUP(H805/H812,0)</f>
        <v>0</v>
      </c>
      <c r="I811" s="201">
        <f>SUM(H811)</f>
        <v>0</v>
      </c>
      <c r="J811" s="201"/>
    </row>
    <row r="812">
      <c r="A812" s="160"/>
      <c r="B812" s="160"/>
      <c r="C812" s="160"/>
      <c r="D812" s="160"/>
      <c r="E812" s="172" t="s">
        <v>308</v>
      </c>
      <c r="G812" s="141"/>
      <c r="H812" s="156">
        <v>44500.0</v>
      </c>
      <c r="I812" s="198"/>
      <c r="J812" s="198"/>
    </row>
    <row r="813">
      <c r="A813" s="160"/>
      <c r="B813" s="160"/>
      <c r="C813" s="160"/>
      <c r="D813" s="160"/>
      <c r="E813" s="172" t="s">
        <v>309</v>
      </c>
      <c r="G813" s="202"/>
      <c r="H813" s="188">
        <f>SUM(H827,H830,H833,H836,H839)</f>
        <v>0</v>
      </c>
      <c r="I813" s="196">
        <f>SUM(H813)</f>
        <v>0</v>
      </c>
      <c r="J813" s="160"/>
    </row>
    <row r="814" outlineLevel="1">
      <c r="A814" s="160"/>
      <c r="B814" s="160"/>
      <c r="C814" s="160"/>
      <c r="D814" s="160"/>
      <c r="E814" s="160"/>
      <c r="F814" s="121" t="s">
        <v>66</v>
      </c>
      <c r="G814" s="16"/>
      <c r="H814" s="203">
        <v>0.5</v>
      </c>
      <c r="I814" s="198"/>
      <c r="J814" s="198"/>
    </row>
    <row r="815" outlineLevel="1">
      <c r="A815" s="160"/>
      <c r="B815" s="160"/>
      <c r="C815" s="160"/>
      <c r="D815" s="160"/>
      <c r="E815" s="160"/>
      <c r="F815" s="121" t="s">
        <v>67</v>
      </c>
      <c r="G815" s="16"/>
      <c r="H815" s="203">
        <v>0.4</v>
      </c>
      <c r="I815" s="198"/>
      <c r="J815" s="198"/>
    </row>
    <row r="816" outlineLevel="1">
      <c r="A816" s="160"/>
      <c r="B816" s="160"/>
      <c r="C816" s="160"/>
      <c r="D816" s="160"/>
      <c r="E816" s="160"/>
      <c r="F816" s="121" t="s">
        <v>68</v>
      </c>
      <c r="G816" s="16"/>
      <c r="H816" s="203">
        <v>0.05</v>
      </c>
      <c r="I816" s="198"/>
      <c r="J816" s="198"/>
    </row>
    <row r="817" outlineLevel="1">
      <c r="A817" s="160"/>
      <c r="B817" s="160"/>
      <c r="C817" s="160"/>
      <c r="D817" s="160"/>
      <c r="E817" s="160"/>
      <c r="F817" s="121" t="s">
        <v>69</v>
      </c>
      <c r="G817" s="16"/>
      <c r="H817" s="203">
        <v>0.05</v>
      </c>
      <c r="I817" s="198"/>
      <c r="J817" s="198"/>
    </row>
    <row r="818" outlineLevel="1">
      <c r="A818" s="160"/>
      <c r="B818" s="160"/>
      <c r="C818" s="160"/>
      <c r="D818" s="160"/>
      <c r="E818" s="160"/>
      <c r="F818" s="121" t="s">
        <v>70</v>
      </c>
      <c r="G818" s="16"/>
      <c r="H818" s="203">
        <v>0.0</v>
      </c>
      <c r="I818" s="198"/>
      <c r="J818" s="198"/>
    </row>
    <row r="819" outlineLevel="1">
      <c r="A819" s="160"/>
      <c r="B819" s="160"/>
      <c r="C819" s="160"/>
      <c r="D819" s="160"/>
      <c r="E819" s="160"/>
      <c r="F819" s="121" t="s">
        <v>71</v>
      </c>
      <c r="G819" s="16"/>
      <c r="H819" s="204">
        <v>70000.0</v>
      </c>
      <c r="I819" s="198"/>
      <c r="J819" s="198"/>
    </row>
    <row r="820" outlineLevel="1">
      <c r="A820" s="160"/>
      <c r="B820" s="160"/>
      <c r="C820" s="160"/>
      <c r="D820" s="160"/>
      <c r="E820" s="160"/>
      <c r="F820" s="121" t="s">
        <v>72</v>
      </c>
      <c r="G820" s="16"/>
      <c r="H820" s="204">
        <v>10000.0</v>
      </c>
      <c r="I820" s="198"/>
      <c r="J820" s="198"/>
    </row>
    <row r="821" outlineLevel="1">
      <c r="A821" s="160"/>
      <c r="B821" s="160"/>
      <c r="C821" s="160"/>
      <c r="D821" s="160"/>
      <c r="E821" s="160"/>
      <c r="F821" s="121" t="s">
        <v>73</v>
      </c>
      <c r="G821" s="16"/>
      <c r="H821" s="204">
        <v>10000.0</v>
      </c>
      <c r="I821" s="198"/>
      <c r="J821" s="198"/>
    </row>
    <row r="822" outlineLevel="1">
      <c r="A822" s="160"/>
      <c r="B822" s="160"/>
      <c r="C822" s="160"/>
      <c r="D822" s="160"/>
      <c r="E822" s="160"/>
      <c r="F822" s="121" t="s">
        <v>74</v>
      </c>
      <c r="G822" s="16"/>
      <c r="H822" s="204">
        <v>100000.0</v>
      </c>
      <c r="I822" s="198"/>
      <c r="J822" s="198"/>
    </row>
    <row r="823" outlineLevel="1">
      <c r="A823" s="160"/>
      <c r="B823" s="160"/>
      <c r="C823" s="160"/>
      <c r="D823" s="160"/>
      <c r="E823" s="160"/>
      <c r="F823" s="121" t="s">
        <v>75</v>
      </c>
      <c r="G823" s="16"/>
      <c r="H823" s="204">
        <v>0.0</v>
      </c>
      <c r="I823" s="198"/>
      <c r="J823" s="198"/>
    </row>
    <row r="824" outlineLevel="1">
      <c r="A824" s="160"/>
      <c r="B824" s="160"/>
      <c r="C824" s="160"/>
      <c r="D824" s="160"/>
      <c r="E824" s="160"/>
      <c r="F824" s="172" t="s">
        <v>76</v>
      </c>
      <c r="G824" s="16"/>
      <c r="H824" s="162">
        <f>IFERROR(__xludf.DUMMYFUNCTION("MATCH(
  MIN(FILTER(H819:H823,H819:H823&gt;0)),
  H819:H823,
  0
)
"),2.0)</f>
        <v>2</v>
      </c>
      <c r="I824" s="198"/>
      <c r="J824" s="198"/>
    </row>
    <row r="825">
      <c r="A825" s="160"/>
      <c r="B825" s="160"/>
      <c r="C825" s="160"/>
      <c r="D825" s="160"/>
      <c r="E825" s="160"/>
      <c r="F825" s="13"/>
      <c r="G825" s="146"/>
      <c r="H825" s="148"/>
      <c r="I825" s="198"/>
      <c r="J825" s="198"/>
    </row>
    <row r="826">
      <c r="A826" s="160"/>
      <c r="B826" s="160"/>
      <c r="C826" s="160"/>
      <c r="D826" s="160"/>
      <c r="E826" s="160"/>
      <c r="F826" s="13" t="s">
        <v>77</v>
      </c>
      <c r="G826" s="146"/>
      <c r="H826" s="148">
        <f>ROUNDDOWN(H811*H814,0)
 + IF(H824=1,
      H811 - SUM(
        ROUNDDOWN(H811*H814,0),
        ROUNDDOWN(H811*H815,0),
        ROUNDDOWN(H811*H816,0),
        ROUNDDOWN(H811*H817,0),
        ROUNDDOWN(H811*H818,0),
      ),
      0
   )
</f>
        <v>0</v>
      </c>
      <c r="I826" s="198"/>
      <c r="J826" s="198"/>
    </row>
    <row r="827">
      <c r="A827" s="160"/>
      <c r="B827" s="160"/>
      <c r="C827" s="160"/>
      <c r="D827" s="160"/>
      <c r="F827" s="172" t="s">
        <v>310</v>
      </c>
      <c r="G827" s="146"/>
      <c r="H827" s="150">
        <f>(H826*H819)</f>
        <v>0</v>
      </c>
      <c r="I827" s="198"/>
      <c r="J827" s="198"/>
    </row>
    <row r="828">
      <c r="A828" s="160"/>
      <c r="B828" s="160"/>
      <c r="C828" s="160"/>
      <c r="D828" s="160"/>
      <c r="E828" s="160"/>
      <c r="F828" s="13"/>
      <c r="G828" s="146"/>
      <c r="H828" s="148"/>
      <c r="I828" s="198"/>
      <c r="J828" s="198"/>
    </row>
    <row r="829">
      <c r="A829" s="160"/>
      <c r="B829" s="160"/>
      <c r="C829" s="160"/>
      <c r="D829" s="160"/>
      <c r="E829" s="160"/>
      <c r="F829" s="13" t="s">
        <v>79</v>
      </c>
      <c r="G829" s="146"/>
      <c r="H829" s="148">
        <f>ROUNDDOWN(H811*H815,0)
 + IF(H824=2,
      H811 - SUM(
        ROUNDDOWN(H811*H814,0),
        ROUNDDOWN(H811*H815,0),
        ROUNDDOWN(H811*H816,0),
        ROUNDDOWN(H811*H817,0),
        ROUNDDOWN(H811*H818,0),
      ),
      0
   )
</f>
        <v>0</v>
      </c>
      <c r="I829" s="198"/>
      <c r="J829" s="198"/>
    </row>
    <row r="830">
      <c r="A830" s="160"/>
      <c r="B830" s="160"/>
      <c r="C830" s="160"/>
      <c r="D830" s="160"/>
      <c r="F830" s="172" t="s">
        <v>311</v>
      </c>
      <c r="G830" s="146"/>
      <c r="H830" s="150">
        <f>(H820*H829)</f>
        <v>0</v>
      </c>
      <c r="I830" s="198"/>
      <c r="J830" s="198"/>
    </row>
    <row r="831">
      <c r="A831" s="160"/>
      <c r="B831" s="160"/>
      <c r="C831" s="160"/>
      <c r="D831" s="160"/>
      <c r="E831" s="160"/>
      <c r="F831" s="13"/>
      <c r="G831" s="146"/>
      <c r="H831" s="148"/>
      <c r="I831" s="198"/>
      <c r="J831" s="198"/>
    </row>
    <row r="832">
      <c r="A832" s="160"/>
      <c r="B832" s="160"/>
      <c r="C832" s="160"/>
      <c r="D832" s="160"/>
      <c r="E832" s="160"/>
      <c r="F832" s="13" t="s">
        <v>81</v>
      </c>
      <c r="G832" s="146"/>
      <c r="H832" s="148">
        <f>ROUNDDOWN(H811*H816,0)
 + IF(H824=3,
      H811 - SUM(
        ROUNDDOWN(H811*H814,0),
        ROUNDDOWN(H811*H815,0),
        ROUNDDOWN(H811*H816,0),
        ROUNDDOWN(H811*H817,0)
      ),
      0
   )
</f>
        <v>0</v>
      </c>
      <c r="I832" s="198"/>
      <c r="J832" s="198"/>
    </row>
    <row r="833">
      <c r="A833" s="160"/>
      <c r="B833" s="160"/>
      <c r="C833" s="160"/>
      <c r="D833" s="160"/>
      <c r="F833" s="172" t="s">
        <v>312</v>
      </c>
      <c r="G833" s="146"/>
      <c r="H833" s="150">
        <f>(H821*H832)</f>
        <v>0</v>
      </c>
      <c r="I833" s="198"/>
      <c r="J833" s="198"/>
    </row>
    <row r="834">
      <c r="A834" s="160"/>
      <c r="B834" s="160"/>
      <c r="C834" s="160"/>
      <c r="D834" s="160"/>
      <c r="E834" s="160"/>
      <c r="F834" s="13"/>
      <c r="G834" s="146"/>
      <c r="H834" s="148"/>
      <c r="I834" s="198"/>
      <c r="J834" s="198"/>
    </row>
    <row r="835">
      <c r="A835" s="160"/>
      <c r="B835" s="160"/>
      <c r="C835" s="160"/>
      <c r="D835" s="160"/>
      <c r="E835" s="160"/>
      <c r="F835" s="13" t="s">
        <v>83</v>
      </c>
      <c r="G835" s="146"/>
      <c r="H835" s="148">
        <f>ROUNDDOWN(H811*H817,0)
 + IF(H824=4,
      H811 - SUM(
        ROUNDDOWN(H811*H814,0),
        ROUNDDOWN(H811*H815,0),
        ROUNDDOWN(H811*H816,0),
        ROUNDDOWN(H811*H817,0),ROUNDDOWN(H809*H818,0),
      ),
      0
   )
</f>
        <v>0</v>
      </c>
      <c r="I835" s="198"/>
      <c r="J835" s="198"/>
    </row>
    <row r="836">
      <c r="A836" s="160"/>
      <c r="B836" s="160"/>
      <c r="C836" s="160"/>
      <c r="D836" s="160"/>
      <c r="F836" s="172" t="s">
        <v>313</v>
      </c>
      <c r="G836" s="146"/>
      <c r="H836" s="150">
        <f>(H822*H835)</f>
        <v>0</v>
      </c>
      <c r="I836" s="198"/>
      <c r="J836" s="198"/>
    </row>
    <row r="837">
      <c r="A837" s="160"/>
      <c r="B837" s="160"/>
      <c r="C837" s="160"/>
      <c r="D837" s="160"/>
      <c r="E837" s="160"/>
      <c r="F837" s="13"/>
      <c r="G837" s="146"/>
      <c r="H837" s="148"/>
      <c r="I837" s="198"/>
      <c r="J837" s="198"/>
    </row>
    <row r="838">
      <c r="A838" s="160"/>
      <c r="B838" s="160"/>
      <c r="C838" s="160"/>
      <c r="D838" s="160"/>
      <c r="E838" s="160"/>
      <c r="F838" s="13" t="s">
        <v>85</v>
      </c>
      <c r="G838" s="146"/>
      <c r="H838" s="148">
        <f>ROUNDDOWN(H811*H818,0)
 + IF(H824=5,
      H811 - SUM(
        ROUNDDOWN(H811*H814,0),
        ROUNDDOWN(H811*H815,0),
        ROUNDDOWN(H811*H816,0),
        ROUNDDOWN(H811*H817,0),
        ROUNDDOWN(H811*H818,0),
      ),
      0
   )
</f>
        <v>0</v>
      </c>
      <c r="I838" s="198"/>
      <c r="J838" s="198"/>
    </row>
    <row r="839">
      <c r="A839" s="160"/>
      <c r="B839" s="160"/>
      <c r="C839" s="160"/>
      <c r="D839" s="160"/>
      <c r="F839" s="172" t="s">
        <v>314</v>
      </c>
      <c r="G839" s="146"/>
      <c r="H839" s="150">
        <f>(H823*H838)</f>
        <v>0</v>
      </c>
      <c r="I839" s="198"/>
      <c r="J839" s="198"/>
    </row>
    <row r="840">
      <c r="A840" s="160"/>
      <c r="B840" s="160"/>
      <c r="C840" s="160"/>
      <c r="D840" s="160"/>
      <c r="E840" s="160"/>
      <c r="F840" s="172"/>
      <c r="G840" s="16"/>
      <c r="H840" s="160"/>
      <c r="I840" s="198"/>
      <c r="J840" s="198"/>
    </row>
    <row r="841">
      <c r="A841" s="160"/>
      <c r="B841" s="160"/>
      <c r="C841" s="160"/>
      <c r="D841" s="205" t="s">
        <v>47</v>
      </c>
      <c r="E841" s="160"/>
      <c r="F841" s="160"/>
      <c r="G841" s="16"/>
      <c r="H841" s="127"/>
      <c r="I841" s="127"/>
      <c r="J841" s="127"/>
    </row>
    <row r="842">
      <c r="A842" s="160"/>
      <c r="B842" s="160"/>
      <c r="C842" s="160"/>
      <c r="D842" s="160"/>
      <c r="E842" s="172" t="s">
        <v>160</v>
      </c>
      <c r="G842" s="16"/>
      <c r="H842" s="189">
        <f>$H$440</f>
        <v>31</v>
      </c>
      <c r="I842" s="198"/>
      <c r="J842" s="198"/>
    </row>
    <row r="843">
      <c r="A843" s="160"/>
      <c r="B843" s="160"/>
      <c r="C843" s="160"/>
      <c r="D843" s="160"/>
      <c r="E843" s="13" t="s">
        <v>162</v>
      </c>
      <c r="G843" s="142">
        <f>H843/H845</f>
        <v>0.03285</v>
      </c>
      <c r="H843" s="149">
        <f>H442</f>
        <v>3055050</v>
      </c>
      <c r="I843" s="160"/>
      <c r="J843" s="160"/>
    </row>
    <row r="844">
      <c r="A844" s="160"/>
      <c r="B844" s="160"/>
      <c r="C844" s="160"/>
      <c r="D844" s="160"/>
      <c r="E844" s="172" t="s">
        <v>298</v>
      </c>
      <c r="G844" s="19"/>
      <c r="H844" s="158">
        <v>3000000.0</v>
      </c>
      <c r="I844" s="160"/>
      <c r="J844" s="160"/>
    </row>
    <row r="845">
      <c r="A845" s="160"/>
      <c r="B845" s="160"/>
      <c r="C845" s="160"/>
      <c r="E845" s="172" t="s">
        <v>299</v>
      </c>
      <c r="G845" s="19"/>
      <c r="H845" s="149">
        <f>$H$440*H844</f>
        <v>93000000</v>
      </c>
      <c r="I845" s="160"/>
      <c r="J845" s="160"/>
    </row>
    <row r="846">
      <c r="A846" s="160"/>
      <c r="B846" s="160"/>
      <c r="C846" s="160"/>
      <c r="D846" s="160"/>
      <c r="E846" s="172"/>
      <c r="G846" s="19"/>
      <c r="H846" s="149"/>
      <c r="I846" s="160"/>
      <c r="J846" s="160"/>
    </row>
    <row r="847">
      <c r="A847" s="160"/>
      <c r="B847" s="160"/>
      <c r="C847" s="160"/>
      <c r="D847" s="160"/>
      <c r="E847" s="172" t="s">
        <v>300</v>
      </c>
      <c r="G847" s="167">
        <f>IFERROR((G843*3),0.01)</f>
        <v>0.09855</v>
      </c>
      <c r="H847" s="219">
        <v>0.0</v>
      </c>
      <c r="I847" s="160"/>
      <c r="J847" s="160"/>
    </row>
    <row r="848">
      <c r="A848" s="16"/>
      <c r="B848" s="16"/>
      <c r="C848" s="16"/>
      <c r="D848" s="16"/>
      <c r="E848" s="121" t="s">
        <v>301</v>
      </c>
      <c r="F848" s="16"/>
      <c r="G848" s="149">
        <f>H845*G847</f>
        <v>9165150</v>
      </c>
      <c r="H848" s="19"/>
      <c r="I848" s="16"/>
      <c r="J848" s="16"/>
    </row>
    <row r="849">
      <c r="A849" s="16"/>
      <c r="B849" s="16"/>
      <c r="C849" s="16"/>
      <c r="D849" s="16"/>
      <c r="E849" s="121" t="s">
        <v>302</v>
      </c>
      <c r="F849" s="16"/>
      <c r="G849" s="19"/>
      <c r="H849" s="149">
        <f>H843</f>
        <v>3055050</v>
      </c>
      <c r="I849" s="199" t="str">
        <f>#REF!</f>
        <v>#REF!</v>
      </c>
      <c r="J849" s="199"/>
    </row>
    <row r="850">
      <c r="A850" s="16"/>
      <c r="B850" s="16"/>
      <c r="C850" s="16"/>
      <c r="D850" s="16"/>
      <c r="E850" s="121" t="s">
        <v>303</v>
      </c>
      <c r="F850" s="16"/>
      <c r="G850" s="149">
        <f>G848-H849</f>
        <v>6110100</v>
      </c>
      <c r="H850" s="149">
        <f>$G$850*H847</f>
        <v>0</v>
      </c>
      <c r="I850" s="199">
        <f>SUM(H850)</f>
        <v>0</v>
      </c>
      <c r="J850" s="199"/>
    </row>
    <row r="851">
      <c r="A851" s="160"/>
      <c r="B851" s="160"/>
      <c r="C851" s="160"/>
      <c r="D851" s="160"/>
      <c r="E851" s="172"/>
      <c r="G851" s="151"/>
      <c r="H851" s="142"/>
      <c r="I851" s="160"/>
      <c r="J851" s="160"/>
    </row>
    <row r="852">
      <c r="A852" s="160"/>
      <c r="B852" s="160"/>
      <c r="C852" s="160"/>
      <c r="D852" s="160"/>
      <c r="E852" s="172" t="s">
        <v>304</v>
      </c>
      <c r="G852" s="19"/>
      <c r="H852" s="149">
        <f>$H$845-H849</f>
        <v>89944950</v>
      </c>
      <c r="I852" s="160"/>
      <c r="J852" s="160"/>
    </row>
    <row r="853">
      <c r="A853" s="160"/>
      <c r="B853" s="160"/>
      <c r="C853" s="160"/>
      <c r="D853" s="160"/>
      <c r="E853" s="172" t="s">
        <v>305</v>
      </c>
      <c r="G853" s="151"/>
      <c r="H853" s="142">
        <f t="shared" ref="H853:I853" si="32">IFERROR(H849/$H$845,0)</f>
        <v>0.03285</v>
      </c>
      <c r="I853" s="200">
        <f t="shared" si="32"/>
        <v>0</v>
      </c>
      <c r="J853" s="200"/>
    </row>
    <row r="854">
      <c r="A854" s="160"/>
      <c r="B854" s="160"/>
      <c r="C854" s="160"/>
      <c r="D854" s="160"/>
      <c r="E854" s="172" t="s">
        <v>306</v>
      </c>
      <c r="G854" s="141"/>
      <c r="H854" s="142">
        <f t="shared" ref="H854:I854" si="33">IFERROR(1-(H849/$H$845),0)</f>
        <v>0.96715</v>
      </c>
      <c r="I854" s="200">
        <f t="shared" si="33"/>
        <v>0</v>
      </c>
      <c r="J854" s="200"/>
    </row>
    <row r="855">
      <c r="A855" s="160"/>
      <c r="B855" s="160"/>
      <c r="C855" s="160"/>
      <c r="D855" s="160"/>
      <c r="E855" s="160"/>
      <c r="F855" s="121"/>
      <c r="G855" s="16"/>
      <c r="H855" s="207"/>
      <c r="I855" s="208"/>
      <c r="J855" s="208"/>
    </row>
    <row r="856">
      <c r="A856" s="160"/>
      <c r="B856" s="160"/>
      <c r="C856" s="160"/>
      <c r="D856" s="160"/>
      <c r="E856" s="172" t="s">
        <v>307</v>
      </c>
      <c r="G856" s="141"/>
      <c r="H856" s="190">
        <f>ROUNDUP(H850/H857,0)</f>
        <v>0</v>
      </c>
      <c r="I856" s="201">
        <f>SUM(H856)</f>
        <v>0</v>
      </c>
      <c r="J856" s="201"/>
    </row>
    <row r="857">
      <c r="A857" s="160"/>
      <c r="B857" s="160"/>
      <c r="C857" s="160"/>
      <c r="D857" s="160"/>
      <c r="E857" s="172" t="s">
        <v>315</v>
      </c>
      <c r="G857" s="141"/>
      <c r="H857" s="156">
        <v>22000.0</v>
      </c>
      <c r="I857" s="198"/>
      <c r="J857" s="198"/>
    </row>
    <row r="858">
      <c r="A858" s="160"/>
      <c r="B858" s="160"/>
      <c r="C858" s="160"/>
      <c r="D858" s="160"/>
      <c r="E858" s="172" t="s">
        <v>309</v>
      </c>
      <c r="G858" s="202"/>
      <c r="H858" s="188">
        <f>SUM(H872,H875,H878,H881,H884)</f>
        <v>0</v>
      </c>
      <c r="I858" s="196">
        <f>SUM(H858)</f>
        <v>0</v>
      </c>
      <c r="J858" s="160"/>
    </row>
    <row r="859" outlineLevel="1">
      <c r="A859" s="160"/>
      <c r="B859" s="160"/>
      <c r="C859" s="160"/>
      <c r="D859" s="160"/>
      <c r="E859" s="160"/>
      <c r="F859" s="121" t="s">
        <v>66</v>
      </c>
      <c r="G859" s="16"/>
      <c r="H859" s="203">
        <v>0.4</v>
      </c>
      <c r="I859" s="198"/>
      <c r="J859" s="198"/>
    </row>
    <row r="860" outlineLevel="1">
      <c r="A860" s="160"/>
      <c r="B860" s="160"/>
      <c r="C860" s="160"/>
      <c r="D860" s="160"/>
      <c r="E860" s="160"/>
      <c r="F860" s="121" t="s">
        <v>67</v>
      </c>
      <c r="G860" s="16"/>
      <c r="H860" s="203">
        <v>0.4</v>
      </c>
      <c r="I860" s="198"/>
      <c r="J860" s="198"/>
    </row>
    <row r="861" outlineLevel="1">
      <c r="A861" s="160"/>
      <c r="B861" s="160"/>
      <c r="C861" s="160"/>
      <c r="D861" s="160"/>
      <c r="E861" s="160"/>
      <c r="F861" s="121" t="s">
        <v>68</v>
      </c>
      <c r="G861" s="16"/>
      <c r="H861" s="203">
        <v>0.1</v>
      </c>
      <c r="I861" s="198"/>
      <c r="J861" s="198"/>
    </row>
    <row r="862" outlineLevel="1">
      <c r="A862" s="160"/>
      <c r="B862" s="160"/>
      <c r="C862" s="160"/>
      <c r="D862" s="160"/>
      <c r="E862" s="160"/>
      <c r="F862" s="121" t="s">
        <v>69</v>
      </c>
      <c r="G862" s="16"/>
      <c r="H862" s="203">
        <v>0.1</v>
      </c>
      <c r="I862" s="198"/>
      <c r="J862" s="198"/>
    </row>
    <row r="863" outlineLevel="1">
      <c r="A863" s="160"/>
      <c r="B863" s="160"/>
      <c r="C863" s="160"/>
      <c r="D863" s="160"/>
      <c r="E863" s="160"/>
      <c r="F863" s="121" t="s">
        <v>70</v>
      </c>
      <c r="G863" s="16"/>
      <c r="H863" s="203">
        <v>0.0</v>
      </c>
      <c r="I863" s="198"/>
      <c r="J863" s="198"/>
    </row>
    <row r="864" outlineLevel="1">
      <c r="A864" s="160"/>
      <c r="B864" s="160"/>
      <c r="C864" s="160"/>
      <c r="D864" s="160"/>
      <c r="E864" s="160"/>
      <c r="F864" s="121" t="s">
        <v>71</v>
      </c>
      <c r="G864" s="16"/>
      <c r="H864" s="204">
        <v>25000.0</v>
      </c>
      <c r="I864" s="198"/>
      <c r="J864" s="198"/>
    </row>
    <row r="865" outlineLevel="1">
      <c r="A865" s="160"/>
      <c r="B865" s="160"/>
      <c r="C865" s="160"/>
      <c r="D865" s="160"/>
      <c r="E865" s="160"/>
      <c r="F865" s="121" t="s">
        <v>72</v>
      </c>
      <c r="G865" s="16"/>
      <c r="H865" s="204">
        <v>10000.0</v>
      </c>
      <c r="I865" s="198"/>
      <c r="J865" s="198"/>
    </row>
    <row r="866" outlineLevel="1">
      <c r="A866" s="160"/>
      <c r="B866" s="160"/>
      <c r="C866" s="160"/>
      <c r="D866" s="160"/>
      <c r="E866" s="160"/>
      <c r="F866" s="121" t="s">
        <v>73</v>
      </c>
      <c r="G866" s="16"/>
      <c r="H866" s="204">
        <v>8000.0</v>
      </c>
      <c r="I866" s="198"/>
      <c r="J866" s="198"/>
    </row>
    <row r="867" outlineLevel="1">
      <c r="A867" s="160"/>
      <c r="B867" s="160"/>
      <c r="C867" s="160"/>
      <c r="D867" s="160"/>
      <c r="E867" s="160"/>
      <c r="F867" s="121" t="s">
        <v>74</v>
      </c>
      <c r="G867" s="16"/>
      <c r="H867" s="204">
        <v>72000.0</v>
      </c>
      <c r="I867" s="198"/>
      <c r="J867" s="198"/>
    </row>
    <row r="868" outlineLevel="1">
      <c r="A868" s="160"/>
      <c r="B868" s="160"/>
      <c r="C868" s="160"/>
      <c r="D868" s="160"/>
      <c r="E868" s="160"/>
      <c r="F868" s="121" t="s">
        <v>75</v>
      </c>
      <c r="G868" s="16"/>
      <c r="H868" s="204">
        <v>0.0</v>
      </c>
      <c r="I868" s="198"/>
      <c r="J868" s="198"/>
    </row>
    <row r="869" outlineLevel="1">
      <c r="A869" s="160"/>
      <c r="B869" s="160"/>
      <c r="C869" s="160"/>
      <c r="D869" s="160"/>
      <c r="E869" s="160"/>
      <c r="F869" s="172" t="s">
        <v>76</v>
      </c>
      <c r="G869" s="16"/>
      <c r="H869" s="162">
        <f>IFERROR(__xludf.DUMMYFUNCTION("MATCH(
  MIN(FILTER(H864:H868,H864:H868&gt;0)),
  H864:H868,
  0
)
"),3.0)</f>
        <v>3</v>
      </c>
      <c r="I869" s="198"/>
      <c r="J869" s="198"/>
    </row>
    <row r="870">
      <c r="A870" s="160"/>
      <c r="B870" s="160"/>
      <c r="C870" s="160"/>
      <c r="D870" s="160"/>
      <c r="E870" s="160"/>
      <c r="F870" s="13"/>
      <c r="G870" s="146"/>
      <c r="H870" s="148"/>
      <c r="I870" s="198"/>
      <c r="J870" s="198"/>
    </row>
    <row r="871">
      <c r="A871" s="160"/>
      <c r="B871" s="160"/>
      <c r="C871" s="160"/>
      <c r="D871" s="160"/>
      <c r="E871" s="160"/>
      <c r="F871" s="13" t="s">
        <v>77</v>
      </c>
      <c r="G871" s="146"/>
      <c r="H871" s="148">
        <f>ROUNDDOWN(H856*H859,0)
 + IF(H869=1,
      H856 - SUM(
        ROUNDDOWN(H856*H859,0),
        ROUNDDOWN(H856*H860,0),
        ROUNDDOWN(H856*H861,0),
        ROUNDDOWN(H856*H862,0),
        ROUNDDOWN(H856*H863,0),
      ),
      0
   )
</f>
        <v>0</v>
      </c>
      <c r="I871" s="198"/>
      <c r="J871" s="198"/>
    </row>
    <row r="872">
      <c r="A872" s="160"/>
      <c r="B872" s="160"/>
      <c r="C872" s="160"/>
      <c r="D872" s="160"/>
      <c r="F872" s="172" t="s">
        <v>310</v>
      </c>
      <c r="G872" s="146"/>
      <c r="H872" s="150">
        <f>(H871*H864)</f>
        <v>0</v>
      </c>
      <c r="I872" s="198"/>
      <c r="J872" s="198"/>
    </row>
    <row r="873">
      <c r="A873" s="160"/>
      <c r="B873" s="160"/>
      <c r="C873" s="160"/>
      <c r="D873" s="160"/>
      <c r="E873" s="160"/>
      <c r="F873" s="13"/>
      <c r="G873" s="146"/>
      <c r="H873" s="148"/>
      <c r="I873" s="198"/>
      <c r="J873" s="198"/>
    </row>
    <row r="874">
      <c r="A874" s="160"/>
      <c r="B874" s="160"/>
      <c r="C874" s="160"/>
      <c r="D874" s="160"/>
      <c r="E874" s="160"/>
      <c r="F874" s="13" t="s">
        <v>79</v>
      </c>
      <c r="G874" s="146"/>
      <c r="H874" s="148">
        <f>ROUNDDOWN(H856*H860,0)
 + IF(H869=2,
      H856 - SUM(
        ROUNDDOWN(H856*H859,0),
        ROUNDDOWN(H856*H860,0),
        ROUNDDOWN(H856*H861,0),
        ROUNDDOWN(H856*H862,0),
        ROUNDDOWN(H856*H863,0),
      ),
      0
   )
</f>
        <v>0</v>
      </c>
      <c r="I874" s="198"/>
      <c r="J874" s="198"/>
    </row>
    <row r="875">
      <c r="A875" s="160"/>
      <c r="B875" s="160"/>
      <c r="C875" s="160"/>
      <c r="D875" s="160"/>
      <c r="F875" s="172" t="s">
        <v>311</v>
      </c>
      <c r="G875" s="146"/>
      <c r="H875" s="150">
        <f>(H865*H874)</f>
        <v>0</v>
      </c>
      <c r="I875" s="198"/>
      <c r="J875" s="198"/>
    </row>
    <row r="876">
      <c r="A876" s="160"/>
      <c r="B876" s="160"/>
      <c r="C876" s="160"/>
      <c r="D876" s="160"/>
      <c r="E876" s="160"/>
      <c r="F876" s="13"/>
      <c r="G876" s="146"/>
      <c r="H876" s="148"/>
      <c r="I876" s="198"/>
      <c r="J876" s="198"/>
    </row>
    <row r="877">
      <c r="A877" s="160"/>
      <c r="B877" s="160"/>
      <c r="C877" s="160"/>
      <c r="D877" s="160"/>
      <c r="E877" s="160"/>
      <c r="F877" s="13" t="s">
        <v>81</v>
      </c>
      <c r="G877" s="146"/>
      <c r="H877" s="148">
        <f>ROUNDDOWN(H856*H861,0)
 + IF(H869=3,
      H856 - SUM(
        ROUNDDOWN(H856*H859,0),
        ROUNDDOWN(H856*H860,0),
        ROUNDDOWN(H856*H861,0),
        ROUNDDOWN(H856*H862,0)
      ),
      0
   )
</f>
        <v>0</v>
      </c>
      <c r="I877" s="198"/>
      <c r="J877" s="198"/>
    </row>
    <row r="878">
      <c r="A878" s="160"/>
      <c r="B878" s="160"/>
      <c r="C878" s="160"/>
      <c r="D878" s="160"/>
      <c r="F878" s="172" t="s">
        <v>312</v>
      </c>
      <c r="G878" s="146"/>
      <c r="H878" s="150">
        <f>(H866*H877)</f>
        <v>0</v>
      </c>
      <c r="I878" s="198"/>
      <c r="J878" s="198"/>
    </row>
    <row r="879">
      <c r="A879" s="160"/>
      <c r="B879" s="160"/>
      <c r="C879" s="160"/>
      <c r="D879" s="160"/>
      <c r="E879" s="160"/>
      <c r="F879" s="13"/>
      <c r="G879" s="146"/>
      <c r="H879" s="148"/>
      <c r="I879" s="198"/>
      <c r="J879" s="198"/>
    </row>
    <row r="880">
      <c r="A880" s="160"/>
      <c r="B880" s="160"/>
      <c r="C880" s="160"/>
      <c r="D880" s="160"/>
      <c r="E880" s="160"/>
      <c r="F880" s="13" t="s">
        <v>83</v>
      </c>
      <c r="G880" s="146"/>
      <c r="H880" s="148">
        <f>ROUNDDOWN(H856*H862,0)
 + IF(H869=4,
      H856 - SUM(
        ROUNDDOWN(H856*H859,0),
        ROUNDDOWN(H856*H860,0),
        ROUNDDOWN(H856*H861,0),
        ROUNDDOWN(H856*H862,0),ROUNDDOWN(H854*H863,0),
      ),
      0
   )
</f>
        <v>0</v>
      </c>
      <c r="I880" s="198"/>
      <c r="J880" s="198"/>
    </row>
    <row r="881">
      <c r="A881" s="160"/>
      <c r="B881" s="160"/>
      <c r="C881" s="160"/>
      <c r="D881" s="160"/>
      <c r="F881" s="172" t="s">
        <v>313</v>
      </c>
      <c r="G881" s="146"/>
      <c r="H881" s="150">
        <f>(H867*H880)</f>
        <v>0</v>
      </c>
      <c r="I881" s="198"/>
      <c r="J881" s="198"/>
    </row>
    <row r="882">
      <c r="A882" s="160"/>
      <c r="B882" s="160"/>
      <c r="C882" s="160"/>
      <c r="D882" s="160"/>
      <c r="E882" s="160"/>
      <c r="F882" s="13"/>
      <c r="G882" s="146"/>
      <c r="H882" s="148"/>
      <c r="I882" s="198"/>
      <c r="J882" s="198"/>
    </row>
    <row r="883">
      <c r="A883" s="160"/>
      <c r="B883" s="160"/>
      <c r="C883" s="160"/>
      <c r="D883" s="160"/>
      <c r="E883" s="160"/>
      <c r="F883" s="13" t="s">
        <v>85</v>
      </c>
      <c r="G883" s="146"/>
      <c r="H883" s="148">
        <f>ROUNDDOWN(H856*H863,0)
 + IF(H869=5,
      H856 - SUM(
        ROUNDDOWN(H856*H859,0),
        ROUNDDOWN(H856*H860,0),
        ROUNDDOWN(H856*H861,0),
        ROUNDDOWN(H856*H862,0),
        ROUNDDOWN(H856*H863,0),
      ),
      0
   )
</f>
        <v>0</v>
      </c>
      <c r="I883" s="198"/>
      <c r="J883" s="198"/>
    </row>
    <row r="884">
      <c r="A884" s="160"/>
      <c r="B884" s="160"/>
      <c r="C884" s="160"/>
      <c r="D884" s="160"/>
      <c r="F884" s="172" t="s">
        <v>314</v>
      </c>
      <c r="G884" s="146"/>
      <c r="H884" s="150">
        <f>(H868*H883)</f>
        <v>0</v>
      </c>
      <c r="I884" s="198"/>
      <c r="J884" s="198"/>
    </row>
    <row r="885">
      <c r="A885" s="1"/>
      <c r="B885" s="1"/>
      <c r="C885" s="1"/>
      <c r="D885" s="1"/>
      <c r="E885" s="1"/>
      <c r="F885" s="1"/>
      <c r="G885" s="146"/>
      <c r="H885" s="163"/>
      <c r="I885" s="1"/>
      <c r="J885" s="1"/>
    </row>
    <row r="886">
      <c r="A886" s="160"/>
      <c r="B886" s="160"/>
      <c r="C886" s="160"/>
      <c r="D886" s="205" t="s">
        <v>48</v>
      </c>
      <c r="E886" s="160"/>
      <c r="F886" s="160"/>
      <c r="G886" s="16"/>
      <c r="H886" s="127"/>
      <c r="I886" s="127"/>
      <c r="J886" s="127"/>
    </row>
    <row r="887">
      <c r="A887" s="160"/>
      <c r="B887" s="160"/>
      <c r="C887" s="160"/>
      <c r="D887" s="160"/>
      <c r="E887" s="172" t="s">
        <v>184</v>
      </c>
      <c r="G887" s="16"/>
      <c r="H887" s="189">
        <f>$H$466</f>
        <v>153</v>
      </c>
      <c r="I887" s="198"/>
      <c r="J887" s="198"/>
    </row>
    <row r="888">
      <c r="A888" s="160"/>
      <c r="B888" s="160"/>
      <c r="C888" s="160"/>
      <c r="D888" s="160"/>
      <c r="E888" s="160" t="s">
        <v>186</v>
      </c>
      <c r="F888" s="160"/>
      <c r="G888" s="142">
        <f>H888/H890</f>
        <v>0.07571294118</v>
      </c>
      <c r="H888" s="210">
        <f>H$468</f>
        <v>11584080</v>
      </c>
      <c r="I888" s="198"/>
      <c r="J888" s="198"/>
    </row>
    <row r="889">
      <c r="A889" s="160"/>
      <c r="B889" s="160"/>
      <c r="C889" s="160"/>
      <c r="D889" s="160"/>
      <c r="E889" s="172" t="s">
        <v>298</v>
      </c>
      <c r="G889" s="19"/>
      <c r="H889" s="158">
        <v>1000000.0</v>
      </c>
      <c r="I889" s="211"/>
      <c r="J889" s="211"/>
    </row>
    <row r="890">
      <c r="A890" s="160"/>
      <c r="B890" s="160"/>
      <c r="C890" s="160"/>
      <c r="D890" s="160"/>
      <c r="E890" s="172" t="s">
        <v>299</v>
      </c>
      <c r="G890" s="19"/>
      <c r="H890" s="149">
        <f>$H$466*H889</f>
        <v>153000000</v>
      </c>
      <c r="I890" s="211"/>
      <c r="J890" s="211"/>
    </row>
    <row r="891">
      <c r="A891" s="160"/>
      <c r="B891" s="160"/>
      <c r="C891" s="160"/>
      <c r="D891" s="160"/>
      <c r="E891" s="172"/>
      <c r="G891" s="19"/>
      <c r="H891" s="149"/>
      <c r="I891" s="211"/>
      <c r="J891" s="211"/>
    </row>
    <row r="892">
      <c r="A892" s="160"/>
      <c r="B892" s="160"/>
      <c r="C892" s="160"/>
      <c r="D892" s="160"/>
      <c r="E892" s="172" t="s">
        <v>300</v>
      </c>
      <c r="G892" s="167">
        <f>IFERROR((G888*2),0.01)</f>
        <v>0.1514258824</v>
      </c>
      <c r="H892" s="213">
        <v>0.0</v>
      </c>
      <c r="I892" s="211"/>
      <c r="J892" s="211"/>
    </row>
    <row r="893">
      <c r="A893" s="160"/>
      <c r="B893" s="160"/>
      <c r="C893" s="160"/>
      <c r="D893" s="160"/>
      <c r="E893" s="172" t="s">
        <v>301</v>
      </c>
      <c r="G893" s="149">
        <f>H890*G892</f>
        <v>23168160</v>
      </c>
      <c r="H893" s="149"/>
      <c r="I893" s="211"/>
      <c r="J893" s="211"/>
    </row>
    <row r="894">
      <c r="A894" s="160"/>
      <c r="B894" s="160"/>
      <c r="C894" s="160"/>
      <c r="D894" s="160"/>
      <c r="E894" s="13" t="s">
        <v>302</v>
      </c>
      <c r="G894" s="19"/>
      <c r="H894" s="149">
        <f>H888</f>
        <v>11584080</v>
      </c>
      <c r="I894" s="211" t="str">
        <f>#REF!</f>
        <v>#REF!</v>
      </c>
      <c r="J894" s="211"/>
    </row>
    <row r="895">
      <c r="A895" s="160"/>
      <c r="B895" s="160"/>
      <c r="C895" s="160"/>
      <c r="D895" s="160"/>
      <c r="E895" s="172" t="s">
        <v>303</v>
      </c>
      <c r="G895" s="149">
        <f>G893-H894</f>
        <v>11584080</v>
      </c>
      <c r="H895" s="149">
        <f>$G$895*H892</f>
        <v>0</v>
      </c>
      <c r="I895" s="214">
        <f>SUM(H895)</f>
        <v>0</v>
      </c>
      <c r="J895" s="211"/>
    </row>
    <row r="896">
      <c r="A896" s="160"/>
      <c r="B896" s="160"/>
      <c r="C896" s="160"/>
      <c r="D896" s="160"/>
      <c r="E896" s="172"/>
      <c r="G896" s="151"/>
      <c r="H896" s="213"/>
      <c r="I896" s="211"/>
      <c r="J896" s="211"/>
    </row>
    <row r="897">
      <c r="A897" s="160"/>
      <c r="B897" s="160"/>
      <c r="C897" s="160"/>
      <c r="D897" s="160"/>
      <c r="E897" s="172" t="s">
        <v>304</v>
      </c>
      <c r="G897" s="19"/>
      <c r="H897" s="149">
        <f>$H$890-H894</f>
        <v>141415920</v>
      </c>
      <c r="I897" s="149"/>
      <c r="J897" s="149"/>
    </row>
    <row r="898">
      <c r="A898" s="160"/>
      <c r="B898" s="160"/>
      <c r="C898" s="160"/>
      <c r="D898" s="160"/>
      <c r="E898" s="172" t="s">
        <v>305</v>
      </c>
      <c r="G898" s="151"/>
      <c r="H898" s="142">
        <f t="shared" ref="H898:I898" si="34">IFERROR(H894/$H$890,0)</f>
        <v>0.07571294118</v>
      </c>
      <c r="I898" s="215">
        <f t="shared" si="34"/>
        <v>0</v>
      </c>
      <c r="J898" s="215"/>
    </row>
    <row r="899">
      <c r="A899" s="160"/>
      <c r="B899" s="160"/>
      <c r="C899" s="160"/>
      <c r="D899" s="160"/>
      <c r="E899" s="172" t="s">
        <v>306</v>
      </c>
      <c r="G899" s="141"/>
      <c r="H899" s="216">
        <f t="shared" ref="H899:I899" si="35">IFERROR(1-(H894/$H$890),0)</f>
        <v>0.9242870588</v>
      </c>
      <c r="I899" s="215">
        <f t="shared" si="35"/>
        <v>0</v>
      </c>
      <c r="J899" s="215"/>
    </row>
    <row r="900">
      <c r="A900" s="160"/>
      <c r="B900" s="160"/>
      <c r="C900" s="160"/>
      <c r="D900" s="160"/>
      <c r="E900" s="160"/>
      <c r="F900" s="172"/>
      <c r="G900" s="141"/>
      <c r="H900" s="158"/>
      <c r="I900" s="211"/>
      <c r="J900" s="211"/>
    </row>
    <row r="901">
      <c r="A901" s="160"/>
      <c r="B901" s="160"/>
      <c r="C901" s="160"/>
      <c r="D901" s="160"/>
      <c r="E901" s="172" t="s">
        <v>307</v>
      </c>
      <c r="G901" s="141"/>
      <c r="H901" s="217">
        <f>ROUNDUP(H895/H902,0)</f>
        <v>0</v>
      </c>
      <c r="I901" s="218">
        <f>SUM(H901)</f>
        <v>0</v>
      </c>
      <c r="J901" s="211"/>
    </row>
    <row r="902">
      <c r="A902" s="160"/>
      <c r="B902" s="160"/>
      <c r="C902" s="160"/>
      <c r="D902" s="160"/>
      <c r="E902" s="172" t="s">
        <v>316</v>
      </c>
      <c r="G902" s="141"/>
      <c r="H902" s="156">
        <v>18100.0</v>
      </c>
      <c r="I902" s="198"/>
      <c r="J902" s="198"/>
    </row>
    <row r="903">
      <c r="A903" s="160"/>
      <c r="B903" s="160"/>
      <c r="C903" s="160"/>
      <c r="D903" s="160"/>
      <c r="E903" s="172" t="s">
        <v>309</v>
      </c>
      <c r="G903" s="202"/>
      <c r="H903" s="188">
        <f>SUM(H917,H920,H923,H926,H929)</f>
        <v>0</v>
      </c>
      <c r="I903" s="214">
        <f>SUM(H903)</f>
        <v>0</v>
      </c>
      <c r="J903" s="214"/>
    </row>
    <row r="904" outlineLevel="1">
      <c r="A904" s="160"/>
      <c r="B904" s="160"/>
      <c r="C904" s="160"/>
      <c r="D904" s="160"/>
      <c r="E904" s="160"/>
      <c r="F904" s="121" t="s">
        <v>66</v>
      </c>
      <c r="G904" s="16"/>
      <c r="H904" s="203">
        <v>0.25</v>
      </c>
      <c r="I904" s="198"/>
      <c r="J904" s="198"/>
    </row>
    <row r="905" outlineLevel="1">
      <c r="A905" s="160"/>
      <c r="B905" s="160"/>
      <c r="C905" s="160"/>
      <c r="D905" s="160"/>
      <c r="E905" s="160"/>
      <c r="F905" s="121" t="s">
        <v>67</v>
      </c>
      <c r="G905" s="16"/>
      <c r="H905" s="203">
        <v>0.35</v>
      </c>
      <c r="I905" s="198"/>
      <c r="J905" s="198"/>
    </row>
    <row r="906" outlineLevel="1">
      <c r="A906" s="160"/>
      <c r="B906" s="160"/>
      <c r="C906" s="160"/>
      <c r="D906" s="160"/>
      <c r="E906" s="160"/>
      <c r="F906" s="121" t="s">
        <v>68</v>
      </c>
      <c r="G906" s="16"/>
      <c r="H906" s="203">
        <v>0.2</v>
      </c>
      <c r="I906" s="198"/>
      <c r="J906" s="198"/>
    </row>
    <row r="907" outlineLevel="1">
      <c r="A907" s="160"/>
      <c r="B907" s="160"/>
      <c r="C907" s="160"/>
      <c r="D907" s="160"/>
      <c r="E907" s="160"/>
      <c r="F907" s="121" t="s">
        <v>69</v>
      </c>
      <c r="G907" s="16"/>
      <c r="H907" s="203">
        <v>0.2</v>
      </c>
      <c r="I907" s="198"/>
      <c r="J907" s="198"/>
    </row>
    <row r="908" outlineLevel="1">
      <c r="A908" s="160"/>
      <c r="B908" s="160"/>
      <c r="C908" s="160"/>
      <c r="D908" s="160"/>
      <c r="E908" s="160"/>
      <c r="F908" s="121" t="s">
        <v>70</v>
      </c>
      <c r="G908" s="16"/>
      <c r="H908" s="203">
        <v>0.0</v>
      </c>
      <c r="I908" s="198"/>
      <c r="J908" s="198"/>
    </row>
    <row r="909" outlineLevel="1">
      <c r="A909" s="160"/>
      <c r="B909" s="160"/>
      <c r="C909" s="160"/>
      <c r="D909" s="160"/>
      <c r="E909" s="160"/>
      <c r="F909" s="121" t="s">
        <v>71</v>
      </c>
      <c r="G909" s="16"/>
      <c r="H909" s="204">
        <v>20000.0</v>
      </c>
      <c r="I909" s="198"/>
      <c r="J909" s="198"/>
    </row>
    <row r="910" outlineLevel="1">
      <c r="A910" s="160"/>
      <c r="B910" s="160"/>
      <c r="C910" s="160"/>
      <c r="D910" s="160"/>
      <c r="E910" s="160"/>
      <c r="F910" s="121" t="s">
        <v>72</v>
      </c>
      <c r="G910" s="16"/>
      <c r="H910" s="204">
        <v>10000.0</v>
      </c>
      <c r="I910" s="198"/>
      <c r="J910" s="198"/>
    </row>
    <row r="911" outlineLevel="1">
      <c r="A911" s="160"/>
      <c r="B911" s="160"/>
      <c r="C911" s="160"/>
      <c r="D911" s="160"/>
      <c r="E911" s="160"/>
      <c r="F911" s="121" t="s">
        <v>73</v>
      </c>
      <c r="G911" s="16"/>
      <c r="H911" s="204">
        <v>6000.0</v>
      </c>
      <c r="I911" s="198"/>
      <c r="J911" s="198"/>
    </row>
    <row r="912" outlineLevel="1">
      <c r="A912" s="160"/>
      <c r="B912" s="160"/>
      <c r="C912" s="160"/>
      <c r="D912" s="160"/>
      <c r="E912" s="160"/>
      <c r="F912" s="121" t="s">
        <v>74</v>
      </c>
      <c r="G912" s="16"/>
      <c r="H912" s="204">
        <v>42000.0</v>
      </c>
      <c r="I912" s="198"/>
      <c r="J912" s="198"/>
    </row>
    <row r="913" outlineLevel="1">
      <c r="A913" s="160"/>
      <c r="B913" s="160"/>
      <c r="C913" s="160"/>
      <c r="D913" s="160"/>
      <c r="E913" s="160"/>
      <c r="F913" s="121" t="s">
        <v>75</v>
      </c>
      <c r="G913" s="16"/>
      <c r="H913" s="204">
        <v>0.0</v>
      </c>
      <c r="I913" s="198"/>
      <c r="J913" s="198"/>
    </row>
    <row r="914" outlineLevel="1">
      <c r="A914" s="160"/>
      <c r="B914" s="160"/>
      <c r="C914" s="160"/>
      <c r="D914" s="160"/>
      <c r="E914" s="160"/>
      <c r="F914" s="172" t="s">
        <v>76</v>
      </c>
      <c r="G914" s="16"/>
      <c r="H914" s="162">
        <f>IFERROR(__xludf.DUMMYFUNCTION("MATCH(
  MIN(FILTER(H909:H913,H909:H913&gt;0)),
  H909:H913,
  0
)
"),3.0)</f>
        <v>3</v>
      </c>
      <c r="I914" s="198"/>
      <c r="J914" s="198"/>
    </row>
    <row r="915">
      <c r="A915" s="160"/>
      <c r="B915" s="160"/>
      <c r="C915" s="160"/>
      <c r="D915" s="160"/>
      <c r="E915" s="160"/>
      <c r="F915" s="13"/>
      <c r="G915" s="146"/>
      <c r="H915" s="148"/>
      <c r="I915" s="198"/>
      <c r="J915" s="198"/>
    </row>
    <row r="916">
      <c r="A916" s="160"/>
      <c r="B916" s="160"/>
      <c r="C916" s="160"/>
      <c r="D916" s="160"/>
      <c r="E916" s="160"/>
      <c r="F916" s="13" t="s">
        <v>77</v>
      </c>
      <c r="G916" s="146"/>
      <c r="H916" s="148">
        <f>ROUNDDOWN(H901*H904,0)
 + IF(H914=1,
      H901 - SUM(
        ROUNDDOWN(H901*H904,0),
        ROUNDDOWN(H901*H905,0),
        ROUNDDOWN(H901*H906,0),
        ROUNDDOWN(H901*H907,0),
        ROUNDDOWN(H901*H908,0),
      ),
      0
   )
</f>
        <v>0</v>
      </c>
      <c r="I916" s="198"/>
      <c r="J916" s="198"/>
    </row>
    <row r="917">
      <c r="A917" s="160"/>
      <c r="B917" s="160"/>
      <c r="C917" s="160"/>
      <c r="D917" s="160"/>
      <c r="F917" s="172" t="s">
        <v>310</v>
      </c>
      <c r="G917" s="146"/>
      <c r="H917" s="150">
        <f>(H916*H909)</f>
        <v>0</v>
      </c>
      <c r="I917" s="198"/>
      <c r="J917" s="198"/>
    </row>
    <row r="918">
      <c r="A918" s="160"/>
      <c r="B918" s="160"/>
      <c r="C918" s="160"/>
      <c r="D918" s="160"/>
      <c r="E918" s="160"/>
      <c r="F918" s="13"/>
      <c r="G918" s="146"/>
      <c r="H918" s="148"/>
      <c r="I918" s="198"/>
      <c r="J918" s="198"/>
    </row>
    <row r="919">
      <c r="A919" s="160"/>
      <c r="B919" s="160"/>
      <c r="C919" s="160"/>
      <c r="D919" s="160"/>
      <c r="E919" s="160"/>
      <c r="F919" s="13" t="s">
        <v>79</v>
      </c>
      <c r="G919" s="146"/>
      <c r="H919" s="148">
        <f>ROUNDDOWN(H901*H905,0)
 + IF(H914=2,
      H901 - SUM(
        ROUNDDOWN(H901*H904,0),
        ROUNDDOWN(H901*H905,0),
        ROUNDDOWN(H901*H906,0),
        ROUNDDOWN(H901*H907,0),
        ROUNDDOWN(H901*H908,0),
      ),
      0
   )
</f>
        <v>0</v>
      </c>
      <c r="I919" s="198"/>
      <c r="J919" s="198"/>
    </row>
    <row r="920">
      <c r="A920" s="160"/>
      <c r="B920" s="160"/>
      <c r="C920" s="160"/>
      <c r="D920" s="160"/>
      <c r="F920" s="172" t="s">
        <v>311</v>
      </c>
      <c r="G920" s="146"/>
      <c r="H920" s="150">
        <f>(H910*H919)</f>
        <v>0</v>
      </c>
      <c r="I920" s="198"/>
      <c r="J920" s="198"/>
    </row>
    <row r="921">
      <c r="A921" s="160"/>
      <c r="B921" s="160"/>
      <c r="C921" s="160"/>
      <c r="D921" s="160"/>
      <c r="E921" s="160"/>
      <c r="F921" s="13"/>
      <c r="G921" s="146"/>
      <c r="H921" s="148"/>
      <c r="I921" s="198"/>
      <c r="J921" s="198"/>
    </row>
    <row r="922">
      <c r="A922" s="160"/>
      <c r="B922" s="160"/>
      <c r="C922" s="160"/>
      <c r="D922" s="160"/>
      <c r="E922" s="160"/>
      <c r="F922" s="13" t="s">
        <v>81</v>
      </c>
      <c r="G922" s="146"/>
      <c r="H922" s="148">
        <f>ROUNDDOWN(H901*H906,0)
 + IF(H914=3,
      H901 - SUM(
        ROUNDDOWN(H901*H904,0),
        ROUNDDOWN(H901*H905,0),
        ROUNDDOWN(H901*H906,0),
        ROUNDDOWN(H901*H907,0)
      ),
      0
   )
</f>
        <v>0</v>
      </c>
      <c r="I922" s="198"/>
      <c r="J922" s="198"/>
    </row>
    <row r="923">
      <c r="A923" s="160"/>
      <c r="B923" s="160"/>
      <c r="C923" s="160"/>
      <c r="D923" s="160"/>
      <c r="F923" s="172" t="s">
        <v>312</v>
      </c>
      <c r="G923" s="146"/>
      <c r="H923" s="150">
        <f>(H911*H922)</f>
        <v>0</v>
      </c>
      <c r="I923" s="198"/>
      <c r="J923" s="198"/>
    </row>
    <row r="924">
      <c r="A924" s="160"/>
      <c r="B924" s="160"/>
      <c r="C924" s="160"/>
      <c r="D924" s="160"/>
      <c r="E924" s="160"/>
      <c r="F924" s="13"/>
      <c r="G924" s="146"/>
      <c r="H924" s="148"/>
      <c r="I924" s="198"/>
      <c r="J924" s="198"/>
    </row>
    <row r="925">
      <c r="A925" s="160"/>
      <c r="B925" s="160"/>
      <c r="C925" s="160"/>
      <c r="D925" s="160"/>
      <c r="E925" s="160"/>
      <c r="F925" s="13" t="s">
        <v>83</v>
      </c>
      <c r="G925" s="146"/>
      <c r="H925" s="148">
        <f>ROUNDDOWN(H901*H907,0)
 + IF(H914=4,
      H901 - SUM(
        ROUNDDOWN(H901*H904,0),
        ROUNDDOWN(H901*H905,0),
        ROUNDDOWN(H901*H906,0),
        ROUNDDOWN(H901*H907,0),ROUNDDOWN(H899*H908,0),
      ),
      0
   )
</f>
        <v>0</v>
      </c>
      <c r="I925" s="198"/>
      <c r="J925" s="198"/>
    </row>
    <row r="926">
      <c r="A926" s="160"/>
      <c r="B926" s="160"/>
      <c r="C926" s="160"/>
      <c r="D926" s="160"/>
      <c r="F926" s="172" t="s">
        <v>313</v>
      </c>
      <c r="G926" s="146"/>
      <c r="H926" s="150">
        <f>(H912*H925)</f>
        <v>0</v>
      </c>
      <c r="I926" s="198"/>
      <c r="J926" s="198"/>
    </row>
    <row r="927">
      <c r="A927" s="160"/>
      <c r="B927" s="160"/>
      <c r="C927" s="160"/>
      <c r="D927" s="160"/>
      <c r="E927" s="160"/>
      <c r="F927" s="13"/>
      <c r="G927" s="146"/>
      <c r="H927" s="148"/>
      <c r="I927" s="198"/>
      <c r="J927" s="198"/>
    </row>
    <row r="928">
      <c r="A928" s="160"/>
      <c r="B928" s="160"/>
      <c r="C928" s="160"/>
      <c r="D928" s="160"/>
      <c r="E928" s="160"/>
      <c r="F928" s="13" t="s">
        <v>85</v>
      </c>
      <c r="G928" s="146"/>
      <c r="H928" s="148">
        <f>ROUNDDOWN(H901*H908,0)
 + IF(H914=5,
      H901 - SUM(
        ROUNDDOWN(H901*H904,0),
        ROUNDDOWN(H901*H905,0),
        ROUNDDOWN(H901*H906,0),
        ROUNDDOWN(H901*H907,0),
        ROUNDDOWN(H901*H908,0),
      ),
      0
   )
</f>
        <v>0</v>
      </c>
      <c r="I928" s="198"/>
      <c r="J928" s="198"/>
    </row>
    <row r="929">
      <c r="A929" s="160"/>
      <c r="B929" s="160"/>
      <c r="C929" s="160"/>
      <c r="F929" s="172" t="s">
        <v>314</v>
      </c>
      <c r="G929" s="146"/>
      <c r="H929" s="150">
        <f>(H913*H928)</f>
        <v>0</v>
      </c>
      <c r="I929" s="198"/>
      <c r="J929" s="198"/>
    </row>
    <row r="930">
      <c r="A930" s="160"/>
      <c r="B930" s="160"/>
      <c r="C930" s="160"/>
      <c r="D930" s="160"/>
      <c r="E930" s="160"/>
      <c r="F930" s="172"/>
      <c r="G930" s="16"/>
      <c r="H930" s="160"/>
      <c r="I930" s="198"/>
      <c r="J930" s="198"/>
    </row>
    <row r="931">
      <c r="A931" s="1"/>
      <c r="B931" s="1"/>
      <c r="C931" s="1"/>
      <c r="D931" s="1"/>
      <c r="E931" s="1"/>
      <c r="F931" s="1"/>
      <c r="G931" s="146"/>
      <c r="H931" s="163"/>
      <c r="I931" s="1"/>
      <c r="J931" s="1"/>
    </row>
    <row r="932">
      <c r="A932" s="160"/>
      <c r="B932" s="160"/>
      <c r="C932" s="160"/>
      <c r="D932" s="205" t="s">
        <v>49</v>
      </c>
      <c r="E932" s="160"/>
      <c r="F932" s="160"/>
      <c r="G932" s="16"/>
      <c r="H932" s="127"/>
      <c r="I932" s="127"/>
      <c r="J932" s="127"/>
    </row>
    <row r="933">
      <c r="A933" s="160"/>
      <c r="B933" s="160"/>
      <c r="C933" s="160"/>
      <c r="D933" s="160"/>
      <c r="E933" s="172" t="s">
        <v>208</v>
      </c>
      <c r="G933" s="16"/>
      <c r="H933" s="189">
        <f>$H$492</f>
        <v>360</v>
      </c>
      <c r="I933" s="198"/>
      <c r="J933" s="198"/>
    </row>
    <row r="934">
      <c r="A934" s="160"/>
      <c r="B934" s="160"/>
      <c r="C934" s="160"/>
      <c r="D934" s="160"/>
      <c r="E934" s="13" t="s">
        <v>210</v>
      </c>
      <c r="G934" s="142">
        <f>H934/H936</f>
        <v>0.380525</v>
      </c>
      <c r="H934" s="149">
        <f>SUM($H$494)</f>
        <v>12329010</v>
      </c>
      <c r="I934" s="160"/>
      <c r="J934" s="160"/>
    </row>
    <row r="935">
      <c r="A935" s="160"/>
      <c r="B935" s="160"/>
      <c r="C935" s="160"/>
      <c r="D935" s="160"/>
      <c r="E935" s="172" t="s">
        <v>298</v>
      </c>
      <c r="G935" s="19"/>
      <c r="H935" s="158">
        <v>90000.0</v>
      </c>
      <c r="I935" s="160"/>
      <c r="J935" s="160"/>
    </row>
    <row r="936">
      <c r="A936" s="160"/>
      <c r="B936" s="160"/>
      <c r="C936" s="160"/>
      <c r="D936" s="160"/>
      <c r="E936" s="172" t="s">
        <v>299</v>
      </c>
      <c r="G936" s="19"/>
      <c r="H936" s="149">
        <f>$H$492*H935</f>
        <v>32400000</v>
      </c>
      <c r="I936" s="160"/>
      <c r="J936" s="160"/>
    </row>
    <row r="937">
      <c r="A937" s="160"/>
      <c r="B937" s="160"/>
      <c r="C937" s="160"/>
      <c r="D937" s="160"/>
      <c r="E937" s="172"/>
      <c r="G937" s="19"/>
      <c r="H937" s="149"/>
      <c r="I937" s="160"/>
      <c r="J937" s="160"/>
    </row>
    <row r="938">
      <c r="A938" s="160"/>
      <c r="B938" s="160"/>
      <c r="C938" s="160"/>
      <c r="D938" s="160"/>
      <c r="E938" s="172" t="s">
        <v>300</v>
      </c>
      <c r="G938" s="167">
        <f>IFERROR((G934*1.5),0.01)</f>
        <v>0.5707875</v>
      </c>
      <c r="H938" s="213">
        <v>0.0</v>
      </c>
      <c r="I938" s="200">
        <f>SUM(H938)</f>
        <v>0</v>
      </c>
      <c r="J938" s="200"/>
    </row>
    <row r="939">
      <c r="A939" s="16"/>
      <c r="B939" s="16"/>
      <c r="C939" s="16"/>
      <c r="D939" s="16"/>
      <c r="E939" s="121" t="s">
        <v>301</v>
      </c>
      <c r="F939" s="16"/>
      <c r="G939" s="149">
        <f>H936*G938</f>
        <v>18493515</v>
      </c>
      <c r="H939" s="19"/>
      <c r="I939" s="16"/>
      <c r="J939" s="16"/>
    </row>
    <row r="940">
      <c r="A940" s="16"/>
      <c r="B940" s="16"/>
      <c r="C940" s="16"/>
      <c r="D940" s="16"/>
      <c r="E940" s="121" t="s">
        <v>302</v>
      </c>
      <c r="F940" s="16"/>
      <c r="G940" s="19"/>
      <c r="H940" s="149">
        <f>H934</f>
        <v>12329010</v>
      </c>
      <c r="I940" s="199" t="str">
        <f>#REF!</f>
        <v>#REF!</v>
      </c>
      <c r="J940" s="199"/>
    </row>
    <row r="941">
      <c r="A941" s="16"/>
      <c r="B941" s="16"/>
      <c r="C941" s="16"/>
      <c r="D941" s="16"/>
      <c r="E941" s="121" t="s">
        <v>303</v>
      </c>
      <c r="F941" s="16"/>
      <c r="G941" s="149">
        <f>G939-H940</f>
        <v>6164505</v>
      </c>
      <c r="H941" s="149">
        <f>$G$941*H938</f>
        <v>0</v>
      </c>
      <c r="I941" s="199">
        <f>SUM(H941)</f>
        <v>0</v>
      </c>
      <c r="J941" s="199"/>
    </row>
    <row r="942">
      <c r="A942" s="160"/>
      <c r="B942" s="160"/>
      <c r="C942" s="160"/>
      <c r="D942" s="160"/>
      <c r="E942" s="172"/>
      <c r="G942" s="19"/>
      <c r="H942" s="149"/>
      <c r="I942" s="160"/>
      <c r="J942" s="160"/>
    </row>
    <row r="943">
      <c r="A943" s="160"/>
      <c r="B943" s="160"/>
      <c r="C943" s="160"/>
      <c r="D943" s="160"/>
      <c r="E943" s="172" t="s">
        <v>304</v>
      </c>
      <c r="G943" s="19"/>
      <c r="H943" s="149">
        <f>$H$936-H940</f>
        <v>20070990</v>
      </c>
      <c r="I943" s="160"/>
      <c r="J943" s="160"/>
    </row>
    <row r="944">
      <c r="A944" s="16"/>
      <c r="B944" s="16"/>
      <c r="C944" s="16"/>
      <c r="D944" s="16"/>
      <c r="E944" s="121" t="s">
        <v>305</v>
      </c>
      <c r="F944" s="16"/>
      <c r="G944" s="151"/>
      <c r="H944" s="142">
        <f t="shared" ref="H944:I944" si="36">IFERROR(H940/$H$936,0)</f>
        <v>0.380525</v>
      </c>
      <c r="I944" s="200">
        <f t="shared" si="36"/>
        <v>0</v>
      </c>
      <c r="J944" s="200"/>
    </row>
    <row r="945">
      <c r="A945" s="16"/>
      <c r="B945" s="16"/>
      <c r="C945" s="16"/>
      <c r="D945" s="16"/>
      <c r="E945" s="121" t="s">
        <v>306</v>
      </c>
      <c r="F945" s="16"/>
      <c r="G945" s="141"/>
      <c r="H945" s="142">
        <f t="shared" ref="H945:I945" si="37">IFERROR(1-(H940/$H$936),0)</f>
        <v>0.619475</v>
      </c>
      <c r="I945" s="200">
        <f t="shared" si="37"/>
        <v>0</v>
      </c>
      <c r="J945" s="200"/>
    </row>
    <row r="946">
      <c r="A946" s="160"/>
      <c r="B946" s="160"/>
      <c r="C946" s="160"/>
      <c r="D946" s="160"/>
      <c r="E946" s="160"/>
      <c r="F946" s="172"/>
      <c r="G946" s="141"/>
      <c r="H946" s="158"/>
      <c r="I946" s="198"/>
      <c r="J946" s="198"/>
    </row>
    <row r="947">
      <c r="A947" s="16"/>
      <c r="B947" s="16"/>
      <c r="C947" s="16"/>
      <c r="D947" s="16"/>
      <c r="E947" s="121" t="s">
        <v>307</v>
      </c>
      <c r="F947" s="16"/>
      <c r="G947" s="141"/>
      <c r="H947" s="190">
        <f>ROUNDUP(H941/H948,0)</f>
        <v>0</v>
      </c>
      <c r="I947" s="201">
        <f>SUM(H947)</f>
        <v>0</v>
      </c>
      <c r="J947" s="201"/>
    </row>
    <row r="948">
      <c r="A948" s="160"/>
      <c r="B948" s="160"/>
      <c r="C948" s="160"/>
      <c r="D948" s="160"/>
      <c r="E948" s="172" t="s">
        <v>317</v>
      </c>
      <c r="G948" s="141"/>
      <c r="H948" s="156">
        <v>8800.0</v>
      </c>
      <c r="I948" s="198"/>
      <c r="J948" s="198"/>
    </row>
    <row r="949">
      <c r="A949" s="160"/>
      <c r="B949" s="160"/>
      <c r="C949" s="160"/>
      <c r="D949" s="160"/>
      <c r="E949" s="172" t="s">
        <v>309</v>
      </c>
      <c r="G949" s="202"/>
      <c r="H949" s="188">
        <f>SUM(H963,H966,H969,H972,H975)</f>
        <v>0</v>
      </c>
      <c r="I949" s="196">
        <f>SUM(H949)</f>
        <v>0</v>
      </c>
      <c r="J949" s="160"/>
    </row>
    <row r="950" outlineLevel="1">
      <c r="A950" s="160"/>
      <c r="B950" s="160"/>
      <c r="C950" s="160"/>
      <c r="D950" s="160"/>
      <c r="E950" s="160"/>
      <c r="F950" s="121" t="s">
        <v>66</v>
      </c>
      <c r="G950" s="16"/>
      <c r="H950" s="203">
        <v>0.6</v>
      </c>
      <c r="I950" s="198"/>
      <c r="J950" s="198"/>
    </row>
    <row r="951" outlineLevel="1">
      <c r="A951" s="160"/>
      <c r="B951" s="160"/>
      <c r="C951" s="160"/>
      <c r="D951" s="160"/>
      <c r="E951" s="160"/>
      <c r="F951" s="121" t="s">
        <v>67</v>
      </c>
      <c r="G951" s="16"/>
      <c r="H951" s="203">
        <v>0.4</v>
      </c>
      <c r="I951" s="198"/>
      <c r="J951" s="198"/>
    </row>
    <row r="952" outlineLevel="1">
      <c r="A952" s="160"/>
      <c r="B952" s="160"/>
      <c r="C952" s="160"/>
      <c r="D952" s="160"/>
      <c r="E952" s="160"/>
      <c r="F952" s="121" t="s">
        <v>68</v>
      </c>
      <c r="G952" s="16"/>
      <c r="H952" s="203">
        <v>0.0</v>
      </c>
      <c r="I952" s="198"/>
      <c r="J952" s="198"/>
    </row>
    <row r="953" outlineLevel="1">
      <c r="A953" s="160"/>
      <c r="B953" s="160"/>
      <c r="C953" s="160"/>
      <c r="D953" s="160"/>
      <c r="E953" s="160"/>
      <c r="F953" s="121" t="s">
        <v>69</v>
      </c>
      <c r="G953" s="16"/>
      <c r="H953" s="203">
        <v>0.0</v>
      </c>
      <c r="I953" s="198"/>
      <c r="J953" s="198"/>
    </row>
    <row r="954" outlineLevel="1">
      <c r="A954" s="160"/>
      <c r="B954" s="160"/>
      <c r="C954" s="160"/>
      <c r="D954" s="160"/>
      <c r="E954" s="160"/>
      <c r="F954" s="121" t="s">
        <v>70</v>
      </c>
      <c r="G954" s="16"/>
      <c r="H954" s="203">
        <v>0.0</v>
      </c>
      <c r="I954" s="198"/>
      <c r="J954" s="198"/>
    </row>
    <row r="955" outlineLevel="1">
      <c r="A955" s="160"/>
      <c r="B955" s="160"/>
      <c r="C955" s="160"/>
      <c r="D955" s="160"/>
      <c r="E955" s="160"/>
      <c r="F955" s="121" t="s">
        <v>71</v>
      </c>
      <c r="G955" s="16"/>
      <c r="H955" s="204">
        <v>8000.0</v>
      </c>
      <c r="I955" s="198"/>
      <c r="J955" s="198"/>
    </row>
    <row r="956" outlineLevel="1">
      <c r="A956" s="160"/>
      <c r="B956" s="160"/>
      <c r="C956" s="160"/>
      <c r="D956" s="160"/>
      <c r="E956" s="160"/>
      <c r="F956" s="121" t="s">
        <v>72</v>
      </c>
      <c r="G956" s="16"/>
      <c r="H956" s="204">
        <v>10000.0</v>
      </c>
      <c r="I956" s="198"/>
      <c r="J956" s="198"/>
    </row>
    <row r="957" outlineLevel="1">
      <c r="A957" s="160"/>
      <c r="B957" s="160"/>
      <c r="C957" s="160"/>
      <c r="D957" s="160"/>
      <c r="E957" s="160"/>
      <c r="F957" s="121" t="s">
        <v>73</v>
      </c>
      <c r="G957" s="16"/>
      <c r="H957" s="204">
        <v>0.0</v>
      </c>
      <c r="I957" s="198"/>
      <c r="J957" s="198"/>
    </row>
    <row r="958" outlineLevel="1">
      <c r="A958" s="160"/>
      <c r="B958" s="160"/>
      <c r="C958" s="160"/>
      <c r="D958" s="160"/>
      <c r="E958" s="160"/>
      <c r="F958" s="121" t="s">
        <v>74</v>
      </c>
      <c r="G958" s="16"/>
      <c r="H958" s="204">
        <v>0.0</v>
      </c>
      <c r="I958" s="198"/>
      <c r="J958" s="198"/>
    </row>
    <row r="959" outlineLevel="1">
      <c r="A959" s="160"/>
      <c r="B959" s="160"/>
      <c r="C959" s="160"/>
      <c r="D959" s="160"/>
      <c r="E959" s="160"/>
      <c r="F959" s="121" t="s">
        <v>75</v>
      </c>
      <c r="G959" s="16"/>
      <c r="H959" s="204">
        <v>0.0</v>
      </c>
      <c r="I959" s="198"/>
      <c r="J959" s="198"/>
    </row>
    <row r="960" outlineLevel="1">
      <c r="A960" s="160"/>
      <c r="B960" s="160"/>
      <c r="C960" s="160"/>
      <c r="D960" s="160"/>
      <c r="E960" s="160"/>
      <c r="F960" s="172" t="s">
        <v>76</v>
      </c>
      <c r="G960" s="16"/>
      <c r="H960" s="162">
        <f>IFERROR(__xludf.DUMMYFUNCTION("MATCH(
  MIN(FILTER(H955:H959,H955:H959&gt;0)),
  H955:H959,
  0
)
"),1.0)</f>
        <v>1</v>
      </c>
      <c r="I960" s="198"/>
      <c r="J960" s="198"/>
    </row>
    <row r="961">
      <c r="A961" s="160"/>
      <c r="B961" s="160"/>
      <c r="C961" s="160"/>
      <c r="D961" s="160"/>
      <c r="E961" s="160"/>
      <c r="F961" s="13"/>
      <c r="G961" s="146"/>
      <c r="H961" s="148"/>
      <c r="I961" s="198"/>
      <c r="J961" s="198"/>
    </row>
    <row r="962">
      <c r="A962" s="160"/>
      <c r="B962" s="160"/>
      <c r="C962" s="160"/>
      <c r="D962" s="160"/>
      <c r="E962" s="160"/>
      <c r="F962" s="13" t="s">
        <v>77</v>
      </c>
      <c r="G962" s="146"/>
      <c r="H962" s="148">
        <f>ROUNDDOWN(H947*H950,0)
 + IF(H960=1,
      H947 - SUM(
        ROUNDDOWN(H947*H950,0),
        ROUNDDOWN(H947*H951,0),
        ROUNDDOWN(H947*H952,0),
        ROUNDDOWN(H947*H953,0),
        ROUNDDOWN(H947*H954,0),
      ),
      0
   )
</f>
        <v>0</v>
      </c>
      <c r="I962" s="198"/>
      <c r="J962" s="198"/>
    </row>
    <row r="963">
      <c r="A963" s="160"/>
      <c r="B963" s="160"/>
      <c r="C963" s="160"/>
      <c r="D963" s="160"/>
      <c r="F963" s="172" t="s">
        <v>310</v>
      </c>
      <c r="G963" s="146"/>
      <c r="H963" s="150">
        <f>(H962*H955)</f>
        <v>0</v>
      </c>
      <c r="I963" s="198"/>
      <c r="J963" s="198"/>
    </row>
    <row r="964">
      <c r="A964" s="160"/>
      <c r="B964" s="160"/>
      <c r="C964" s="160"/>
      <c r="D964" s="160"/>
      <c r="E964" s="160"/>
      <c r="F964" s="13"/>
      <c r="G964" s="146"/>
      <c r="H964" s="148"/>
      <c r="I964" s="198"/>
      <c r="J964" s="198"/>
    </row>
    <row r="965">
      <c r="A965" s="160"/>
      <c r="B965" s="160"/>
      <c r="C965" s="160"/>
      <c r="D965" s="160"/>
      <c r="E965" s="160"/>
      <c r="F965" s="13" t="s">
        <v>79</v>
      </c>
      <c r="G965" s="146"/>
      <c r="H965" s="148">
        <f>ROUNDDOWN(H947*H951,0)
 + IF(H960=2,
      H947 - SUM(
        ROUNDDOWN(H947*H950,0),
        ROUNDDOWN(H947*H951,0),
        ROUNDDOWN(H947*H952,0),
        ROUNDDOWN(H947*H953,0),
        ROUNDDOWN(H947*H954,0),
      ),
      0
   )
</f>
        <v>0</v>
      </c>
      <c r="I965" s="198"/>
      <c r="J965" s="198"/>
    </row>
    <row r="966">
      <c r="A966" s="160"/>
      <c r="B966" s="160"/>
      <c r="C966" s="160"/>
      <c r="D966" s="160"/>
      <c r="F966" s="172" t="s">
        <v>311</v>
      </c>
      <c r="G966" s="146"/>
      <c r="H966" s="150">
        <f>(H956*H965)</f>
        <v>0</v>
      </c>
      <c r="I966" s="198"/>
      <c r="J966" s="198"/>
    </row>
    <row r="967">
      <c r="A967" s="160"/>
      <c r="B967" s="160"/>
      <c r="C967" s="160"/>
      <c r="D967" s="160"/>
      <c r="E967" s="160"/>
      <c r="F967" s="13"/>
      <c r="G967" s="146"/>
      <c r="H967" s="148"/>
      <c r="I967" s="198"/>
      <c r="J967" s="198"/>
    </row>
    <row r="968">
      <c r="A968" s="160"/>
      <c r="B968" s="160"/>
      <c r="C968" s="160"/>
      <c r="D968" s="160"/>
      <c r="E968" s="160"/>
      <c r="F968" s="13" t="s">
        <v>81</v>
      </c>
      <c r="G968" s="146"/>
      <c r="H968" s="148">
        <f>ROUNDDOWN(H947*H952,0)
 + IF(H960=3,
      H947 - SUM(
        ROUNDDOWN(H947*H950,0),
        ROUNDDOWN(H947*H951,0),
        ROUNDDOWN(H947*H952,0),
        ROUNDDOWN(H947*H953,0)
      ),
      0
   )
</f>
        <v>0</v>
      </c>
      <c r="I968" s="198"/>
      <c r="J968" s="198"/>
    </row>
    <row r="969">
      <c r="A969" s="160"/>
      <c r="B969" s="160"/>
      <c r="C969" s="160"/>
      <c r="D969" s="160"/>
      <c r="F969" s="172" t="s">
        <v>312</v>
      </c>
      <c r="G969" s="146"/>
      <c r="H969" s="150">
        <f>(H957*H968)</f>
        <v>0</v>
      </c>
      <c r="I969" s="198"/>
      <c r="J969" s="198"/>
    </row>
    <row r="970">
      <c r="A970" s="160"/>
      <c r="B970" s="160"/>
      <c r="C970" s="160"/>
      <c r="D970" s="160"/>
      <c r="E970" s="160"/>
      <c r="F970" s="13"/>
      <c r="G970" s="146"/>
      <c r="H970" s="148"/>
      <c r="I970" s="198"/>
      <c r="J970" s="198"/>
    </row>
    <row r="971">
      <c r="A971" s="160"/>
      <c r="B971" s="160"/>
      <c r="C971" s="160"/>
      <c r="D971" s="160"/>
      <c r="E971" s="160"/>
      <c r="F971" s="13" t="s">
        <v>83</v>
      </c>
      <c r="G971" s="146"/>
      <c r="H971" s="148">
        <f>ROUNDDOWN(H947*H953,0)
 + IF(H960=4,
      H947 - SUM(
        ROUNDDOWN(H947*H950,0),
        ROUNDDOWN(H947*H951,0),
        ROUNDDOWN(H947*H952,0),
        ROUNDDOWN(H947*H953,0),ROUNDDOWN(H945*H954,0),
      ),
      0
   )
</f>
        <v>0</v>
      </c>
      <c r="I971" s="198"/>
      <c r="J971" s="198"/>
    </row>
    <row r="972">
      <c r="A972" s="160"/>
      <c r="B972" s="160"/>
      <c r="C972" s="160"/>
      <c r="D972" s="160"/>
      <c r="F972" s="172" t="s">
        <v>313</v>
      </c>
      <c r="G972" s="146"/>
      <c r="H972" s="150">
        <f>(H958*H971)</f>
        <v>0</v>
      </c>
      <c r="I972" s="198"/>
      <c r="J972" s="198"/>
    </row>
    <row r="973">
      <c r="A973" s="160"/>
      <c r="B973" s="160"/>
      <c r="C973" s="160"/>
      <c r="D973" s="160"/>
      <c r="E973" s="160"/>
      <c r="F973" s="13"/>
      <c r="G973" s="146"/>
      <c r="H973" s="148"/>
      <c r="I973" s="198"/>
      <c r="J973" s="198"/>
    </row>
    <row r="974">
      <c r="A974" s="160"/>
      <c r="B974" s="160"/>
      <c r="C974" s="160"/>
      <c r="D974" s="160"/>
      <c r="E974" s="160"/>
      <c r="F974" s="13" t="s">
        <v>85</v>
      </c>
      <c r="G974" s="146"/>
      <c r="H974" s="148">
        <f>ROUNDDOWN(H947*H954,0)
 + IF(H960=5,
      H947 - SUM(
        ROUNDDOWN(H947*H950,0),
        ROUNDDOWN(H947*H951,0),
        ROUNDDOWN(H947*H952,0),
        ROUNDDOWN(H947*H953,0),
        ROUNDDOWN(H947*H954,0),
      ),
      0
   )
</f>
        <v>0</v>
      </c>
      <c r="I974" s="198"/>
      <c r="J974" s="198"/>
    </row>
    <row r="975">
      <c r="A975" s="160"/>
      <c r="B975" s="160"/>
      <c r="C975" s="160"/>
      <c r="F975" s="172" t="s">
        <v>314</v>
      </c>
      <c r="G975" s="146"/>
      <c r="H975" s="150">
        <f>(H959*H974)</f>
        <v>0</v>
      </c>
      <c r="I975" s="198"/>
      <c r="J975" s="198"/>
    </row>
    <row r="976">
      <c r="A976" s="160"/>
      <c r="B976" s="160"/>
      <c r="C976" s="160"/>
      <c r="D976" s="160"/>
      <c r="E976" s="160"/>
      <c r="F976" s="172"/>
      <c r="G976" s="16"/>
      <c r="H976" s="160"/>
      <c r="I976" s="198"/>
      <c r="J976" s="198"/>
    </row>
    <row r="977">
      <c r="A977" s="160"/>
      <c r="B977" s="160"/>
      <c r="C977" s="160"/>
      <c r="D977" s="205" t="s">
        <v>50</v>
      </c>
      <c r="E977" s="160"/>
      <c r="F977" s="160"/>
      <c r="G977" s="16"/>
      <c r="H977" s="127"/>
      <c r="I977" s="127"/>
      <c r="J977" s="127"/>
    </row>
    <row r="978">
      <c r="A978" s="160"/>
      <c r="B978" s="160"/>
      <c r="C978" s="160"/>
      <c r="D978" s="160"/>
      <c r="E978" s="172" t="s">
        <v>232</v>
      </c>
      <c r="G978" s="16"/>
      <c r="H978" s="189">
        <f>$H$518</f>
        <v>170</v>
      </c>
      <c r="I978" s="198"/>
      <c r="J978" s="198"/>
    </row>
    <row r="979">
      <c r="A979" s="160"/>
      <c r="B979" s="160"/>
      <c r="C979" s="160"/>
      <c r="D979" s="160"/>
      <c r="E979" s="13" t="s">
        <v>234</v>
      </c>
      <c r="G979" s="142">
        <f>H979/H981</f>
        <v>0.5095852941</v>
      </c>
      <c r="H979" s="149">
        <f>SUM($H$520)</f>
        <v>4331475</v>
      </c>
      <c r="I979" s="160"/>
      <c r="J979" s="160"/>
    </row>
    <row r="980">
      <c r="A980" s="160"/>
      <c r="B980" s="160"/>
      <c r="C980" s="160"/>
      <c r="D980" s="160"/>
      <c r="E980" s="172" t="s">
        <v>298</v>
      </c>
      <c r="G980" s="19"/>
      <c r="H980" s="158">
        <v>50000.0</v>
      </c>
      <c r="I980" s="160"/>
      <c r="J980" s="160"/>
    </row>
    <row r="981">
      <c r="A981" s="160"/>
      <c r="B981" s="160"/>
      <c r="C981" s="160"/>
      <c r="D981" s="160"/>
      <c r="E981" s="172" t="s">
        <v>299</v>
      </c>
      <c r="G981" s="19"/>
      <c r="H981" s="149">
        <f>$H$518*H980</f>
        <v>8500000</v>
      </c>
      <c r="I981" s="160"/>
      <c r="J981" s="160"/>
    </row>
    <row r="982">
      <c r="A982" s="160"/>
      <c r="B982" s="160"/>
      <c r="C982" s="160"/>
      <c r="D982" s="160"/>
      <c r="E982" s="172"/>
      <c r="G982" s="19"/>
      <c r="H982" s="149"/>
      <c r="I982" s="160"/>
      <c r="J982" s="160"/>
    </row>
    <row r="983">
      <c r="A983" s="160"/>
      <c r="B983" s="160"/>
      <c r="C983" s="160"/>
      <c r="D983" s="160"/>
      <c r="E983" s="172" t="s">
        <v>300</v>
      </c>
      <c r="G983" s="167">
        <f>IFERROR((G979*1.5),0.01)</f>
        <v>0.7643779412</v>
      </c>
      <c r="H983" s="219">
        <v>0.0</v>
      </c>
      <c r="I983" s="160"/>
      <c r="J983" s="160"/>
    </row>
    <row r="984">
      <c r="A984" s="16"/>
      <c r="B984" s="16"/>
      <c r="C984" s="16"/>
      <c r="D984" s="16"/>
      <c r="E984" s="121" t="s">
        <v>301</v>
      </c>
      <c r="F984" s="16"/>
      <c r="G984" s="149">
        <f>H981*G983</f>
        <v>6497212.5</v>
      </c>
      <c r="H984" s="19"/>
      <c r="I984" s="16"/>
      <c r="J984" s="16"/>
    </row>
    <row r="985">
      <c r="A985" s="16"/>
      <c r="B985" s="16"/>
      <c r="C985" s="16"/>
      <c r="D985" s="16"/>
      <c r="E985" s="121" t="s">
        <v>302</v>
      </c>
      <c r="F985" s="16"/>
      <c r="G985" s="19"/>
      <c r="H985" s="149">
        <f>H979</f>
        <v>4331475</v>
      </c>
      <c r="I985" s="199" t="str">
        <f>#REF!</f>
        <v>#REF!</v>
      </c>
      <c r="J985" s="199"/>
    </row>
    <row r="986">
      <c r="A986" s="16"/>
      <c r="B986" s="16"/>
      <c r="C986" s="16"/>
      <c r="D986" s="16"/>
      <c r="E986" s="121" t="s">
        <v>303</v>
      </c>
      <c r="F986" s="16"/>
      <c r="G986" s="149">
        <f>G984-H985</f>
        <v>2165737.5</v>
      </c>
      <c r="H986" s="149">
        <f>$G$986*H983</f>
        <v>0</v>
      </c>
      <c r="I986" s="199">
        <f>SUM(H986)</f>
        <v>0</v>
      </c>
      <c r="J986" s="199"/>
    </row>
    <row r="987">
      <c r="A987" s="160"/>
      <c r="B987" s="160"/>
      <c r="C987" s="160"/>
      <c r="D987" s="160"/>
      <c r="E987" s="172"/>
      <c r="G987" s="149"/>
      <c r="H987" s="149"/>
      <c r="I987" s="160"/>
      <c r="J987" s="160"/>
    </row>
    <row r="988">
      <c r="A988" s="160"/>
      <c r="B988" s="160"/>
      <c r="C988" s="160"/>
      <c r="D988" s="160"/>
      <c r="E988" s="172" t="s">
        <v>304</v>
      </c>
      <c r="G988" s="149"/>
      <c r="H988" s="149">
        <f>$H$981-H985</f>
        <v>4168525</v>
      </c>
      <c r="I988" s="160"/>
      <c r="J988" s="160"/>
    </row>
    <row r="989">
      <c r="A989" s="160"/>
      <c r="B989" s="160"/>
      <c r="C989" s="160"/>
      <c r="D989" s="160"/>
      <c r="E989" s="172" t="s">
        <v>305</v>
      </c>
      <c r="G989" s="220"/>
      <c r="H989" s="142">
        <f>IFERROR(SUM(H994,H979)/$H$981,0)</f>
        <v>0.5095852941</v>
      </c>
      <c r="I989" s="200">
        <f>IFERROR(I985/$H$981,0)</f>
        <v>0</v>
      </c>
      <c r="J989" s="200"/>
    </row>
    <row r="990">
      <c r="A990" s="160"/>
      <c r="B990" s="160"/>
      <c r="C990" s="160"/>
      <c r="D990" s="160"/>
      <c r="E990" s="172" t="s">
        <v>306</v>
      </c>
      <c r="G990" s="216"/>
      <c r="H990" s="216">
        <f>IFERROR(1-(H979/$H$981),0)</f>
        <v>0.4904147059</v>
      </c>
      <c r="I990" s="200">
        <f>IFERROR(1-(I985/$H$981),0)</f>
        <v>0</v>
      </c>
      <c r="J990" s="200"/>
    </row>
    <row r="991">
      <c r="A991" s="160"/>
      <c r="B991" s="160"/>
      <c r="C991" s="160"/>
      <c r="D991" s="160"/>
      <c r="E991" s="160"/>
      <c r="F991" s="121"/>
      <c r="G991" s="160"/>
      <c r="H991" s="207"/>
      <c r="I991" s="198"/>
      <c r="J991" s="198"/>
    </row>
    <row r="992">
      <c r="A992" s="16"/>
      <c r="B992" s="16"/>
      <c r="C992" s="16"/>
      <c r="D992" s="16"/>
      <c r="E992" s="121" t="s">
        <v>307</v>
      </c>
      <c r="F992" s="16"/>
      <c r="G992" s="141"/>
      <c r="H992" s="190">
        <f>ROUNDUP(H986/H993,0)</f>
        <v>0</v>
      </c>
      <c r="I992" s="201">
        <f>SUM(H992)</f>
        <v>0</v>
      </c>
      <c r="J992" s="201"/>
    </row>
    <row r="993">
      <c r="A993" s="160"/>
      <c r="B993" s="160"/>
      <c r="C993" s="160"/>
      <c r="D993" s="160"/>
      <c r="E993" s="172" t="s">
        <v>318</v>
      </c>
      <c r="G993" s="216"/>
      <c r="H993" s="156">
        <v>7200.0</v>
      </c>
      <c r="I993" s="198"/>
      <c r="J993" s="198"/>
    </row>
    <row r="994">
      <c r="A994" s="160"/>
      <c r="B994" s="160"/>
      <c r="C994" s="160"/>
      <c r="D994" s="160"/>
      <c r="E994" s="172" t="s">
        <v>309</v>
      </c>
      <c r="G994" s="188"/>
      <c r="H994" s="188">
        <f>SUM(H1008,H1011,H1014,H1017,H1020)</f>
        <v>0</v>
      </c>
      <c r="I994" s="196">
        <f>SUM(H994)</f>
        <v>0</v>
      </c>
      <c r="J994" s="160"/>
    </row>
    <row r="995" outlineLevel="1">
      <c r="A995" s="160"/>
      <c r="B995" s="160"/>
      <c r="C995" s="160"/>
      <c r="D995" s="160"/>
      <c r="E995" s="160"/>
      <c r="F995" s="121" t="s">
        <v>66</v>
      </c>
      <c r="G995" s="160"/>
      <c r="H995" s="203">
        <v>0.6</v>
      </c>
      <c r="I995" s="198"/>
      <c r="J995" s="198"/>
    </row>
    <row r="996" outlineLevel="1">
      <c r="A996" s="160"/>
      <c r="B996" s="160"/>
      <c r="C996" s="160"/>
      <c r="D996" s="160"/>
      <c r="E996" s="160"/>
      <c r="F996" s="121" t="s">
        <v>67</v>
      </c>
      <c r="G996" s="160"/>
      <c r="H996" s="203">
        <v>0.4</v>
      </c>
      <c r="I996" s="198"/>
      <c r="J996" s="198"/>
    </row>
    <row r="997" outlineLevel="1">
      <c r="A997" s="160"/>
      <c r="B997" s="160"/>
      <c r="C997" s="160"/>
      <c r="D997" s="160"/>
      <c r="E997" s="160"/>
      <c r="F997" s="121" t="s">
        <v>68</v>
      </c>
      <c r="G997" s="160"/>
      <c r="H997" s="203">
        <v>0.0</v>
      </c>
      <c r="I997" s="198"/>
      <c r="J997" s="198"/>
    </row>
    <row r="998" outlineLevel="1">
      <c r="A998" s="160"/>
      <c r="B998" s="160"/>
      <c r="C998" s="160"/>
      <c r="D998" s="160"/>
      <c r="E998" s="160"/>
      <c r="F998" s="121" t="s">
        <v>69</v>
      </c>
      <c r="G998" s="160"/>
      <c r="H998" s="203">
        <v>0.0</v>
      </c>
      <c r="I998" s="198"/>
      <c r="J998" s="198"/>
    </row>
    <row r="999" outlineLevel="1">
      <c r="A999" s="160"/>
      <c r="B999" s="160"/>
      <c r="C999" s="160"/>
      <c r="D999" s="160"/>
      <c r="E999" s="160"/>
      <c r="F999" s="121" t="s">
        <v>70</v>
      </c>
      <c r="G999" s="160"/>
      <c r="H999" s="203">
        <v>0.0</v>
      </c>
      <c r="I999" s="198"/>
      <c r="J999" s="198"/>
    </row>
    <row r="1000" outlineLevel="1">
      <c r="A1000" s="160"/>
      <c r="B1000" s="160"/>
      <c r="C1000" s="160"/>
      <c r="D1000" s="160"/>
      <c r="E1000" s="160"/>
      <c r="F1000" s="121" t="s">
        <v>71</v>
      </c>
      <c r="G1000" s="160"/>
      <c r="H1000" s="204">
        <v>8000.0</v>
      </c>
      <c r="I1000" s="198"/>
      <c r="J1000" s="198"/>
    </row>
    <row r="1001" outlineLevel="1">
      <c r="A1001" s="160"/>
      <c r="B1001" s="160"/>
      <c r="C1001" s="160"/>
      <c r="D1001" s="160"/>
      <c r="E1001" s="160"/>
      <c r="F1001" s="121" t="s">
        <v>72</v>
      </c>
      <c r="G1001" s="160"/>
      <c r="H1001" s="204">
        <v>6000.0</v>
      </c>
      <c r="I1001" s="198"/>
      <c r="J1001" s="198"/>
    </row>
    <row r="1002" outlineLevel="1">
      <c r="A1002" s="160"/>
      <c r="B1002" s="160"/>
      <c r="C1002" s="160"/>
      <c r="D1002" s="160"/>
      <c r="E1002" s="160"/>
      <c r="F1002" s="121" t="s">
        <v>73</v>
      </c>
      <c r="G1002" s="160"/>
      <c r="H1002" s="204">
        <v>0.0</v>
      </c>
      <c r="I1002" s="198"/>
      <c r="J1002" s="198"/>
    </row>
    <row r="1003" outlineLevel="1">
      <c r="A1003" s="160"/>
      <c r="B1003" s="160"/>
      <c r="C1003" s="160"/>
      <c r="D1003" s="160"/>
      <c r="E1003" s="160"/>
      <c r="F1003" s="121" t="s">
        <v>74</v>
      </c>
      <c r="G1003" s="160"/>
      <c r="H1003" s="204">
        <v>0.0</v>
      </c>
      <c r="I1003" s="198"/>
      <c r="J1003" s="198"/>
    </row>
    <row r="1004" outlineLevel="1">
      <c r="A1004" s="160"/>
      <c r="B1004" s="160"/>
      <c r="C1004" s="160"/>
      <c r="D1004" s="160"/>
      <c r="E1004" s="160"/>
      <c r="F1004" s="121" t="s">
        <v>75</v>
      </c>
      <c r="G1004" s="160"/>
      <c r="H1004" s="204">
        <v>0.0</v>
      </c>
      <c r="I1004" s="198"/>
      <c r="J1004" s="198"/>
    </row>
    <row r="1005" outlineLevel="1">
      <c r="A1005" s="160"/>
      <c r="B1005" s="160"/>
      <c r="C1005" s="160"/>
      <c r="D1005" s="160"/>
      <c r="E1005" s="160"/>
      <c r="F1005" s="172" t="s">
        <v>76</v>
      </c>
      <c r="G1005" s="160"/>
      <c r="H1005" s="162">
        <f>IFERROR(__xludf.DUMMYFUNCTION("MATCH(
  MIN(FILTER(H1000:H1004,H1000:H1004&gt;0)),
  H1000:H1004,
  0
)
"),2.0)</f>
        <v>2</v>
      </c>
      <c r="I1005" s="198"/>
      <c r="J1005" s="198"/>
    </row>
    <row r="1006">
      <c r="A1006" s="160"/>
      <c r="B1006" s="160"/>
      <c r="C1006" s="160"/>
      <c r="D1006" s="160"/>
      <c r="E1006" s="160"/>
      <c r="F1006" s="13"/>
      <c r="G1006" s="148"/>
      <c r="H1006" s="148"/>
      <c r="I1006" s="198"/>
      <c r="J1006" s="198"/>
    </row>
    <row r="1007">
      <c r="A1007" s="160"/>
      <c r="B1007" s="160"/>
      <c r="C1007" s="160"/>
      <c r="D1007" s="160"/>
      <c r="E1007" s="160"/>
      <c r="F1007" s="13" t="s">
        <v>77</v>
      </c>
      <c r="G1007" s="148"/>
      <c r="H1007" s="148">
        <f>ROUNDDOWN(H992*H995,0)
 + IF(H1005=1,
      H992 - SUM(
        ROUNDDOWN(H992*H995,0),
        ROUNDDOWN(H992*H996,0),
        ROUNDDOWN(H992*H997,0),
        ROUNDDOWN(H992*H998,0),
        ROUNDDOWN(H992*H999,0),
      ),
      0
   )
</f>
        <v>0</v>
      </c>
      <c r="I1007" s="198"/>
      <c r="J1007" s="198"/>
    </row>
    <row r="1008">
      <c r="A1008" s="160"/>
      <c r="B1008" s="160"/>
      <c r="C1008" s="160"/>
      <c r="D1008" s="160"/>
      <c r="F1008" s="172" t="s">
        <v>310</v>
      </c>
      <c r="G1008" s="148"/>
      <c r="H1008" s="150">
        <f>(H1007*H1000)</f>
        <v>0</v>
      </c>
      <c r="I1008" s="198"/>
      <c r="J1008" s="198"/>
    </row>
    <row r="1009">
      <c r="A1009" s="160"/>
      <c r="B1009" s="160"/>
      <c r="C1009" s="160"/>
      <c r="D1009" s="160"/>
      <c r="E1009" s="160"/>
      <c r="F1009" s="13"/>
      <c r="G1009" s="148"/>
      <c r="H1009" s="148"/>
      <c r="I1009" s="198"/>
      <c r="J1009" s="198"/>
    </row>
    <row r="1010">
      <c r="A1010" s="160"/>
      <c r="B1010" s="160"/>
      <c r="C1010" s="160"/>
      <c r="D1010" s="160"/>
      <c r="E1010" s="160"/>
      <c r="F1010" s="13" t="s">
        <v>79</v>
      </c>
      <c r="G1010" s="148"/>
      <c r="H1010" s="148">
        <f>ROUNDDOWN(H992*H996,0)
 + IF(H1005=2,
      H992 - SUM(
        ROUNDDOWN(H992*H995,0),
        ROUNDDOWN(H992*H996,0),
        ROUNDDOWN(H992*H997,0),
        ROUNDDOWN(H992*H998,0),
        ROUNDDOWN(H992*H999,0),
      ),
      0
   )
</f>
        <v>0</v>
      </c>
      <c r="I1010" s="198"/>
      <c r="J1010" s="198"/>
    </row>
    <row r="1011">
      <c r="A1011" s="160"/>
      <c r="B1011" s="160"/>
      <c r="C1011" s="160"/>
      <c r="D1011" s="160"/>
      <c r="F1011" s="172" t="s">
        <v>311</v>
      </c>
      <c r="G1011" s="148"/>
      <c r="H1011" s="150">
        <f>(H1001*H1010)</f>
        <v>0</v>
      </c>
      <c r="I1011" s="198"/>
      <c r="J1011" s="198"/>
    </row>
    <row r="1012">
      <c r="A1012" s="160"/>
      <c r="B1012" s="160"/>
      <c r="C1012" s="160"/>
      <c r="D1012" s="160"/>
      <c r="E1012" s="160"/>
      <c r="F1012" s="13"/>
      <c r="G1012" s="148"/>
      <c r="H1012" s="148"/>
      <c r="I1012" s="198"/>
      <c r="J1012" s="198"/>
    </row>
    <row r="1013">
      <c r="A1013" s="160"/>
      <c r="B1013" s="160"/>
      <c r="C1013" s="160"/>
      <c r="D1013" s="160"/>
      <c r="E1013" s="160"/>
      <c r="F1013" s="13" t="s">
        <v>81</v>
      </c>
      <c r="G1013" s="148"/>
      <c r="H1013" s="148">
        <f>ROUNDDOWN(H992*H997,0)
 + IF(H1005=3,
      H992 - SUM(
        ROUNDDOWN(H992*H995,0),
        ROUNDDOWN(H992*H996,0),
        ROUNDDOWN(H992*H997,0),
        ROUNDDOWN(H992*H998,0)
      ),
      0
   )
</f>
        <v>0</v>
      </c>
      <c r="I1013" s="198"/>
      <c r="J1013" s="198"/>
    </row>
    <row r="1014">
      <c r="A1014" s="160"/>
      <c r="B1014" s="160"/>
      <c r="C1014" s="160"/>
      <c r="D1014" s="160"/>
      <c r="F1014" s="172" t="s">
        <v>312</v>
      </c>
      <c r="G1014" s="148"/>
      <c r="H1014" s="150">
        <f>(H1002*H1013)</f>
        <v>0</v>
      </c>
      <c r="I1014" s="198"/>
      <c r="J1014" s="198"/>
    </row>
    <row r="1015">
      <c r="A1015" s="160"/>
      <c r="B1015" s="160"/>
      <c r="C1015" s="160"/>
      <c r="D1015" s="160"/>
      <c r="E1015" s="160"/>
      <c r="F1015" s="13"/>
      <c r="G1015" s="148"/>
      <c r="H1015" s="148"/>
      <c r="I1015" s="198"/>
      <c r="J1015" s="198"/>
    </row>
    <row r="1016">
      <c r="A1016" s="160"/>
      <c r="B1016" s="160"/>
      <c r="C1016" s="160"/>
      <c r="D1016" s="160"/>
      <c r="E1016" s="160"/>
      <c r="F1016" s="13" t="s">
        <v>83</v>
      </c>
      <c r="G1016" s="148"/>
      <c r="H1016" s="148">
        <f>ROUNDDOWN(H992*H998,0)
 + IF(H1005=4,
      H992 - SUM(
        ROUNDDOWN(H992*H995,0),
        ROUNDDOWN(H992*H996,0),
        ROUNDDOWN(H992*H997,0),
        ROUNDDOWN(H992*H998,0),ROUNDDOWN(H990*H999,0),
      ),
      0
   )
</f>
        <v>0</v>
      </c>
      <c r="I1016" s="198"/>
      <c r="J1016" s="198"/>
    </row>
    <row r="1017">
      <c r="A1017" s="160"/>
      <c r="B1017" s="160"/>
      <c r="C1017" s="160"/>
      <c r="D1017" s="160"/>
      <c r="F1017" s="172" t="s">
        <v>313</v>
      </c>
      <c r="G1017" s="148"/>
      <c r="H1017" s="150">
        <f>(H1003*H1016)</f>
        <v>0</v>
      </c>
      <c r="I1017" s="198"/>
      <c r="J1017" s="198"/>
    </row>
    <row r="1018">
      <c r="A1018" s="160"/>
      <c r="B1018" s="160"/>
      <c r="C1018" s="160"/>
      <c r="D1018" s="160"/>
      <c r="E1018" s="160"/>
      <c r="F1018" s="13"/>
      <c r="G1018" s="148"/>
      <c r="H1018" s="148"/>
      <c r="I1018" s="198"/>
      <c r="J1018" s="198"/>
    </row>
    <row r="1019">
      <c r="A1019" s="160"/>
      <c r="B1019" s="160"/>
      <c r="C1019" s="160"/>
      <c r="D1019" s="160"/>
      <c r="E1019" s="160"/>
      <c r="F1019" s="13" t="s">
        <v>85</v>
      </c>
      <c r="G1019" s="148"/>
      <c r="H1019" s="148">
        <f>ROUNDDOWN(H992*H999,0)
 + IF(H1005=5,
      H992 - SUM(
        ROUNDDOWN(H992*H995,0),
        ROUNDDOWN(H992*H996,0),
        ROUNDDOWN(H992*H997,0),
        ROUNDDOWN(H992*H998,0),
        ROUNDDOWN(H992*H999,0),
      ),
      0
   )
</f>
        <v>0</v>
      </c>
      <c r="I1019" s="198"/>
      <c r="J1019" s="198"/>
    </row>
    <row r="1020">
      <c r="A1020" s="160"/>
      <c r="B1020" s="160"/>
      <c r="C1020" s="160"/>
      <c r="F1020" s="172" t="s">
        <v>314</v>
      </c>
      <c r="G1020" s="148"/>
      <c r="H1020" s="150">
        <f>(H1004*H1019)</f>
        <v>0</v>
      </c>
      <c r="I1020" s="198"/>
      <c r="J1020" s="198"/>
    </row>
    <row r="1021">
      <c r="A1021" s="160"/>
      <c r="B1021" s="160"/>
      <c r="C1021" s="160"/>
      <c r="D1021" s="160"/>
      <c r="E1021" s="160"/>
      <c r="F1021" s="172"/>
      <c r="G1021" s="160"/>
      <c r="H1021" s="160"/>
      <c r="I1021" s="198"/>
      <c r="J1021" s="198"/>
    </row>
    <row r="1022">
      <c r="A1022" s="1"/>
      <c r="B1022" s="113"/>
      <c r="C1022" s="113"/>
      <c r="D1022" s="113"/>
      <c r="E1022" s="113"/>
      <c r="F1022" s="113"/>
      <c r="G1022" s="113"/>
      <c r="H1022" s="113"/>
      <c r="I1022" s="1"/>
      <c r="J1022" s="1"/>
    </row>
    <row r="1023">
      <c r="A1023" s="1"/>
      <c r="B1023" s="1"/>
      <c r="C1023" s="1"/>
      <c r="D1023" s="1"/>
      <c r="E1023" s="1"/>
      <c r="F1023" s="13"/>
      <c r="G1023" s="221"/>
      <c r="H1023" s="221"/>
      <c r="I1023" s="1"/>
      <c r="J1023" s="1"/>
    </row>
    <row r="1024">
      <c r="A1024" s="1"/>
      <c r="B1024" s="1"/>
      <c r="C1024" s="1"/>
      <c r="D1024" s="12" t="s">
        <v>4</v>
      </c>
      <c r="E1024" s="13"/>
      <c r="F1024" s="13"/>
      <c r="G1024" s="222"/>
      <c r="H1024" s="173">
        <f>SUM(H1027,H1064,H1081,)</f>
        <v>36747800</v>
      </c>
      <c r="I1024" s="223">
        <f>SUM(H1024)</f>
        <v>36747800</v>
      </c>
      <c r="J1024" s="223"/>
    </row>
    <row r="1025">
      <c r="A1025" s="1"/>
      <c r="B1025" s="1"/>
      <c r="C1025" s="1"/>
      <c r="D1025" s="1"/>
      <c r="E1025" s="1"/>
      <c r="G1025" s="222"/>
      <c r="H1025" s="222"/>
      <c r="I1025" s="1"/>
      <c r="J1025" s="1"/>
    </row>
    <row r="1026">
      <c r="A1026" s="1"/>
      <c r="B1026" s="1"/>
      <c r="C1026" s="1"/>
      <c r="D1026" s="1"/>
      <c r="E1026" s="1"/>
      <c r="F1026" s="13"/>
      <c r="G1026" s="222"/>
      <c r="H1026" s="222"/>
      <c r="I1026" s="1"/>
      <c r="J1026" s="1"/>
    </row>
    <row r="1027">
      <c r="A1027" s="1"/>
      <c r="B1027" s="1"/>
      <c r="C1027" s="1"/>
      <c r="D1027" s="14" t="s">
        <v>5</v>
      </c>
      <c r="F1027" s="1"/>
      <c r="G1027" s="178"/>
      <c r="H1027" s="178">
        <f>SUM(H1029,H1036,H1043,H1050,H1057,)</f>
        <v>36725300</v>
      </c>
      <c r="I1027" s="223">
        <f>SUM(H1027)</f>
        <v>36725300</v>
      </c>
      <c r="J1027" s="223"/>
    </row>
    <row r="1028">
      <c r="A1028" s="1"/>
      <c r="B1028" s="1"/>
      <c r="C1028" s="1"/>
      <c r="D1028" s="14"/>
      <c r="F1028" s="1"/>
      <c r="G1028" s="178"/>
      <c r="H1028" s="178"/>
      <c r="I1028" s="223"/>
      <c r="J1028" s="223"/>
    </row>
    <row r="1029" collapsed="1">
      <c r="A1029" s="1"/>
      <c r="B1029" s="1"/>
      <c r="C1029" s="1"/>
      <c r="D1029" s="1"/>
      <c r="E1029" s="13" t="s">
        <v>46</v>
      </c>
      <c r="G1029" s="178"/>
      <c r="H1029" s="188">
        <f>SUM(H1030:H1034)</f>
        <v>3069800</v>
      </c>
      <c r="I1029" s="1"/>
      <c r="J1029" s="1"/>
    </row>
    <row r="1030" hidden="1" outlineLevel="1">
      <c r="A1030" s="1"/>
      <c r="B1030" s="1"/>
      <c r="C1030" s="1"/>
      <c r="D1030" s="1"/>
      <c r="E1030" s="14"/>
      <c r="F1030" s="13" t="s">
        <v>319</v>
      </c>
      <c r="G1030" s="178"/>
      <c r="H1030" s="188">
        <f>H129</f>
        <v>2250000</v>
      </c>
      <c r="I1030" s="1"/>
      <c r="J1030" s="1"/>
    </row>
    <row r="1031" hidden="1" outlineLevel="1">
      <c r="A1031" s="1"/>
      <c r="B1031" s="1"/>
      <c r="C1031" s="1"/>
      <c r="D1031" s="1"/>
      <c r="E1031" s="14"/>
      <c r="F1031" s="13" t="s">
        <v>320</v>
      </c>
      <c r="G1031" s="178"/>
      <c r="H1031" s="188">
        <f>H131</f>
        <v>94800</v>
      </c>
      <c r="I1031" s="1"/>
      <c r="J1031" s="1"/>
    </row>
    <row r="1032" hidden="1" outlineLevel="1">
      <c r="A1032" s="1"/>
      <c r="B1032" s="1"/>
      <c r="C1032" s="1"/>
      <c r="D1032" s="1"/>
      <c r="E1032" s="14"/>
      <c r="F1032" s="13" t="s">
        <v>321</v>
      </c>
      <c r="G1032" s="178"/>
      <c r="H1032" s="188">
        <f>H133</f>
        <v>0</v>
      </c>
      <c r="I1032" s="1"/>
      <c r="J1032" s="1"/>
    </row>
    <row r="1033" hidden="1" outlineLevel="1">
      <c r="A1033" s="1"/>
      <c r="B1033" s="1"/>
      <c r="C1033" s="1"/>
      <c r="D1033" s="1"/>
      <c r="E1033" s="14"/>
      <c r="F1033" s="13" t="s">
        <v>322</v>
      </c>
      <c r="G1033" s="178"/>
      <c r="H1033" s="188">
        <f>H135</f>
        <v>725000</v>
      </c>
      <c r="I1033" s="1"/>
      <c r="J1033" s="1"/>
    </row>
    <row r="1034" hidden="1" outlineLevel="1">
      <c r="A1034" s="1"/>
      <c r="B1034" s="1"/>
      <c r="C1034" s="1"/>
      <c r="D1034" s="1"/>
      <c r="E1034" s="14"/>
      <c r="F1034" s="13" t="s">
        <v>323</v>
      </c>
      <c r="G1034" s="178"/>
      <c r="H1034" s="188">
        <f>H137</f>
        <v>0</v>
      </c>
      <c r="I1034" s="1"/>
      <c r="J1034" s="1"/>
    </row>
    <row r="1035" hidden="1" outlineLevel="1">
      <c r="A1035" s="1"/>
      <c r="B1035" s="1"/>
      <c r="C1035" s="1"/>
      <c r="D1035" s="1"/>
      <c r="E1035" s="14"/>
      <c r="F1035" s="13"/>
      <c r="G1035" s="178"/>
      <c r="H1035" s="202"/>
      <c r="I1035" s="1"/>
      <c r="J1035" s="1"/>
    </row>
    <row r="1036" collapsed="1">
      <c r="A1036" s="1"/>
      <c r="B1036" s="1"/>
      <c r="C1036" s="1"/>
      <c r="D1036" s="1"/>
      <c r="E1036" s="13" t="s">
        <v>47</v>
      </c>
      <c r="G1036" s="178"/>
      <c r="H1036" s="188">
        <f>SUM(H1037:H1041)</f>
        <v>3285000</v>
      </c>
      <c r="I1036" s="1"/>
      <c r="J1036" s="1"/>
    </row>
    <row r="1037" hidden="1" outlineLevel="1">
      <c r="A1037" s="1"/>
      <c r="B1037" s="1"/>
      <c r="C1037" s="1"/>
      <c r="D1037" s="1"/>
      <c r="E1037" s="14"/>
      <c r="F1037" s="13" t="s">
        <v>319</v>
      </c>
      <c r="G1037" s="178"/>
      <c r="H1037" s="188">
        <f>H158</f>
        <v>2520000</v>
      </c>
      <c r="I1037" s="1"/>
      <c r="J1037" s="1"/>
    </row>
    <row r="1038" hidden="1" outlineLevel="1">
      <c r="A1038" s="1"/>
      <c r="B1038" s="1"/>
      <c r="C1038" s="1"/>
      <c r="D1038" s="1"/>
      <c r="E1038" s="14"/>
      <c r="F1038" s="13" t="s">
        <v>320</v>
      </c>
      <c r="G1038" s="178"/>
      <c r="H1038" s="188">
        <f>H160</f>
        <v>72000</v>
      </c>
      <c r="I1038" s="1"/>
      <c r="J1038" s="1"/>
    </row>
    <row r="1039" hidden="1" outlineLevel="1">
      <c r="A1039" s="1"/>
      <c r="B1039" s="1"/>
      <c r="C1039" s="1"/>
      <c r="D1039" s="1"/>
      <c r="E1039" s="14"/>
      <c r="F1039" s="13" t="s">
        <v>321</v>
      </c>
      <c r="G1039" s="178"/>
      <c r="H1039" s="188">
        <f>H162</f>
        <v>0</v>
      </c>
      <c r="I1039" s="1"/>
      <c r="J1039" s="1"/>
    </row>
    <row r="1040" hidden="1" outlineLevel="1">
      <c r="A1040" s="1"/>
      <c r="B1040" s="1"/>
      <c r="C1040" s="1"/>
      <c r="D1040" s="1"/>
      <c r="E1040" s="14"/>
      <c r="F1040" s="13" t="s">
        <v>322</v>
      </c>
      <c r="G1040" s="178"/>
      <c r="H1040" s="188">
        <f>H164</f>
        <v>693000</v>
      </c>
      <c r="I1040" s="1"/>
      <c r="J1040" s="1"/>
    </row>
    <row r="1041" hidden="1" outlineLevel="1">
      <c r="A1041" s="1"/>
      <c r="B1041" s="1"/>
      <c r="C1041" s="1"/>
      <c r="D1041" s="1"/>
      <c r="E1041" s="14"/>
      <c r="F1041" s="13" t="s">
        <v>323</v>
      </c>
      <c r="G1041" s="178"/>
      <c r="H1041" s="188">
        <f>H166</f>
        <v>0</v>
      </c>
      <c r="I1041" s="1"/>
      <c r="J1041" s="1"/>
    </row>
    <row r="1042" hidden="1" outlineLevel="1">
      <c r="A1042" s="1"/>
      <c r="B1042" s="1"/>
      <c r="C1042" s="1"/>
      <c r="D1042" s="1"/>
      <c r="E1042" s="14"/>
      <c r="F1042" s="13"/>
      <c r="G1042" s="178"/>
      <c r="H1042" s="202"/>
      <c r="I1042" s="1"/>
      <c r="J1042" s="1"/>
    </row>
    <row r="1043" collapsed="1">
      <c r="A1043" s="1"/>
      <c r="B1043" s="1"/>
      <c r="C1043" s="1"/>
      <c r="D1043" s="1"/>
      <c r="E1043" s="13" t="s">
        <v>48</v>
      </c>
      <c r="G1043" s="178"/>
      <c r="H1043" s="188">
        <f>SUM(H1044:H1048)</f>
        <v>12456000</v>
      </c>
      <c r="I1043" s="1"/>
      <c r="J1043" s="1"/>
    </row>
    <row r="1044" hidden="1" outlineLevel="1">
      <c r="A1044" s="1"/>
      <c r="B1044" s="1"/>
      <c r="C1044" s="1"/>
      <c r="D1044" s="1"/>
      <c r="E1044" s="14"/>
      <c r="F1044" s="13" t="s">
        <v>319</v>
      </c>
      <c r="G1044" s="178"/>
      <c r="H1044" s="188">
        <f>H188</f>
        <v>9800000</v>
      </c>
      <c r="I1044" s="1"/>
      <c r="J1044" s="1"/>
    </row>
    <row r="1045" hidden="1" outlineLevel="1">
      <c r="A1045" s="1"/>
      <c r="B1045" s="1"/>
      <c r="C1045" s="1"/>
      <c r="D1045" s="1"/>
      <c r="E1045" s="14"/>
      <c r="F1045" s="13" t="s">
        <v>320</v>
      </c>
      <c r="G1045" s="178"/>
      <c r="H1045" s="188">
        <f>H190</f>
        <v>255000</v>
      </c>
      <c r="I1045" s="1"/>
      <c r="J1045" s="1"/>
    </row>
    <row r="1046" hidden="1" outlineLevel="1">
      <c r="A1046" s="1"/>
      <c r="B1046" s="1"/>
      <c r="C1046" s="1"/>
      <c r="D1046" s="1"/>
      <c r="E1046" s="14"/>
      <c r="F1046" s="13" t="s">
        <v>321</v>
      </c>
      <c r="G1046" s="178"/>
      <c r="H1046" s="188">
        <f>H192</f>
        <v>0</v>
      </c>
      <c r="I1046" s="1"/>
      <c r="J1046" s="1"/>
    </row>
    <row r="1047" hidden="1" outlineLevel="1">
      <c r="A1047" s="1"/>
      <c r="B1047" s="1"/>
      <c r="C1047" s="1"/>
      <c r="D1047" s="1"/>
      <c r="E1047" s="14"/>
      <c r="F1047" s="13" t="s">
        <v>322</v>
      </c>
      <c r="G1047" s="178"/>
      <c r="H1047" s="188">
        <f>H194</f>
        <v>2401000</v>
      </c>
      <c r="I1047" s="1"/>
      <c r="J1047" s="1"/>
    </row>
    <row r="1048" hidden="1" outlineLevel="1">
      <c r="A1048" s="1"/>
      <c r="B1048" s="1"/>
      <c r="C1048" s="1"/>
      <c r="D1048" s="1"/>
      <c r="E1048" s="14"/>
      <c r="F1048" s="13" t="s">
        <v>323</v>
      </c>
      <c r="G1048" s="178"/>
      <c r="H1048" s="188">
        <f>H196</f>
        <v>0</v>
      </c>
      <c r="I1048" s="1"/>
      <c r="J1048" s="1"/>
    </row>
    <row r="1049" hidden="1" outlineLevel="1">
      <c r="A1049" s="1"/>
      <c r="B1049" s="1"/>
      <c r="C1049" s="1"/>
      <c r="D1049" s="1"/>
      <c r="E1049" s="14"/>
      <c r="F1049" s="13"/>
      <c r="G1049" s="178"/>
      <c r="H1049" s="202"/>
      <c r="I1049" s="1"/>
      <c r="J1049" s="1"/>
    </row>
    <row r="1050">
      <c r="A1050" s="1"/>
      <c r="B1050" s="1"/>
      <c r="C1050" s="1"/>
      <c r="D1050" s="1"/>
      <c r="E1050" s="13" t="s">
        <v>49</v>
      </c>
      <c r="G1050" s="178"/>
      <c r="H1050" s="188">
        <f>SUM(H1051:H1055)</f>
        <v>13257000</v>
      </c>
      <c r="I1050" s="1"/>
      <c r="J1050" s="1"/>
    </row>
    <row r="1051" outlineLevel="1">
      <c r="A1051" s="1"/>
      <c r="B1051" s="1"/>
      <c r="C1051" s="1"/>
      <c r="D1051" s="1"/>
      <c r="E1051" s="14"/>
      <c r="F1051" s="13" t="s">
        <v>319</v>
      </c>
      <c r="G1051" s="178"/>
      <c r="H1051" s="188">
        <f>H218</f>
        <v>12360000</v>
      </c>
      <c r="I1051" s="1"/>
      <c r="J1051" s="1"/>
    </row>
    <row r="1052" outlineLevel="1">
      <c r="A1052" s="1"/>
      <c r="B1052" s="1"/>
      <c r="C1052" s="1"/>
      <c r="D1052" s="1"/>
      <c r="E1052" s="14"/>
      <c r="F1052" s="13" t="s">
        <v>320</v>
      </c>
      <c r="G1052" s="178"/>
      <c r="H1052" s="188">
        <f>H220</f>
        <v>897000</v>
      </c>
      <c r="I1052" s="1"/>
      <c r="J1052" s="1"/>
    </row>
    <row r="1053" outlineLevel="1">
      <c r="A1053" s="1"/>
      <c r="B1053" s="1"/>
      <c r="C1053" s="1"/>
      <c r="D1053" s="1"/>
      <c r="E1053" s="14"/>
      <c r="F1053" s="13" t="s">
        <v>321</v>
      </c>
      <c r="G1053" s="178"/>
      <c r="H1053" s="188">
        <f>H222</f>
        <v>0</v>
      </c>
      <c r="I1053" s="1"/>
      <c r="J1053" s="1"/>
    </row>
    <row r="1054" outlineLevel="1">
      <c r="A1054" s="1"/>
      <c r="B1054" s="1"/>
      <c r="C1054" s="1"/>
      <c r="D1054" s="1"/>
      <c r="E1054" s="14"/>
      <c r="F1054" s="13" t="s">
        <v>322</v>
      </c>
      <c r="G1054" s="178"/>
      <c r="H1054" s="188">
        <f>H224</f>
        <v>0</v>
      </c>
      <c r="I1054" s="1"/>
      <c r="J1054" s="1"/>
    </row>
    <row r="1055" outlineLevel="1">
      <c r="A1055" s="1"/>
      <c r="B1055" s="1"/>
      <c r="C1055" s="1"/>
      <c r="D1055" s="1"/>
      <c r="E1055" s="14"/>
      <c r="F1055" s="13" t="s">
        <v>323</v>
      </c>
      <c r="G1055" s="178"/>
      <c r="H1055" s="188">
        <f>H226</f>
        <v>0</v>
      </c>
      <c r="I1055" s="1"/>
      <c r="J1055" s="1"/>
    </row>
    <row r="1056" outlineLevel="1">
      <c r="A1056" s="1"/>
      <c r="B1056" s="1"/>
      <c r="C1056" s="1"/>
      <c r="D1056" s="1"/>
      <c r="E1056" s="14"/>
      <c r="F1056" s="13"/>
      <c r="G1056" s="178"/>
      <c r="H1056" s="202"/>
      <c r="I1056" s="1"/>
      <c r="J1056" s="1"/>
    </row>
    <row r="1057" collapsed="1">
      <c r="A1057" s="1"/>
      <c r="B1057" s="1"/>
      <c r="C1057" s="1"/>
      <c r="D1057" s="1"/>
      <c r="E1057" s="13" t="s">
        <v>50</v>
      </c>
      <c r="G1057" s="178"/>
      <c r="H1057" s="188">
        <f>SUM(H1058:H1062)</f>
        <v>4657500</v>
      </c>
      <c r="I1057" s="1"/>
      <c r="J1057" s="1"/>
    </row>
    <row r="1058" hidden="1" outlineLevel="1">
      <c r="A1058" s="1"/>
      <c r="B1058" s="1"/>
      <c r="C1058" s="1"/>
      <c r="D1058" s="1"/>
      <c r="E1058" s="14"/>
      <c r="F1058" s="13" t="s">
        <v>319</v>
      </c>
      <c r="G1058" s="178"/>
      <c r="H1058" s="188">
        <f>H247</f>
        <v>4380000</v>
      </c>
      <c r="I1058" s="1"/>
      <c r="J1058" s="1"/>
    </row>
    <row r="1059" hidden="1" outlineLevel="1">
      <c r="A1059" s="1"/>
      <c r="B1059" s="1"/>
      <c r="C1059" s="1"/>
      <c r="D1059" s="1"/>
      <c r="E1059" s="14"/>
      <c r="F1059" s="13" t="s">
        <v>320</v>
      </c>
      <c r="G1059" s="178"/>
      <c r="H1059" s="188">
        <f>H249</f>
        <v>277500</v>
      </c>
      <c r="I1059" s="1"/>
      <c r="J1059" s="1"/>
    </row>
    <row r="1060" hidden="1" outlineLevel="1">
      <c r="A1060" s="1"/>
      <c r="B1060" s="1"/>
      <c r="C1060" s="1"/>
      <c r="D1060" s="1"/>
      <c r="E1060" s="14"/>
      <c r="F1060" s="13" t="s">
        <v>321</v>
      </c>
      <c r="G1060" s="178"/>
      <c r="H1060" s="188">
        <f>H251</f>
        <v>0</v>
      </c>
      <c r="I1060" s="1"/>
      <c r="J1060" s="1"/>
    </row>
    <row r="1061" hidden="1" outlineLevel="1">
      <c r="A1061" s="1"/>
      <c r="B1061" s="1"/>
      <c r="C1061" s="1"/>
      <c r="D1061" s="1"/>
      <c r="E1061" s="14"/>
      <c r="F1061" s="13" t="s">
        <v>322</v>
      </c>
      <c r="G1061" s="178"/>
      <c r="H1061" s="188">
        <f>H253</f>
        <v>0</v>
      </c>
      <c r="I1061" s="1"/>
      <c r="J1061" s="1"/>
    </row>
    <row r="1062" hidden="1" outlineLevel="1">
      <c r="A1062" s="1"/>
      <c r="B1062" s="1"/>
      <c r="C1062" s="1"/>
      <c r="D1062" s="1"/>
      <c r="E1062" s="14"/>
      <c r="F1062" s="13" t="s">
        <v>323</v>
      </c>
      <c r="G1062" s="178"/>
      <c r="H1062" s="188">
        <f>H255</f>
        <v>0</v>
      </c>
      <c r="I1062" s="1"/>
      <c r="J1062" s="1"/>
    </row>
    <row r="1063">
      <c r="A1063" s="1"/>
      <c r="B1063" s="1"/>
      <c r="C1063" s="1"/>
      <c r="D1063" s="1"/>
      <c r="E1063" s="14"/>
      <c r="F1063" s="13"/>
      <c r="G1063" s="178"/>
      <c r="H1063" s="202"/>
      <c r="I1063" s="1"/>
      <c r="J1063" s="1"/>
    </row>
    <row r="1064">
      <c r="A1064" s="1"/>
      <c r="B1064" s="1"/>
      <c r="C1064" s="1"/>
      <c r="D1064" s="20" t="s">
        <v>6</v>
      </c>
      <c r="F1064" s="1"/>
      <c r="G1064" s="178"/>
      <c r="H1064" s="178">
        <f>SUM(H1066,H1071,H1076,)</f>
        <v>22500</v>
      </c>
      <c r="I1064" s="223">
        <f>SUM(H1064)</f>
        <v>22500</v>
      </c>
      <c r="J1064" s="223"/>
    </row>
    <row r="1065">
      <c r="A1065" s="1"/>
      <c r="B1065" s="1"/>
      <c r="C1065" s="1"/>
      <c r="D1065" s="20"/>
      <c r="F1065" s="1"/>
      <c r="G1065" s="178"/>
      <c r="H1065" s="178"/>
      <c r="I1065" s="223"/>
      <c r="J1065" s="223"/>
    </row>
    <row r="1066">
      <c r="A1066" s="1"/>
      <c r="B1066" s="1"/>
      <c r="C1066" s="1"/>
      <c r="D1066" s="1"/>
      <c r="E1066" s="13" t="s">
        <v>46</v>
      </c>
      <c r="G1066" s="178"/>
      <c r="H1066" s="178">
        <f>SUM(H1067:H1069)</f>
        <v>9000</v>
      </c>
      <c r="I1066" s="1"/>
      <c r="J1066" s="1"/>
    </row>
    <row r="1067" outlineLevel="1">
      <c r="A1067" s="1"/>
      <c r="B1067" s="1"/>
      <c r="C1067" s="1"/>
      <c r="D1067" s="1"/>
      <c r="E1067" s="13"/>
      <c r="F1067" s="13" t="s">
        <v>321</v>
      </c>
      <c r="G1067" s="178"/>
      <c r="H1067" s="178">
        <f>H571</f>
        <v>0</v>
      </c>
      <c r="I1067" s="1"/>
      <c r="J1067" s="1"/>
    </row>
    <row r="1068" outlineLevel="1">
      <c r="A1068" s="1"/>
      <c r="B1068" s="1"/>
      <c r="C1068" s="1"/>
      <c r="D1068" s="1"/>
      <c r="E1068" s="13"/>
      <c r="F1068" s="13" t="s">
        <v>322</v>
      </c>
      <c r="G1068" s="178"/>
      <c r="H1068" s="178">
        <f>H605</f>
        <v>0</v>
      </c>
      <c r="I1068" s="1"/>
      <c r="J1068" s="1"/>
    </row>
    <row r="1069" outlineLevel="1">
      <c r="A1069" s="1"/>
      <c r="B1069" s="1"/>
      <c r="C1069" s="1"/>
      <c r="D1069" s="1"/>
      <c r="E1069" s="13"/>
      <c r="F1069" s="13" t="s">
        <v>323</v>
      </c>
      <c r="G1069" s="178"/>
      <c r="H1069" s="178">
        <f>H624</f>
        <v>9000</v>
      </c>
      <c r="I1069" s="1"/>
      <c r="J1069" s="1"/>
    </row>
    <row r="1070" outlineLevel="1">
      <c r="A1070" s="1"/>
      <c r="B1070" s="1"/>
      <c r="C1070" s="1"/>
      <c r="D1070" s="1"/>
      <c r="E1070" s="13"/>
      <c r="F1070" s="13"/>
      <c r="G1070" s="178"/>
      <c r="H1070" s="178"/>
      <c r="I1070" s="1"/>
      <c r="J1070" s="1"/>
    </row>
    <row r="1071">
      <c r="A1071" s="1"/>
      <c r="B1071" s="1"/>
      <c r="C1071" s="1"/>
      <c r="D1071" s="1"/>
      <c r="E1071" s="13" t="s">
        <v>47</v>
      </c>
      <c r="G1071" s="178"/>
      <c r="H1071" s="178">
        <f>SUM(H1072:H1074)</f>
        <v>13500</v>
      </c>
      <c r="I1071" s="1"/>
      <c r="J1071" s="1"/>
    </row>
    <row r="1072" outlineLevel="1">
      <c r="A1072" s="1"/>
      <c r="B1072" s="1"/>
      <c r="C1072" s="1"/>
      <c r="D1072" s="1"/>
      <c r="E1072" s="13"/>
      <c r="F1072" s="13" t="s">
        <v>321</v>
      </c>
      <c r="G1072" s="178"/>
      <c r="H1072" s="178">
        <f>H646</f>
        <v>0</v>
      </c>
      <c r="I1072" s="1"/>
      <c r="J1072" s="1"/>
    </row>
    <row r="1073" outlineLevel="1">
      <c r="A1073" s="1"/>
      <c r="B1073" s="1"/>
      <c r="C1073" s="1"/>
      <c r="D1073" s="1"/>
      <c r="E1073" s="13"/>
      <c r="F1073" s="13" t="s">
        <v>322</v>
      </c>
      <c r="G1073" s="178"/>
      <c r="H1073" s="178">
        <f>H679</f>
        <v>0</v>
      </c>
      <c r="I1073" s="1"/>
      <c r="J1073" s="1"/>
    </row>
    <row r="1074" outlineLevel="1">
      <c r="A1074" s="1"/>
      <c r="B1074" s="1"/>
      <c r="C1074" s="1"/>
      <c r="D1074" s="1"/>
      <c r="E1074" s="13"/>
      <c r="F1074" s="13" t="s">
        <v>323</v>
      </c>
      <c r="G1074" s="178"/>
      <c r="H1074" s="178">
        <f>H698</f>
        <v>13500</v>
      </c>
      <c r="I1074" s="1"/>
      <c r="J1074" s="1"/>
    </row>
    <row r="1075" outlineLevel="1">
      <c r="A1075" s="1"/>
      <c r="B1075" s="1"/>
      <c r="C1075" s="1"/>
      <c r="D1075" s="1"/>
      <c r="E1075" s="13"/>
      <c r="F1075" s="13"/>
      <c r="G1075" s="178"/>
      <c r="H1075" s="178"/>
      <c r="I1075" s="1"/>
      <c r="J1075" s="1"/>
    </row>
    <row r="1076">
      <c r="A1076" s="1"/>
      <c r="B1076" s="1"/>
      <c r="C1076" s="1"/>
      <c r="D1076" s="1"/>
      <c r="E1076" s="13" t="s">
        <v>48</v>
      </c>
      <c r="G1076" s="178"/>
      <c r="H1076" s="178">
        <f>SUM(H1077:H1079)</f>
        <v>0</v>
      </c>
      <c r="I1076" s="1"/>
      <c r="J1076" s="1"/>
    </row>
    <row r="1077" outlineLevel="1">
      <c r="A1077" s="1"/>
      <c r="B1077" s="1"/>
      <c r="C1077" s="1"/>
      <c r="D1077" s="1"/>
      <c r="E1077" s="13"/>
      <c r="F1077" s="13" t="s">
        <v>321</v>
      </c>
      <c r="G1077" s="178"/>
      <c r="H1077" s="178">
        <f>H720</f>
        <v>0</v>
      </c>
      <c r="I1077" s="1"/>
      <c r="J1077" s="1"/>
    </row>
    <row r="1078" outlineLevel="1">
      <c r="A1078" s="1"/>
      <c r="B1078" s="1"/>
      <c r="C1078" s="1"/>
      <c r="D1078" s="1"/>
      <c r="E1078" s="13"/>
      <c r="F1078" s="13" t="s">
        <v>322</v>
      </c>
      <c r="G1078" s="178"/>
      <c r="H1078" s="178">
        <f>H754</f>
        <v>0</v>
      </c>
      <c r="I1078" s="1"/>
      <c r="J1078" s="1"/>
    </row>
    <row r="1079" outlineLevel="1">
      <c r="A1079" s="1"/>
      <c r="B1079" s="1"/>
      <c r="C1079" s="1"/>
      <c r="D1079" s="1"/>
      <c r="E1079" s="13"/>
      <c r="F1079" s="13" t="s">
        <v>323</v>
      </c>
      <c r="G1079" s="178"/>
      <c r="H1079" s="178">
        <f>H774</f>
        <v>0</v>
      </c>
      <c r="I1079" s="1"/>
      <c r="J1079" s="1"/>
    </row>
    <row r="1080">
      <c r="A1080" s="1"/>
      <c r="B1080" s="1"/>
      <c r="C1080" s="1"/>
      <c r="D1080" s="1"/>
      <c r="E1080" s="13"/>
      <c r="F1080" s="13"/>
      <c r="G1080" s="178"/>
      <c r="H1080" s="178"/>
      <c r="I1080" s="1"/>
      <c r="J1080" s="1"/>
    </row>
    <row r="1081">
      <c r="A1081" s="1"/>
      <c r="B1081" s="1"/>
      <c r="C1081" s="1"/>
      <c r="D1081" s="20" t="s">
        <v>7</v>
      </c>
      <c r="F1081" s="1"/>
      <c r="G1081" s="178"/>
      <c r="H1081" s="178">
        <f>SUM(H1083,H1090,H1097,H1104,H1111,)</f>
        <v>0</v>
      </c>
      <c r="I1081" s="223">
        <f>SUM(H1081)</f>
        <v>0</v>
      </c>
      <c r="J1081" s="223"/>
    </row>
    <row r="1082">
      <c r="A1082" s="1"/>
      <c r="B1082" s="1"/>
      <c r="C1082" s="1"/>
      <c r="D1082" s="20"/>
      <c r="F1082" s="1"/>
      <c r="G1082" s="178"/>
      <c r="H1082" s="178"/>
      <c r="I1082" s="223"/>
      <c r="J1082" s="223"/>
    </row>
    <row r="1083" collapsed="1">
      <c r="A1083" s="1"/>
      <c r="B1083" s="1"/>
      <c r="C1083" s="1"/>
      <c r="D1083" s="1"/>
      <c r="E1083" s="13" t="s">
        <v>46</v>
      </c>
      <c r="G1083" s="178"/>
      <c r="H1083" s="178">
        <f>SUM(H1084:H1088)</f>
        <v>0</v>
      </c>
      <c r="I1083" s="1"/>
      <c r="J1083" s="1"/>
    </row>
    <row r="1084" hidden="1" outlineLevel="1">
      <c r="A1084" s="1"/>
      <c r="B1084" s="1"/>
      <c r="C1084" s="1"/>
      <c r="D1084" s="1"/>
      <c r="E1084" s="13"/>
      <c r="F1084" s="13" t="s">
        <v>319</v>
      </c>
      <c r="G1084" s="178"/>
      <c r="H1084" s="179">
        <f>H827</f>
        <v>0</v>
      </c>
      <c r="I1084" s="1"/>
      <c r="J1084" s="1"/>
    </row>
    <row r="1085" hidden="1" outlineLevel="1">
      <c r="A1085" s="1"/>
      <c r="B1085" s="1"/>
      <c r="C1085" s="1"/>
      <c r="D1085" s="1"/>
      <c r="E1085" s="13"/>
      <c r="F1085" s="13" t="s">
        <v>320</v>
      </c>
      <c r="G1085" s="178"/>
      <c r="H1085" s="179">
        <f>H830</f>
        <v>0</v>
      </c>
      <c r="I1085" s="1"/>
      <c r="J1085" s="1"/>
    </row>
    <row r="1086" hidden="1" outlineLevel="1">
      <c r="A1086" s="1"/>
      <c r="B1086" s="1"/>
      <c r="C1086" s="1"/>
      <c r="D1086" s="1"/>
      <c r="E1086" s="13"/>
      <c r="F1086" s="13" t="s">
        <v>321</v>
      </c>
      <c r="G1086" s="178"/>
      <c r="H1086" s="179">
        <f>H833</f>
        <v>0</v>
      </c>
      <c r="I1086" s="1"/>
      <c r="J1086" s="1"/>
    </row>
    <row r="1087" hidden="1" outlineLevel="1">
      <c r="A1087" s="1"/>
      <c r="B1087" s="1"/>
      <c r="C1087" s="1"/>
      <c r="D1087" s="1"/>
      <c r="E1087" s="13"/>
      <c r="F1087" s="13" t="s">
        <v>322</v>
      </c>
      <c r="G1087" s="178"/>
      <c r="H1087" s="179">
        <f>H836</f>
        <v>0</v>
      </c>
      <c r="I1087" s="1"/>
      <c r="J1087" s="1"/>
    </row>
    <row r="1088" hidden="1" outlineLevel="1">
      <c r="A1088" s="1"/>
      <c r="B1088" s="1"/>
      <c r="C1088" s="1"/>
      <c r="D1088" s="1"/>
      <c r="E1088" s="13"/>
      <c r="F1088" s="13" t="s">
        <v>323</v>
      </c>
      <c r="G1088" s="178"/>
      <c r="H1088" s="179">
        <f>H839</f>
        <v>0</v>
      </c>
      <c r="I1088" s="1"/>
      <c r="J1088" s="1"/>
    </row>
    <row r="1089" hidden="1" outlineLevel="1">
      <c r="A1089" s="1"/>
      <c r="B1089" s="1"/>
      <c r="C1089" s="1"/>
      <c r="D1089" s="1"/>
      <c r="E1089" s="13"/>
      <c r="F1089" s="13"/>
      <c r="G1089" s="178"/>
      <c r="H1089" s="178"/>
      <c r="I1089" s="1"/>
      <c r="J1089" s="1"/>
    </row>
    <row r="1090" collapsed="1">
      <c r="A1090" s="1"/>
      <c r="B1090" s="1"/>
      <c r="C1090" s="1"/>
      <c r="D1090" s="1"/>
      <c r="E1090" s="13" t="s">
        <v>47</v>
      </c>
      <c r="G1090" s="1"/>
      <c r="H1090" s="178">
        <f>SUM(H1091:H1095)</f>
        <v>0</v>
      </c>
      <c r="I1090" s="1"/>
      <c r="J1090" s="1"/>
    </row>
    <row r="1091" hidden="1" outlineLevel="1">
      <c r="A1091" s="1"/>
      <c r="B1091" s="1"/>
      <c r="C1091" s="1"/>
      <c r="D1091" s="1"/>
      <c r="E1091" s="13"/>
      <c r="F1091" s="13" t="s">
        <v>319</v>
      </c>
      <c r="G1091" s="1"/>
      <c r="H1091" s="179">
        <f>H872</f>
        <v>0</v>
      </c>
      <c r="I1091" s="1"/>
      <c r="J1091" s="1"/>
    </row>
    <row r="1092" hidden="1" outlineLevel="1">
      <c r="A1092" s="1"/>
      <c r="B1092" s="1"/>
      <c r="C1092" s="1"/>
      <c r="D1092" s="1"/>
      <c r="E1092" s="13"/>
      <c r="F1092" s="13" t="s">
        <v>320</v>
      </c>
      <c r="G1092" s="1"/>
      <c r="H1092" s="179">
        <f>H875</f>
        <v>0</v>
      </c>
      <c r="I1092" s="1"/>
      <c r="J1092" s="1"/>
    </row>
    <row r="1093" hidden="1" outlineLevel="1">
      <c r="A1093" s="1"/>
      <c r="B1093" s="1"/>
      <c r="C1093" s="1"/>
      <c r="D1093" s="1"/>
      <c r="E1093" s="13"/>
      <c r="F1093" s="13" t="s">
        <v>321</v>
      </c>
      <c r="G1093" s="1"/>
      <c r="H1093" s="179">
        <f>H878</f>
        <v>0</v>
      </c>
      <c r="I1093" s="1"/>
      <c r="J1093" s="1"/>
    </row>
    <row r="1094" hidden="1" outlineLevel="1">
      <c r="A1094" s="1"/>
      <c r="B1094" s="1"/>
      <c r="C1094" s="1"/>
      <c r="D1094" s="1"/>
      <c r="E1094" s="13"/>
      <c r="F1094" s="13" t="s">
        <v>322</v>
      </c>
      <c r="G1094" s="1"/>
      <c r="H1094" s="179">
        <f>H881</f>
        <v>0</v>
      </c>
      <c r="I1094" s="1"/>
      <c r="J1094" s="1"/>
    </row>
    <row r="1095" hidden="1" outlineLevel="1">
      <c r="A1095" s="1"/>
      <c r="B1095" s="1"/>
      <c r="C1095" s="1"/>
      <c r="D1095" s="1"/>
      <c r="E1095" s="13"/>
      <c r="F1095" s="13" t="s">
        <v>323</v>
      </c>
      <c r="G1095" s="1"/>
      <c r="H1095" s="179">
        <f>H884</f>
        <v>0</v>
      </c>
      <c r="I1095" s="1"/>
      <c r="J1095" s="1"/>
    </row>
    <row r="1096" hidden="1" outlineLevel="1">
      <c r="A1096" s="1"/>
      <c r="B1096" s="1"/>
      <c r="C1096" s="1"/>
      <c r="D1096" s="1"/>
      <c r="E1096" s="13"/>
      <c r="F1096" s="13"/>
      <c r="G1096" s="1"/>
      <c r="H1096" s="1"/>
      <c r="I1096" s="1"/>
      <c r="J1096" s="1"/>
    </row>
    <row r="1097" collapsed="1">
      <c r="A1097" s="1"/>
      <c r="B1097" s="1"/>
      <c r="C1097" s="1"/>
      <c r="D1097" s="1"/>
      <c r="E1097" s="13" t="s">
        <v>48</v>
      </c>
      <c r="G1097" s="1"/>
      <c r="H1097" s="178">
        <f>SUM(H1098:H1102)</f>
        <v>0</v>
      </c>
      <c r="I1097" s="1"/>
      <c r="J1097" s="1"/>
    </row>
    <row r="1098" hidden="1" outlineLevel="1">
      <c r="A1098" s="1"/>
      <c r="B1098" s="1"/>
      <c r="C1098" s="1"/>
      <c r="D1098" s="1"/>
      <c r="E1098" s="13"/>
      <c r="F1098" s="13" t="s">
        <v>319</v>
      </c>
      <c r="G1098" s="1"/>
      <c r="H1098" s="180">
        <f>H917</f>
        <v>0</v>
      </c>
      <c r="I1098" s="1"/>
      <c r="J1098" s="1"/>
    </row>
    <row r="1099" hidden="1" outlineLevel="1">
      <c r="A1099" s="1"/>
      <c r="B1099" s="1"/>
      <c r="C1099" s="1"/>
      <c r="D1099" s="1"/>
      <c r="E1099" s="13"/>
      <c r="F1099" s="13" t="s">
        <v>320</v>
      </c>
      <c r="G1099" s="1"/>
      <c r="H1099" s="170">
        <f>H920</f>
        <v>0</v>
      </c>
      <c r="I1099" s="1"/>
      <c r="J1099" s="1"/>
    </row>
    <row r="1100" hidden="1" outlineLevel="1">
      <c r="A1100" s="1"/>
      <c r="B1100" s="1"/>
      <c r="C1100" s="1"/>
      <c r="D1100" s="1"/>
      <c r="E1100" s="13"/>
      <c r="F1100" s="13" t="s">
        <v>321</v>
      </c>
      <c r="G1100" s="1"/>
      <c r="H1100" s="170">
        <f>H923</f>
        <v>0</v>
      </c>
      <c r="I1100" s="1"/>
      <c r="J1100" s="1"/>
    </row>
    <row r="1101" hidden="1" outlineLevel="1">
      <c r="A1101" s="1"/>
      <c r="B1101" s="1"/>
      <c r="C1101" s="1"/>
      <c r="D1101" s="1"/>
      <c r="E1101" s="13"/>
      <c r="F1101" s="13" t="s">
        <v>322</v>
      </c>
      <c r="G1101" s="1"/>
      <c r="H1101" s="170">
        <f>H926</f>
        <v>0</v>
      </c>
      <c r="I1101" s="1"/>
      <c r="J1101" s="1"/>
    </row>
    <row r="1102" hidden="1" outlineLevel="1">
      <c r="A1102" s="1"/>
      <c r="B1102" s="1"/>
      <c r="C1102" s="1"/>
      <c r="D1102" s="1"/>
      <c r="E1102" s="13"/>
      <c r="F1102" s="13" t="s">
        <v>323</v>
      </c>
      <c r="G1102" s="1"/>
      <c r="H1102" s="170">
        <f>H929</f>
        <v>0</v>
      </c>
      <c r="I1102" s="1"/>
      <c r="J1102" s="1"/>
    </row>
    <row r="1103" hidden="1" outlineLevel="1">
      <c r="A1103" s="1"/>
      <c r="B1103" s="1"/>
      <c r="C1103" s="1"/>
      <c r="D1103" s="1"/>
      <c r="E1103" s="13"/>
      <c r="F1103" s="13"/>
      <c r="G1103" s="1"/>
      <c r="H1103" s="1"/>
      <c r="I1103" s="1"/>
      <c r="J1103" s="1"/>
    </row>
    <row r="1104" collapsed="1">
      <c r="A1104" s="1"/>
      <c r="B1104" s="1"/>
      <c r="C1104" s="1"/>
      <c r="D1104" s="1"/>
      <c r="E1104" s="13" t="s">
        <v>49</v>
      </c>
      <c r="G1104" s="1"/>
      <c r="H1104" s="178">
        <f>SUM(H1105:H1109)</f>
        <v>0</v>
      </c>
      <c r="I1104" s="1"/>
      <c r="J1104" s="1"/>
    </row>
    <row r="1105" hidden="1" outlineLevel="1">
      <c r="A1105" s="1"/>
      <c r="B1105" s="1"/>
      <c r="C1105" s="1"/>
      <c r="D1105" s="1"/>
      <c r="E1105" s="13"/>
      <c r="F1105" s="13" t="s">
        <v>319</v>
      </c>
      <c r="G1105" s="1"/>
      <c r="H1105" s="170">
        <f>H963</f>
        <v>0</v>
      </c>
      <c r="I1105" s="1"/>
      <c r="J1105" s="1"/>
    </row>
    <row r="1106" hidden="1" outlineLevel="1">
      <c r="A1106" s="1"/>
      <c r="B1106" s="1"/>
      <c r="C1106" s="1"/>
      <c r="D1106" s="1"/>
      <c r="E1106" s="13"/>
      <c r="F1106" s="13" t="s">
        <v>320</v>
      </c>
      <c r="G1106" s="1"/>
      <c r="H1106" s="170">
        <f>H966</f>
        <v>0</v>
      </c>
      <c r="I1106" s="1"/>
      <c r="J1106" s="1"/>
    </row>
    <row r="1107" hidden="1" outlineLevel="1">
      <c r="A1107" s="1"/>
      <c r="B1107" s="1"/>
      <c r="C1107" s="1"/>
      <c r="D1107" s="1"/>
      <c r="E1107" s="13"/>
      <c r="F1107" s="13" t="s">
        <v>321</v>
      </c>
      <c r="G1107" s="1"/>
      <c r="H1107" s="170">
        <f>H969</f>
        <v>0</v>
      </c>
      <c r="I1107" s="1"/>
      <c r="J1107" s="1"/>
    </row>
    <row r="1108" hidden="1" outlineLevel="1">
      <c r="A1108" s="1"/>
      <c r="B1108" s="1"/>
      <c r="C1108" s="1"/>
      <c r="D1108" s="1"/>
      <c r="E1108" s="13"/>
      <c r="F1108" s="13" t="s">
        <v>322</v>
      </c>
      <c r="G1108" s="1"/>
      <c r="H1108" s="170">
        <f>H972</f>
        <v>0</v>
      </c>
      <c r="I1108" s="1"/>
      <c r="J1108" s="1"/>
    </row>
    <row r="1109" hidden="1" outlineLevel="1">
      <c r="A1109" s="1"/>
      <c r="B1109" s="1"/>
      <c r="C1109" s="1"/>
      <c r="D1109" s="1"/>
      <c r="E1109" s="13"/>
      <c r="F1109" s="13" t="s">
        <v>323</v>
      </c>
      <c r="G1109" s="1"/>
      <c r="H1109" s="170">
        <f>H975</f>
        <v>0</v>
      </c>
      <c r="I1109" s="1"/>
      <c r="J1109" s="1"/>
    </row>
    <row r="1110" hidden="1" outlineLevel="1">
      <c r="A1110" s="1"/>
      <c r="B1110" s="1"/>
      <c r="C1110" s="1"/>
      <c r="D1110" s="1"/>
      <c r="E1110" s="13"/>
      <c r="F1110" s="13"/>
      <c r="G1110" s="1"/>
      <c r="H1110" s="1"/>
      <c r="I1110" s="1"/>
      <c r="J1110" s="1"/>
    </row>
    <row r="1111" collapsed="1">
      <c r="A1111" s="1"/>
      <c r="B1111" s="1"/>
      <c r="C1111" s="1"/>
      <c r="D1111" s="1"/>
      <c r="E1111" s="13" t="s">
        <v>50</v>
      </c>
      <c r="G1111" s="1"/>
      <c r="H1111" s="178">
        <f>SUM(H1112:H1116)</f>
        <v>0</v>
      </c>
      <c r="I1111" s="1"/>
      <c r="J1111" s="1"/>
    </row>
    <row r="1112" hidden="1" outlineLevel="1">
      <c r="A1112" s="1"/>
      <c r="B1112" s="1"/>
      <c r="C1112" s="1"/>
      <c r="D1112" s="1"/>
      <c r="E1112" s="1"/>
      <c r="F1112" s="13" t="s">
        <v>319</v>
      </c>
      <c r="G1112" s="224"/>
      <c r="H1112" s="170">
        <f>H1008</f>
        <v>0</v>
      </c>
      <c r="I1112" s="223"/>
      <c r="J1112" s="223"/>
    </row>
    <row r="1113" hidden="1" outlineLevel="1">
      <c r="A1113" s="1"/>
      <c r="B1113" s="1"/>
      <c r="C1113" s="1"/>
      <c r="D1113" s="1"/>
      <c r="E1113" s="1"/>
      <c r="F1113" s="13" t="s">
        <v>320</v>
      </c>
      <c r="G1113" s="1"/>
      <c r="H1113" s="170">
        <f>H1011</f>
        <v>0</v>
      </c>
      <c r="I1113" s="1"/>
      <c r="J1113" s="1"/>
    </row>
    <row r="1114" hidden="1" outlineLevel="1">
      <c r="A1114" s="1"/>
      <c r="B1114" s="1"/>
      <c r="C1114" s="1"/>
      <c r="D1114" s="1"/>
      <c r="E1114" s="1"/>
      <c r="F1114" s="13" t="s">
        <v>321</v>
      </c>
      <c r="G1114" s="1"/>
      <c r="H1114" s="170">
        <f>H1014</f>
        <v>0</v>
      </c>
      <c r="I1114" s="1"/>
      <c r="J1114" s="1"/>
    </row>
    <row r="1115" hidden="1" outlineLevel="1">
      <c r="A1115" s="1"/>
      <c r="B1115" s="1"/>
      <c r="C1115" s="1"/>
      <c r="D1115" s="1"/>
      <c r="E1115" s="1"/>
      <c r="F1115" s="13" t="s">
        <v>322</v>
      </c>
      <c r="G1115" s="1"/>
      <c r="H1115" s="170">
        <f>H1017</f>
        <v>0</v>
      </c>
      <c r="I1115" s="1"/>
      <c r="J1115" s="1"/>
    </row>
    <row r="1116" hidden="1" outlineLevel="1">
      <c r="A1116" s="1"/>
      <c r="B1116" s="1"/>
      <c r="C1116" s="1"/>
      <c r="D1116" s="1"/>
      <c r="E1116" s="1"/>
      <c r="F1116" s="13" t="s">
        <v>323</v>
      </c>
      <c r="G1116" s="1"/>
      <c r="H1116" s="170">
        <f>H1020</f>
        <v>0</v>
      </c>
      <c r="I1116" s="1"/>
      <c r="J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</row>
  </sheetData>
  <mergeCells count="1">
    <mergeCell ref="I1:I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.25"/>
    <col customWidth="1" min="3" max="3" width="6.38"/>
    <col customWidth="1" min="4" max="5" width="3.25"/>
    <col customWidth="1" min="6" max="6" width="25.13"/>
    <col customWidth="1" min="7" max="7" width="10.13"/>
  </cols>
  <sheetData>
    <row r="1">
      <c r="A1" s="1"/>
      <c r="B1" s="2"/>
      <c r="C1" s="2"/>
      <c r="D1" s="2"/>
      <c r="E1" s="2"/>
      <c r="F1" s="3" t="s">
        <v>0</v>
      </c>
      <c r="G1" s="4"/>
      <c r="H1" s="4">
        <v>2026.0</v>
      </c>
      <c r="I1" s="4">
        <v>2026.0</v>
      </c>
      <c r="J1" s="4">
        <v>2026.0</v>
      </c>
      <c r="K1" s="4">
        <v>2026.0</v>
      </c>
      <c r="L1" s="4">
        <v>2026.0</v>
      </c>
      <c r="M1" s="4">
        <v>2026.0</v>
      </c>
      <c r="N1" s="4">
        <v>2026.0</v>
      </c>
      <c r="O1" s="4">
        <v>2026.0</v>
      </c>
      <c r="P1" s="4">
        <v>2026.0</v>
      </c>
      <c r="Q1" s="4">
        <v>2026.0</v>
      </c>
      <c r="R1" s="4">
        <v>2026.0</v>
      </c>
      <c r="S1" s="4">
        <v>2026.0</v>
      </c>
      <c r="T1" s="5" t="s">
        <v>1</v>
      </c>
      <c r="U1" s="6"/>
    </row>
    <row r="2">
      <c r="A2" s="1"/>
      <c r="B2" s="2"/>
      <c r="C2" s="7"/>
      <c r="D2" s="7"/>
      <c r="E2" s="7"/>
      <c r="F2" s="3" t="s">
        <v>2</v>
      </c>
      <c r="G2" s="8"/>
      <c r="H2" s="8" t="s">
        <v>3</v>
      </c>
      <c r="I2" s="9">
        <f t="shared" ref="I2:S2" si="1">H2+1</f>
        <v>2</v>
      </c>
      <c r="J2" s="9">
        <f t="shared" si="1"/>
        <v>3</v>
      </c>
      <c r="K2" s="9">
        <f t="shared" si="1"/>
        <v>4</v>
      </c>
      <c r="L2" s="9">
        <f t="shared" si="1"/>
        <v>5</v>
      </c>
      <c r="M2" s="9">
        <f t="shared" si="1"/>
        <v>6</v>
      </c>
      <c r="N2" s="9">
        <f t="shared" si="1"/>
        <v>7</v>
      </c>
      <c r="O2" s="9">
        <f t="shared" si="1"/>
        <v>8</v>
      </c>
      <c r="P2" s="9">
        <f t="shared" si="1"/>
        <v>9</v>
      </c>
      <c r="Q2" s="9">
        <f t="shared" si="1"/>
        <v>10</v>
      </c>
      <c r="R2" s="9">
        <f t="shared" si="1"/>
        <v>11</v>
      </c>
      <c r="S2" s="9">
        <f t="shared" si="1"/>
        <v>12</v>
      </c>
      <c r="T2" s="10"/>
      <c r="U2" s="6"/>
    </row>
    <row r="3"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5">
      <c r="A5" s="226"/>
      <c r="B5" s="227" t="s">
        <v>21</v>
      </c>
      <c r="C5" s="228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6"/>
      <c r="U5" s="230">
        <f>3*100</f>
        <v>300</v>
      </c>
    </row>
    <row r="6">
      <c r="A6" s="226"/>
      <c r="B6" s="226"/>
      <c r="C6" s="226"/>
      <c r="D6" s="160" t="s">
        <v>22</v>
      </c>
      <c r="E6" s="226"/>
      <c r="F6" s="226"/>
      <c r="G6" s="231"/>
      <c r="H6" s="232">
        <f>4032480*1.2</f>
        <v>4838976</v>
      </c>
      <c r="I6" s="233">
        <f>H6*100%</f>
        <v>4838976</v>
      </c>
      <c r="J6" s="233">
        <f>I6*105%</f>
        <v>5080924.8</v>
      </c>
      <c r="K6" s="233">
        <f t="shared" ref="K6:L6" si="2">J6*110%</f>
        <v>5589017.28</v>
      </c>
      <c r="L6" s="233">
        <f t="shared" si="2"/>
        <v>6147919.008</v>
      </c>
      <c r="M6" s="233">
        <f t="shared" ref="M6:N6" si="3">L6*105%</f>
        <v>6455314.958</v>
      </c>
      <c r="N6" s="233">
        <f t="shared" si="3"/>
        <v>6778080.706</v>
      </c>
      <c r="O6" s="233">
        <f t="shared" ref="O6:Q6" si="4">N6*100%</f>
        <v>6778080.706</v>
      </c>
      <c r="P6" s="233">
        <f t="shared" si="4"/>
        <v>6778080.706</v>
      </c>
      <c r="Q6" s="233">
        <f t="shared" si="4"/>
        <v>6778080.706</v>
      </c>
      <c r="R6" s="233">
        <f t="shared" ref="R6:S6" si="5">Q6*80%</f>
        <v>5422464.565</v>
      </c>
      <c r="S6" s="233">
        <f t="shared" si="5"/>
        <v>4337971.652</v>
      </c>
      <c r="T6" s="234">
        <f>SUM(G6:S6)</f>
        <v>69823887.09</v>
      </c>
      <c r="U6" s="226"/>
    </row>
    <row r="7">
      <c r="A7" s="226"/>
      <c r="B7" s="226"/>
      <c r="C7" s="226"/>
      <c r="D7" s="226"/>
      <c r="E7" s="160" t="s">
        <v>445</v>
      </c>
      <c r="F7" s="226"/>
      <c r="G7" s="231"/>
      <c r="H7" s="235">
        <v>0.6</v>
      </c>
      <c r="I7" s="235">
        <v>0.6</v>
      </c>
      <c r="J7" s="235">
        <v>0.6</v>
      </c>
      <c r="K7" s="235">
        <v>0.6</v>
      </c>
      <c r="L7" s="235">
        <v>0.6</v>
      </c>
      <c r="M7" s="235">
        <v>0.6</v>
      </c>
      <c r="N7" s="235">
        <v>0.6</v>
      </c>
      <c r="O7" s="235">
        <v>0.6</v>
      </c>
      <c r="P7" s="235">
        <v>0.6</v>
      </c>
      <c r="Q7" s="235">
        <v>0.6</v>
      </c>
      <c r="R7" s="235">
        <v>0.6</v>
      </c>
      <c r="S7" s="235">
        <v>0.6</v>
      </c>
      <c r="T7" s="226"/>
      <c r="U7" s="226"/>
    </row>
    <row r="8">
      <c r="A8" s="226"/>
      <c r="B8" s="226"/>
      <c r="C8" s="226"/>
      <c r="D8" s="226"/>
      <c r="E8" s="160" t="s">
        <v>446</v>
      </c>
      <c r="F8" s="226"/>
      <c r="G8" s="231"/>
      <c r="H8" s="236">
        <f t="shared" ref="H8:S8" si="6">H6*H7*12%</f>
        <v>348406.272</v>
      </c>
      <c r="I8" s="236">
        <f t="shared" si="6"/>
        <v>348406.272</v>
      </c>
      <c r="J8" s="236">
        <f t="shared" si="6"/>
        <v>365826.5856</v>
      </c>
      <c r="K8" s="236">
        <f t="shared" si="6"/>
        <v>402409.2442</v>
      </c>
      <c r="L8" s="236">
        <f t="shared" si="6"/>
        <v>442650.1686</v>
      </c>
      <c r="M8" s="236">
        <f t="shared" si="6"/>
        <v>464782.677</v>
      </c>
      <c r="N8" s="236">
        <f t="shared" si="6"/>
        <v>488021.8109</v>
      </c>
      <c r="O8" s="236">
        <f t="shared" si="6"/>
        <v>488021.8109</v>
      </c>
      <c r="P8" s="236">
        <f t="shared" si="6"/>
        <v>488021.8109</v>
      </c>
      <c r="Q8" s="236">
        <f t="shared" si="6"/>
        <v>488021.8109</v>
      </c>
      <c r="R8" s="236">
        <f t="shared" si="6"/>
        <v>390417.4487</v>
      </c>
      <c r="S8" s="236">
        <f t="shared" si="6"/>
        <v>312333.9589</v>
      </c>
      <c r="T8" s="234">
        <f>SUM(H8:S8)</f>
        <v>5027319.87</v>
      </c>
      <c r="U8" s="226"/>
    </row>
    <row r="9">
      <c r="A9" s="226"/>
      <c r="B9" s="226"/>
      <c r="C9" s="226"/>
      <c r="D9" s="160" t="s">
        <v>23</v>
      </c>
      <c r="E9" s="226"/>
      <c r="F9" s="226"/>
      <c r="G9" s="231"/>
      <c r="H9" s="237">
        <v>350.0</v>
      </c>
      <c r="I9" s="237">
        <f t="shared" ref="I9:J9" si="7">H9*102.5%</f>
        <v>358.75</v>
      </c>
      <c r="J9" s="238">
        <f t="shared" si="7"/>
        <v>367.71875</v>
      </c>
      <c r="K9" s="238">
        <f t="shared" ref="K9:M9" si="8">J9*105%</f>
        <v>386.1046875</v>
      </c>
      <c r="L9" s="238">
        <f t="shared" si="8"/>
        <v>405.4099219</v>
      </c>
      <c r="M9" s="238">
        <f t="shared" si="8"/>
        <v>425.680418</v>
      </c>
      <c r="N9" s="238">
        <f>M9*102.5%</f>
        <v>436.3224284</v>
      </c>
      <c r="O9" s="238">
        <f t="shared" ref="O9:P9" si="9">N9*100%</f>
        <v>436.3224284</v>
      </c>
      <c r="P9" s="238">
        <f t="shared" si="9"/>
        <v>436.3224284</v>
      </c>
      <c r="Q9" s="238">
        <f>P9*105%</f>
        <v>458.1385498</v>
      </c>
      <c r="R9" s="238">
        <f>Q9*90%</f>
        <v>412.3246949</v>
      </c>
      <c r="S9" s="238">
        <f>R9*100%</f>
        <v>412.3246949</v>
      </c>
      <c r="T9" s="226"/>
      <c r="U9" s="226"/>
    </row>
    <row r="10">
      <c r="A10" s="226"/>
      <c r="B10" s="226"/>
      <c r="C10" s="160" t="s">
        <v>24</v>
      </c>
      <c r="E10" s="160" t="s">
        <v>25</v>
      </c>
      <c r="F10" s="226"/>
      <c r="G10" s="239"/>
      <c r="H10" s="131">
        <f t="shared" ref="H10:S10" si="10">H6/H9</f>
        <v>13825.64571</v>
      </c>
      <c r="I10" s="131">
        <f t="shared" si="10"/>
        <v>13488.43484</v>
      </c>
      <c r="J10" s="131">
        <f t="shared" si="10"/>
        <v>13817.42106</v>
      </c>
      <c r="K10" s="131">
        <f t="shared" si="10"/>
        <v>14475.39349</v>
      </c>
      <c r="L10" s="131">
        <f t="shared" si="10"/>
        <v>15164.69794</v>
      </c>
      <c r="M10" s="131">
        <f t="shared" si="10"/>
        <v>15164.69794</v>
      </c>
      <c r="N10" s="131">
        <f t="shared" si="10"/>
        <v>15534.56862</v>
      </c>
      <c r="O10" s="131">
        <f t="shared" si="10"/>
        <v>15534.56862</v>
      </c>
      <c r="P10" s="131">
        <f t="shared" si="10"/>
        <v>15534.56862</v>
      </c>
      <c r="Q10" s="131">
        <f t="shared" si="10"/>
        <v>14794.82726</v>
      </c>
      <c r="R10" s="131">
        <f t="shared" si="10"/>
        <v>13150.95757</v>
      </c>
      <c r="S10" s="131">
        <f t="shared" si="10"/>
        <v>10520.76605</v>
      </c>
      <c r="T10" s="240">
        <f>SUM(H10:S10)</f>
        <v>171006.5477</v>
      </c>
      <c r="U10" s="226"/>
    </row>
    <row r="11">
      <c r="A11" s="226"/>
      <c r="B11" s="226"/>
      <c r="C11" s="160" t="s">
        <v>27</v>
      </c>
      <c r="D11" s="160" t="s">
        <v>28</v>
      </c>
      <c r="E11" s="226"/>
      <c r="F11" s="226"/>
      <c r="G11" s="241"/>
      <c r="H11" s="167">
        <v>0.8</v>
      </c>
      <c r="I11" s="167">
        <v>0.8</v>
      </c>
      <c r="J11" s="167">
        <v>0.8</v>
      </c>
      <c r="K11" s="167">
        <v>0.8</v>
      </c>
      <c r="L11" s="167">
        <v>0.8</v>
      </c>
      <c r="M11" s="167">
        <v>0.8</v>
      </c>
      <c r="N11" s="167">
        <v>0.8</v>
      </c>
      <c r="O11" s="167">
        <v>0.8</v>
      </c>
      <c r="P11" s="167">
        <v>0.8</v>
      </c>
      <c r="Q11" s="167">
        <v>0.8</v>
      </c>
      <c r="R11" s="167">
        <v>0.8</v>
      </c>
      <c r="S11" s="167">
        <v>0.8</v>
      </c>
      <c r="T11" s="242">
        <f>DIVIDE(T6,T12)</f>
        <v>510.3749541</v>
      </c>
      <c r="U11" s="226"/>
    </row>
    <row r="12">
      <c r="A12" s="226"/>
      <c r="B12" s="226"/>
      <c r="C12" s="226"/>
      <c r="E12" s="160" t="s">
        <v>29</v>
      </c>
      <c r="G12" s="239"/>
      <c r="H12" s="131">
        <f t="shared" ref="H12:S12" si="11">ROUNDUP(H10*H11,0)</f>
        <v>11061</v>
      </c>
      <c r="I12" s="131">
        <f t="shared" si="11"/>
        <v>10791</v>
      </c>
      <c r="J12" s="131">
        <f t="shared" si="11"/>
        <v>11054</v>
      </c>
      <c r="K12" s="131">
        <f t="shared" si="11"/>
        <v>11581</v>
      </c>
      <c r="L12" s="131">
        <f t="shared" si="11"/>
        <v>12132</v>
      </c>
      <c r="M12" s="131">
        <f t="shared" si="11"/>
        <v>12132</v>
      </c>
      <c r="N12" s="131">
        <f t="shared" si="11"/>
        <v>12428</v>
      </c>
      <c r="O12" s="131">
        <f t="shared" si="11"/>
        <v>12428</v>
      </c>
      <c r="P12" s="131">
        <f t="shared" si="11"/>
        <v>12428</v>
      </c>
      <c r="Q12" s="131">
        <f t="shared" si="11"/>
        <v>11836</v>
      </c>
      <c r="R12" s="131">
        <f t="shared" si="11"/>
        <v>10521</v>
      </c>
      <c r="S12" s="131">
        <f t="shared" si="11"/>
        <v>8417</v>
      </c>
      <c r="T12" s="240">
        <f>SUM(H12:S12)</f>
        <v>136809</v>
      </c>
      <c r="U12" s="226"/>
    </row>
    <row r="13">
      <c r="A13" s="226"/>
      <c r="B13" s="226"/>
      <c r="C13" s="226"/>
      <c r="D13" s="160"/>
      <c r="E13" s="160" t="s">
        <v>30</v>
      </c>
      <c r="F13" s="16"/>
      <c r="G13" s="140"/>
      <c r="H13" s="145">
        <v>0.046</v>
      </c>
      <c r="I13" s="145">
        <v>0.046</v>
      </c>
      <c r="J13" s="145">
        <v>0.046</v>
      </c>
      <c r="K13" s="145">
        <v>0.046</v>
      </c>
      <c r="L13" s="145">
        <v>0.046</v>
      </c>
      <c r="M13" s="145">
        <v>0.046</v>
      </c>
      <c r="N13" s="145">
        <v>0.046</v>
      </c>
      <c r="O13" s="145">
        <v>0.046</v>
      </c>
      <c r="P13" s="145">
        <v>0.046</v>
      </c>
      <c r="Q13" s="145">
        <v>0.046</v>
      </c>
      <c r="R13" s="145">
        <v>0.046</v>
      </c>
      <c r="S13" s="145">
        <v>0.046</v>
      </c>
      <c r="T13" s="226"/>
      <c r="U13" s="226"/>
    </row>
    <row r="14">
      <c r="A14" s="226"/>
      <c r="B14" s="226"/>
      <c r="C14" s="226"/>
      <c r="D14" s="160"/>
      <c r="E14" s="160" t="s">
        <v>31</v>
      </c>
      <c r="F14" s="16"/>
      <c r="G14" s="140"/>
      <c r="H14" s="145">
        <v>0.0511</v>
      </c>
      <c r="I14" s="145">
        <v>0.0511</v>
      </c>
      <c r="J14" s="145">
        <v>0.0511</v>
      </c>
      <c r="K14" s="145">
        <v>0.0511</v>
      </c>
      <c r="L14" s="145">
        <v>0.0511</v>
      </c>
      <c r="M14" s="145">
        <v>0.0511</v>
      </c>
      <c r="N14" s="145">
        <v>0.0511</v>
      </c>
      <c r="O14" s="145">
        <v>0.0511</v>
      </c>
      <c r="P14" s="145">
        <v>0.0511</v>
      </c>
      <c r="Q14" s="145">
        <v>0.0511</v>
      </c>
      <c r="R14" s="145">
        <v>0.0511</v>
      </c>
      <c r="S14" s="145">
        <v>0.0511</v>
      </c>
      <c r="T14" s="226"/>
      <c r="U14" s="226"/>
    </row>
    <row r="15">
      <c r="A15" s="226"/>
      <c r="B15" s="226"/>
      <c r="C15" s="226"/>
      <c r="D15" s="160"/>
      <c r="E15" s="160" t="s">
        <v>32</v>
      </c>
      <c r="F15" s="16"/>
      <c r="G15" s="140"/>
      <c r="H15" s="145">
        <v>0.2023</v>
      </c>
      <c r="I15" s="145">
        <v>0.2023</v>
      </c>
      <c r="J15" s="145">
        <v>0.2023</v>
      </c>
      <c r="K15" s="145">
        <v>0.2023</v>
      </c>
      <c r="L15" s="145">
        <v>0.2023</v>
      </c>
      <c r="M15" s="145">
        <v>0.2023</v>
      </c>
      <c r="N15" s="145">
        <v>0.2023</v>
      </c>
      <c r="O15" s="145">
        <v>0.2023</v>
      </c>
      <c r="P15" s="145">
        <v>0.2023</v>
      </c>
      <c r="Q15" s="145">
        <v>0.2023</v>
      </c>
      <c r="R15" s="145">
        <v>0.2023</v>
      </c>
      <c r="S15" s="145">
        <v>0.2023</v>
      </c>
      <c r="T15" s="226"/>
      <c r="U15" s="226"/>
    </row>
    <row r="16">
      <c r="A16" s="226"/>
      <c r="B16" s="226"/>
      <c r="C16" s="226"/>
      <c r="D16" s="160"/>
      <c r="E16" s="160" t="s">
        <v>33</v>
      </c>
      <c r="F16" s="16"/>
      <c r="G16" s="140"/>
      <c r="H16" s="145">
        <v>0.476</v>
      </c>
      <c r="I16" s="145">
        <v>0.476</v>
      </c>
      <c r="J16" s="145">
        <v>0.476</v>
      </c>
      <c r="K16" s="145">
        <v>0.476</v>
      </c>
      <c r="L16" s="145">
        <v>0.476</v>
      </c>
      <c r="M16" s="145">
        <v>0.476</v>
      </c>
      <c r="N16" s="145">
        <v>0.476</v>
      </c>
      <c r="O16" s="145">
        <v>0.476</v>
      </c>
      <c r="P16" s="145">
        <v>0.476</v>
      </c>
      <c r="Q16" s="145">
        <v>0.476</v>
      </c>
      <c r="R16" s="145">
        <v>0.476</v>
      </c>
      <c r="S16" s="145">
        <v>0.476</v>
      </c>
      <c r="T16" s="226"/>
      <c r="U16" s="226"/>
    </row>
    <row r="17">
      <c r="A17" s="226"/>
      <c r="B17" s="226"/>
      <c r="C17" s="226"/>
      <c r="D17" s="160"/>
      <c r="E17" s="160" t="s">
        <v>34</v>
      </c>
      <c r="F17" s="16"/>
      <c r="G17" s="140"/>
      <c r="H17" s="145">
        <v>0.2246</v>
      </c>
      <c r="I17" s="145">
        <v>0.2246</v>
      </c>
      <c r="J17" s="145">
        <v>0.2246</v>
      </c>
      <c r="K17" s="145">
        <v>0.2246</v>
      </c>
      <c r="L17" s="145">
        <v>0.2246</v>
      </c>
      <c r="M17" s="145">
        <v>0.2246</v>
      </c>
      <c r="N17" s="145">
        <v>0.2246</v>
      </c>
      <c r="O17" s="145">
        <v>0.2246</v>
      </c>
      <c r="P17" s="145">
        <v>0.2246</v>
      </c>
      <c r="Q17" s="145">
        <v>0.2246</v>
      </c>
      <c r="R17" s="145">
        <v>0.2246</v>
      </c>
      <c r="S17" s="145">
        <v>0.2246</v>
      </c>
      <c r="T17" s="226"/>
      <c r="U17" s="226"/>
    </row>
    <row r="18">
      <c r="A18" s="226"/>
      <c r="B18" s="226"/>
      <c r="C18" s="226"/>
      <c r="D18" s="160"/>
      <c r="E18" s="160" t="s">
        <v>35</v>
      </c>
      <c r="F18" s="16"/>
      <c r="G18" s="140"/>
      <c r="H18" s="131">
        <f t="shared" ref="H18:S18" si="12">H$12*H13</f>
        <v>508.806</v>
      </c>
      <c r="I18" s="131">
        <f t="shared" si="12"/>
        <v>496.386</v>
      </c>
      <c r="J18" s="131">
        <f t="shared" si="12"/>
        <v>508.484</v>
      </c>
      <c r="K18" s="131">
        <f t="shared" si="12"/>
        <v>532.726</v>
      </c>
      <c r="L18" s="131">
        <f t="shared" si="12"/>
        <v>558.072</v>
      </c>
      <c r="M18" s="131">
        <f t="shared" si="12"/>
        <v>558.072</v>
      </c>
      <c r="N18" s="131">
        <f t="shared" si="12"/>
        <v>571.688</v>
      </c>
      <c r="O18" s="131">
        <f t="shared" si="12"/>
        <v>571.688</v>
      </c>
      <c r="P18" s="131">
        <f t="shared" si="12"/>
        <v>571.688</v>
      </c>
      <c r="Q18" s="131">
        <f t="shared" si="12"/>
        <v>544.456</v>
      </c>
      <c r="R18" s="131">
        <f t="shared" si="12"/>
        <v>483.966</v>
      </c>
      <c r="S18" s="131">
        <f t="shared" si="12"/>
        <v>387.182</v>
      </c>
      <c r="T18" s="226"/>
      <c r="U18" s="226"/>
    </row>
    <row r="19">
      <c r="A19" s="226"/>
      <c r="B19" s="226"/>
      <c r="C19" s="226"/>
      <c r="D19" s="160"/>
      <c r="E19" s="160" t="s">
        <v>36</v>
      </c>
      <c r="F19" s="16"/>
      <c r="G19" s="140"/>
      <c r="H19" s="131">
        <f t="shared" ref="H19:S19" si="13">H$12*H14</f>
        <v>565.2171</v>
      </c>
      <c r="I19" s="131">
        <f t="shared" si="13"/>
        <v>551.4201</v>
      </c>
      <c r="J19" s="131">
        <f t="shared" si="13"/>
        <v>564.8594</v>
      </c>
      <c r="K19" s="131">
        <f t="shared" si="13"/>
        <v>591.7891</v>
      </c>
      <c r="L19" s="131">
        <f t="shared" si="13"/>
        <v>619.9452</v>
      </c>
      <c r="M19" s="131">
        <f t="shared" si="13"/>
        <v>619.9452</v>
      </c>
      <c r="N19" s="131">
        <f t="shared" si="13"/>
        <v>635.0708</v>
      </c>
      <c r="O19" s="131">
        <f t="shared" si="13"/>
        <v>635.0708</v>
      </c>
      <c r="P19" s="131">
        <f t="shared" si="13"/>
        <v>635.0708</v>
      </c>
      <c r="Q19" s="131">
        <f t="shared" si="13"/>
        <v>604.8196</v>
      </c>
      <c r="R19" s="131">
        <f t="shared" si="13"/>
        <v>537.6231</v>
      </c>
      <c r="S19" s="131">
        <f t="shared" si="13"/>
        <v>430.1087</v>
      </c>
      <c r="T19" s="226"/>
      <c r="U19" s="226"/>
    </row>
    <row r="20">
      <c r="A20" s="226"/>
      <c r="B20" s="226"/>
      <c r="C20" s="226"/>
      <c r="D20" s="160"/>
      <c r="E20" s="160" t="s">
        <v>37</v>
      </c>
      <c r="F20" s="16"/>
      <c r="G20" s="140"/>
      <c r="H20" s="131">
        <f t="shared" ref="H20:S20" si="14">H$12*H15</f>
        <v>2237.6403</v>
      </c>
      <c r="I20" s="131">
        <f t="shared" si="14"/>
        <v>2183.0193</v>
      </c>
      <c r="J20" s="131">
        <f t="shared" si="14"/>
        <v>2236.2242</v>
      </c>
      <c r="K20" s="131">
        <f t="shared" si="14"/>
        <v>2342.8363</v>
      </c>
      <c r="L20" s="131">
        <f t="shared" si="14"/>
        <v>2454.3036</v>
      </c>
      <c r="M20" s="131">
        <f t="shared" si="14"/>
        <v>2454.3036</v>
      </c>
      <c r="N20" s="131">
        <f t="shared" si="14"/>
        <v>2514.1844</v>
      </c>
      <c r="O20" s="131">
        <f t="shared" si="14"/>
        <v>2514.1844</v>
      </c>
      <c r="P20" s="131">
        <f t="shared" si="14"/>
        <v>2514.1844</v>
      </c>
      <c r="Q20" s="131">
        <f t="shared" si="14"/>
        <v>2394.4228</v>
      </c>
      <c r="R20" s="131">
        <f t="shared" si="14"/>
        <v>2128.3983</v>
      </c>
      <c r="S20" s="131">
        <f t="shared" si="14"/>
        <v>1702.7591</v>
      </c>
      <c r="T20" s="226"/>
      <c r="U20" s="226"/>
    </row>
    <row r="21">
      <c r="A21" s="226"/>
      <c r="B21" s="226"/>
      <c r="C21" s="226"/>
      <c r="D21" s="160"/>
      <c r="E21" s="160" t="s">
        <v>38</v>
      </c>
      <c r="F21" s="16"/>
      <c r="G21" s="140"/>
      <c r="H21" s="131">
        <f t="shared" ref="H21:S21" si="15">H$12*H16</f>
        <v>5265.036</v>
      </c>
      <c r="I21" s="131">
        <f t="shared" si="15"/>
        <v>5136.516</v>
      </c>
      <c r="J21" s="131">
        <f t="shared" si="15"/>
        <v>5261.704</v>
      </c>
      <c r="K21" s="131">
        <f t="shared" si="15"/>
        <v>5512.556</v>
      </c>
      <c r="L21" s="131">
        <f t="shared" si="15"/>
        <v>5774.832</v>
      </c>
      <c r="M21" s="131">
        <f t="shared" si="15"/>
        <v>5774.832</v>
      </c>
      <c r="N21" s="131">
        <f t="shared" si="15"/>
        <v>5915.728</v>
      </c>
      <c r="O21" s="131">
        <f t="shared" si="15"/>
        <v>5915.728</v>
      </c>
      <c r="P21" s="131">
        <f t="shared" si="15"/>
        <v>5915.728</v>
      </c>
      <c r="Q21" s="131">
        <f t="shared" si="15"/>
        <v>5633.936</v>
      </c>
      <c r="R21" s="131">
        <f t="shared" si="15"/>
        <v>5007.996</v>
      </c>
      <c r="S21" s="131">
        <f t="shared" si="15"/>
        <v>4006.492</v>
      </c>
      <c r="T21" s="226"/>
      <c r="U21" s="226"/>
    </row>
    <row r="22">
      <c r="A22" s="226"/>
      <c r="B22" s="226"/>
      <c r="C22" s="226"/>
      <c r="D22" s="160"/>
      <c r="E22" s="160" t="s">
        <v>39</v>
      </c>
      <c r="F22" s="16"/>
      <c r="G22" s="140"/>
      <c r="H22" s="131">
        <f t="shared" ref="H22:S22" si="16">H$12*H17</f>
        <v>2484.3006</v>
      </c>
      <c r="I22" s="131">
        <f t="shared" si="16"/>
        <v>2423.6586</v>
      </c>
      <c r="J22" s="131">
        <f t="shared" si="16"/>
        <v>2482.7284</v>
      </c>
      <c r="K22" s="131">
        <f t="shared" si="16"/>
        <v>2601.0926</v>
      </c>
      <c r="L22" s="131">
        <f t="shared" si="16"/>
        <v>2724.8472</v>
      </c>
      <c r="M22" s="131">
        <f t="shared" si="16"/>
        <v>2724.8472</v>
      </c>
      <c r="N22" s="131">
        <f t="shared" si="16"/>
        <v>2791.3288</v>
      </c>
      <c r="O22" s="131">
        <f t="shared" si="16"/>
        <v>2791.3288</v>
      </c>
      <c r="P22" s="131">
        <f t="shared" si="16"/>
        <v>2791.3288</v>
      </c>
      <c r="Q22" s="131">
        <f t="shared" si="16"/>
        <v>2658.3656</v>
      </c>
      <c r="R22" s="131">
        <f t="shared" si="16"/>
        <v>2363.0166</v>
      </c>
      <c r="S22" s="131">
        <f t="shared" si="16"/>
        <v>1890.4582</v>
      </c>
      <c r="T22" s="226"/>
      <c r="U22" s="226"/>
    </row>
    <row r="23">
      <c r="A23" s="226"/>
      <c r="B23" s="226"/>
      <c r="C23" s="226"/>
      <c r="D23" s="160" t="s">
        <v>40</v>
      </c>
      <c r="E23" s="226"/>
      <c r="F23" s="226"/>
      <c r="G23" s="231"/>
      <c r="H23" s="149">
        <f t="shared" ref="H23:S23" si="17">(H6+H8)/H12</f>
        <v>468.979502</v>
      </c>
      <c r="I23" s="149">
        <f t="shared" si="17"/>
        <v>480.7137681</v>
      </c>
      <c r="J23" s="149">
        <f t="shared" si="17"/>
        <v>492.7403099</v>
      </c>
      <c r="K23" s="149">
        <f t="shared" si="17"/>
        <v>517.3496696</v>
      </c>
      <c r="L23" s="149">
        <f t="shared" si="17"/>
        <v>543.2384748</v>
      </c>
      <c r="M23" s="149">
        <f t="shared" si="17"/>
        <v>570.4003986</v>
      </c>
      <c r="N23" s="149">
        <f t="shared" si="17"/>
        <v>584.6558189</v>
      </c>
      <c r="O23" s="149">
        <f t="shared" si="17"/>
        <v>584.6558189</v>
      </c>
      <c r="P23" s="149">
        <f t="shared" si="17"/>
        <v>584.6558189</v>
      </c>
      <c r="Q23" s="149">
        <f t="shared" si="17"/>
        <v>613.8984891</v>
      </c>
      <c r="R23" s="149">
        <f t="shared" si="17"/>
        <v>552.5028052</v>
      </c>
      <c r="S23" s="149">
        <f t="shared" si="17"/>
        <v>552.489677</v>
      </c>
      <c r="T23" s="226"/>
      <c r="U23" s="226"/>
    </row>
  </sheetData>
  <mergeCells count="1">
    <mergeCell ref="T1:T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9" max="9" width="20.13"/>
  </cols>
  <sheetData>
    <row r="2">
      <c r="I2" s="243" t="s">
        <v>447</v>
      </c>
    </row>
    <row r="4">
      <c r="I4" s="244" t="s">
        <v>46</v>
      </c>
    </row>
    <row r="6">
      <c r="J6" s="245" t="s">
        <v>448</v>
      </c>
      <c r="K6" s="245" t="s">
        <v>449</v>
      </c>
      <c r="L6" s="245" t="s">
        <v>450</v>
      </c>
      <c r="M6" s="245" t="s">
        <v>451</v>
      </c>
    </row>
    <row r="7">
      <c r="I7" s="172" t="s">
        <v>452</v>
      </c>
      <c r="J7" s="156">
        <v>30000.0</v>
      </c>
      <c r="K7" s="156">
        <v>50000.0</v>
      </c>
      <c r="L7" s="156">
        <v>100000.0</v>
      </c>
      <c r="M7" s="156">
        <v>150000.0</v>
      </c>
    </row>
    <row r="8">
      <c r="I8" s="172" t="s">
        <v>453</v>
      </c>
      <c r="J8" s="156">
        <v>31600.0</v>
      </c>
      <c r="K8" s="156">
        <v>31600.0</v>
      </c>
      <c r="L8" s="156">
        <v>31600.0</v>
      </c>
      <c r="M8" s="156">
        <v>31600.0</v>
      </c>
    </row>
    <row r="9">
      <c r="I9" s="172" t="s">
        <v>454</v>
      </c>
      <c r="J9" s="156">
        <v>0.0</v>
      </c>
      <c r="K9" s="156">
        <v>0.0</v>
      </c>
      <c r="L9" s="156">
        <v>0.0</v>
      </c>
      <c r="M9" s="156">
        <v>0.0</v>
      </c>
    </row>
    <row r="10">
      <c r="I10" s="172" t="s">
        <v>455</v>
      </c>
      <c r="J10" s="156">
        <f t="shared" ref="J10:M10" si="1">14500*10</f>
        <v>145000</v>
      </c>
      <c r="K10" s="156">
        <f t="shared" si="1"/>
        <v>145000</v>
      </c>
      <c r="L10" s="156">
        <f t="shared" si="1"/>
        <v>145000</v>
      </c>
      <c r="M10" s="156">
        <f t="shared" si="1"/>
        <v>145000</v>
      </c>
    </row>
    <row r="11">
      <c r="I11" s="172" t="s">
        <v>456</v>
      </c>
      <c r="J11" s="156">
        <v>0.0</v>
      </c>
      <c r="K11" s="156">
        <v>0.0</v>
      </c>
      <c r="L11" s="156">
        <v>0.0</v>
      </c>
      <c r="M11" s="156">
        <v>0.0</v>
      </c>
    </row>
    <row r="14">
      <c r="I14" s="244" t="s">
        <v>47</v>
      </c>
    </row>
    <row r="16">
      <c r="J16" s="245" t="s">
        <v>448</v>
      </c>
      <c r="K16" s="245" t="s">
        <v>449</v>
      </c>
      <c r="L16" s="245" t="s">
        <v>450</v>
      </c>
      <c r="M16" s="245" t="s">
        <v>451</v>
      </c>
    </row>
    <row r="17">
      <c r="I17" s="172" t="s">
        <v>452</v>
      </c>
      <c r="J17" s="156">
        <v>25000.0</v>
      </c>
      <c r="K17" s="156">
        <v>40000.0</v>
      </c>
      <c r="L17" s="156">
        <v>80000.0</v>
      </c>
      <c r="M17" s="156">
        <v>120000.0</v>
      </c>
    </row>
    <row r="18">
      <c r="I18" s="172" t="s">
        <v>453</v>
      </c>
      <c r="J18" s="156">
        <v>18000.0</v>
      </c>
      <c r="K18" s="156">
        <v>18000.0</v>
      </c>
      <c r="L18" s="156">
        <v>18000.0</v>
      </c>
      <c r="M18" s="156">
        <v>18000.0</v>
      </c>
    </row>
    <row r="19">
      <c r="I19" s="172" t="s">
        <v>454</v>
      </c>
      <c r="J19" s="156">
        <v>0.0</v>
      </c>
      <c r="K19" s="156">
        <v>0.0</v>
      </c>
      <c r="L19" s="156">
        <v>0.0</v>
      </c>
      <c r="M19" s="156">
        <v>0.0</v>
      </c>
    </row>
    <row r="20">
      <c r="I20" s="172" t="s">
        <v>455</v>
      </c>
      <c r="J20" s="156">
        <f t="shared" ref="J20:M20" si="2">11000*9</f>
        <v>99000</v>
      </c>
      <c r="K20" s="156">
        <f t="shared" si="2"/>
        <v>99000</v>
      </c>
      <c r="L20" s="156">
        <f t="shared" si="2"/>
        <v>99000</v>
      </c>
      <c r="M20" s="156">
        <f t="shared" si="2"/>
        <v>99000</v>
      </c>
    </row>
    <row r="21">
      <c r="I21" s="172" t="s">
        <v>456</v>
      </c>
      <c r="J21" s="156">
        <v>0.0</v>
      </c>
      <c r="K21" s="156">
        <v>0.0</v>
      </c>
      <c r="L21" s="156">
        <v>0.0</v>
      </c>
      <c r="M21" s="156">
        <v>0.0</v>
      </c>
    </row>
    <row r="24">
      <c r="I24" s="244" t="s">
        <v>48</v>
      </c>
    </row>
    <row r="26">
      <c r="J26" s="245" t="s">
        <v>448</v>
      </c>
      <c r="K26" s="245" t="s">
        <v>449</v>
      </c>
      <c r="L26" s="245" t="s">
        <v>450</v>
      </c>
      <c r="M26" s="245" t="s">
        <v>451</v>
      </c>
    </row>
    <row r="27">
      <c r="I27" s="172" t="s">
        <v>452</v>
      </c>
      <c r="J27" s="156">
        <v>20000.0</v>
      </c>
      <c r="K27" s="156">
        <v>40000.0</v>
      </c>
      <c r="L27" s="156">
        <v>80000.0</v>
      </c>
      <c r="M27" s="156">
        <v>100000.0</v>
      </c>
    </row>
    <row r="28">
      <c r="I28" s="172" t="s">
        <v>453</v>
      </c>
      <c r="J28" s="156">
        <v>15000.0</v>
      </c>
      <c r="K28" s="156">
        <v>15000.0</v>
      </c>
      <c r="L28" s="156">
        <v>15000.0</v>
      </c>
      <c r="M28" s="156">
        <v>15000.0</v>
      </c>
    </row>
    <row r="29">
      <c r="I29" s="172" t="s">
        <v>454</v>
      </c>
      <c r="J29" s="156">
        <v>0.0</v>
      </c>
      <c r="K29" s="156">
        <v>0.0</v>
      </c>
      <c r="L29" s="156">
        <v>0.0</v>
      </c>
      <c r="M29" s="156">
        <v>0.0</v>
      </c>
    </row>
    <row r="30">
      <c r="I30" s="172" t="s">
        <v>455</v>
      </c>
      <c r="J30" s="156">
        <f t="shared" ref="J30:M30" si="3">7000*7</f>
        <v>49000</v>
      </c>
      <c r="K30" s="156">
        <f t="shared" si="3"/>
        <v>49000</v>
      </c>
      <c r="L30" s="156">
        <f t="shared" si="3"/>
        <v>49000</v>
      </c>
      <c r="M30" s="156">
        <f t="shared" si="3"/>
        <v>49000</v>
      </c>
    </row>
    <row r="31">
      <c r="I31" s="172" t="s">
        <v>456</v>
      </c>
      <c r="J31" s="156">
        <v>0.0</v>
      </c>
      <c r="K31" s="156">
        <v>0.0</v>
      </c>
      <c r="L31" s="156">
        <v>0.0</v>
      </c>
      <c r="M31" s="156">
        <v>0.0</v>
      </c>
    </row>
    <row r="34">
      <c r="I34" s="244" t="s">
        <v>49</v>
      </c>
    </row>
    <row r="36">
      <c r="J36" s="245" t="s">
        <v>448</v>
      </c>
      <c r="K36" s="245" t="s">
        <v>449</v>
      </c>
      <c r="L36" s="245" t="s">
        <v>450</v>
      </c>
      <c r="M36" s="245" t="s">
        <v>451</v>
      </c>
    </row>
    <row r="37">
      <c r="I37" s="172" t="s">
        <v>452</v>
      </c>
      <c r="J37" s="156">
        <v>20000.0</v>
      </c>
      <c r="K37" s="156">
        <v>30000.0</v>
      </c>
      <c r="L37" s="156">
        <v>40000.0</v>
      </c>
      <c r="M37" s="156">
        <v>40000.0</v>
      </c>
    </row>
    <row r="38">
      <c r="I38" s="172" t="s">
        <v>453</v>
      </c>
      <c r="J38" s="156">
        <v>11500.0</v>
      </c>
      <c r="K38" s="156">
        <v>11500.0</v>
      </c>
      <c r="L38" s="156">
        <v>11500.0</v>
      </c>
      <c r="M38" s="156">
        <v>11500.0</v>
      </c>
    </row>
    <row r="39">
      <c r="I39" s="172" t="s">
        <v>454</v>
      </c>
      <c r="J39" s="156">
        <v>0.0</v>
      </c>
      <c r="K39" s="156">
        <v>0.0</v>
      </c>
      <c r="L39" s="156">
        <v>0.0</v>
      </c>
      <c r="M39" s="156">
        <v>0.0</v>
      </c>
    </row>
    <row r="40">
      <c r="I40" s="172" t="s">
        <v>455</v>
      </c>
      <c r="J40" s="156">
        <v>0.0</v>
      </c>
      <c r="K40" s="156">
        <v>0.0</v>
      </c>
      <c r="L40" s="156">
        <v>0.0</v>
      </c>
      <c r="M40" s="156">
        <v>0.0</v>
      </c>
    </row>
    <row r="41">
      <c r="I41" s="172" t="s">
        <v>456</v>
      </c>
      <c r="J41" s="156">
        <v>0.0</v>
      </c>
      <c r="K41" s="156">
        <v>0.0</v>
      </c>
      <c r="L41" s="156">
        <v>0.0</v>
      </c>
      <c r="M41" s="156">
        <v>0.0</v>
      </c>
    </row>
    <row r="44">
      <c r="I44" s="244" t="s">
        <v>50</v>
      </c>
    </row>
    <row r="46">
      <c r="J46" s="245" t="s">
        <v>448</v>
      </c>
      <c r="K46" s="245" t="s">
        <v>449</v>
      </c>
      <c r="L46" s="245" t="s">
        <v>450</v>
      </c>
      <c r="M46" s="245" t="s">
        <v>451</v>
      </c>
    </row>
    <row r="47">
      <c r="I47" s="172" t="s">
        <v>452</v>
      </c>
      <c r="J47" s="156">
        <v>15000.0</v>
      </c>
      <c r="K47" s="156">
        <v>20000.0</v>
      </c>
      <c r="L47" s="156">
        <v>30000.0</v>
      </c>
      <c r="M47" s="156">
        <v>30000.0</v>
      </c>
    </row>
    <row r="48">
      <c r="I48" s="172" t="s">
        <v>453</v>
      </c>
      <c r="J48" s="156">
        <v>7500.0</v>
      </c>
      <c r="K48" s="156">
        <v>7500.0</v>
      </c>
      <c r="L48" s="156">
        <v>7500.0</v>
      </c>
      <c r="M48" s="156">
        <v>7500.0</v>
      </c>
    </row>
    <row r="49">
      <c r="I49" s="172" t="s">
        <v>454</v>
      </c>
      <c r="J49" s="156">
        <v>0.0</v>
      </c>
      <c r="K49" s="156">
        <v>0.0</v>
      </c>
      <c r="L49" s="156">
        <v>0.0</v>
      </c>
      <c r="M49" s="156">
        <v>0.0</v>
      </c>
    </row>
    <row r="50">
      <c r="I50" s="172" t="s">
        <v>455</v>
      </c>
      <c r="J50" s="156">
        <v>0.0</v>
      </c>
      <c r="K50" s="156">
        <v>0.0</v>
      </c>
      <c r="L50" s="156">
        <v>0.0</v>
      </c>
      <c r="M50" s="156">
        <v>0.0</v>
      </c>
    </row>
    <row r="51">
      <c r="I51" s="172" t="s">
        <v>456</v>
      </c>
      <c r="J51" s="156">
        <v>0.0</v>
      </c>
      <c r="K51" s="156">
        <v>0.0</v>
      </c>
      <c r="L51" s="156">
        <v>0.0</v>
      </c>
      <c r="M51" s="156">
        <v>0.0</v>
      </c>
    </row>
  </sheetData>
  <mergeCells count="6">
    <mergeCell ref="I2:M3"/>
    <mergeCell ref="I4:M5"/>
    <mergeCell ref="I14:M15"/>
    <mergeCell ref="I24:M25"/>
    <mergeCell ref="I34:M35"/>
    <mergeCell ref="I44:M45"/>
  </mergeCells>
  <drawing r:id="rId1"/>
</worksheet>
</file>